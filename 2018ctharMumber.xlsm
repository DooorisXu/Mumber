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2018cthar\"/>
    </mc:Choice>
  </mc:AlternateContent>
  <bookViews>
    <workbookView xWindow="0" yWindow="0" windowWidth="20490" windowHeight="7650" tabRatio="805" firstSheet="4" activeTab="4"/>
  </bookViews>
  <sheets>
    <sheet name="SkillRanking" sheetId="20" r:id="rId1"/>
    <sheet name="EventTeam" sheetId="37" r:id="rId2"/>
    <sheet name="Team" sheetId="19" r:id="rId3"/>
    <sheet name="DashBoard" sheetId="18" r:id="rId4"/>
    <sheet name="ButtonBoard" sheetId="40" r:id="rId5"/>
    <sheet name="EventSchedule" sheetId="34" r:id="rId6"/>
    <sheet name="Specs" sheetId="31" r:id="rId7"/>
    <sheet name="pythonSpecs" sheetId="50" r:id="rId8"/>
    <sheet name="matchDetails" sheetId="51" r:id="rId9"/>
    <sheet name="TBAranking" sheetId="32" r:id="rId10"/>
    <sheet name="autoS" sheetId="46" r:id="rId11"/>
    <sheet name="ownershipS" sheetId="47" r:id="rId12"/>
    <sheet name="vaultS" sheetId="48" r:id="rId13"/>
    <sheet name="climbS" sheetId="49" r:id="rId14"/>
    <sheet name="OPRs" sheetId="38" r:id="rId15"/>
    <sheet name="Schedule" sheetId="7" r:id="rId16"/>
    <sheet name="MatchPivot" sheetId="29" r:id="rId17"/>
    <sheet name="MatchStats" sheetId="11" r:id="rId18"/>
    <sheet name="PitCleaned" sheetId="3" r:id="rId19"/>
    <sheet name="MatchCleaned" sheetId="5" r:id="rId20"/>
    <sheet name="TBAopr" sheetId="30" r:id="rId21"/>
    <sheet name="MatchRaw" sheetId="28" r:id="rId22"/>
    <sheet name="PitStats" sheetId="35" r:id="rId23"/>
    <sheet name="PitStats1" sheetId="12" r:id="rId24"/>
    <sheet name="TeamList" sheetId="8" r:id="rId25"/>
    <sheet name="PitRaw" sheetId="41" r:id="rId26"/>
  </sheets>
  <definedNames>
    <definedName name="AutoBaseline">PitStats!$A$4</definedName>
    <definedName name="AutoBaselineCount">PitStats!$B$4</definedName>
    <definedName name="AutoBaselineW">Specs!$C$13</definedName>
    <definedName name="AutoGoal" localSheetId="10">#REF!</definedName>
    <definedName name="AutoGoal">#REF!</definedName>
    <definedName name="AutoNone">PitStats!$A$7</definedName>
    <definedName name="AutoNoneCount">PitStats!$B$7</definedName>
    <definedName name="AutoScale">PitStats!$A$5</definedName>
    <definedName name="AutoScaleCount">PitStats!$B$5</definedName>
    <definedName name="AutoScaleW">Specs!$C$15</definedName>
    <definedName name="AutoSwitch">PitStats!$A$6</definedName>
    <definedName name="AutoSwitchCount">PitStats!$B$6</definedName>
    <definedName name="AutoSwitchW">Specs!$C$14</definedName>
    <definedName name="AutoTotal" localSheetId="10">#REF!</definedName>
    <definedName name="AutoTotal">#REF!</definedName>
    <definedName name="climbW">Specs!$C$20</definedName>
    <definedName name="eventKey">pythonSpecs!$C$3</definedName>
    <definedName name="EventName">Specs!$C$6</definedName>
    <definedName name="EventYear">Specs!$C$5</definedName>
    <definedName name="ExternalData_1" localSheetId="5" hidden="1">EventSchedule!$A$1:$K$83</definedName>
    <definedName name="ExternalData_1" localSheetId="1" hidden="1">EventTeam!$A$1:$R$44</definedName>
    <definedName name="ExternalData_1" localSheetId="21" hidden="1">MatchRaw!$A$1:$N$472</definedName>
    <definedName name="ExternalData_1" localSheetId="25" hidden="1">PitRaw!$A$1:$J$41</definedName>
    <definedName name="ExternalData_1" localSheetId="20" hidden="1">TBAopr!$A$1:$B$42</definedName>
    <definedName name="ExternalData_1" localSheetId="9" hidden="1">TBAranking!$A$1:$O$42</definedName>
    <definedName name="lastCompletedMatch">pythonSpecs!#REF!</definedName>
    <definedName name="matchCount">pythonSpecs!#REF!</definedName>
    <definedName name="MatchSheet">Specs!$C$8</definedName>
    <definedName name="ownership">#REF!</definedName>
    <definedName name="ownershipS">#REF!</definedName>
    <definedName name="PitSheet">Specs!$C$7</definedName>
    <definedName name="_xlnm.Print_Area" localSheetId="0">SkillRanking!$A$3:$Q$44</definedName>
    <definedName name="ScheduledStart">DashBoard!$Q$2</definedName>
    <definedName name="TeamCount">Specs!$B$11</definedName>
    <definedName name="TeleOpOtherSwitchW">Specs!$C$17</definedName>
    <definedName name="TeleOpOwnSwitchW">Specs!$C$16</definedName>
    <definedName name="TeleOpPowerUpCubesW">Specs!$C$19</definedName>
    <definedName name="TeleOpScale" localSheetId="10">Specs!#REF!</definedName>
    <definedName name="TeleOpScale">Specs!#REF!</definedName>
    <definedName name="TeleOpScaleW">Specs!$C$18</definedName>
  </definedNames>
  <calcPr calcId="162913"/>
  <pivotCaches>
    <pivotCache cacheId="0" r:id="rId27"/>
    <pivotCache cacheId="1" r:id="rId28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50" l="1"/>
  <c r="X4" i="18" l="1"/>
  <c r="AA39" i="18"/>
  <c r="Z39" i="18"/>
  <c r="Y39" i="18"/>
  <c r="X39" i="18"/>
  <c r="W39" i="18"/>
  <c r="V39" i="18"/>
  <c r="U39" i="18"/>
  <c r="T39" i="18"/>
  <c r="S39" i="18"/>
  <c r="L39" i="18"/>
  <c r="K39" i="18"/>
  <c r="J39" i="18"/>
  <c r="I39" i="18"/>
  <c r="H39" i="18"/>
  <c r="G39" i="18"/>
  <c r="F39" i="18"/>
  <c r="E39" i="18"/>
  <c r="D39" i="18"/>
  <c r="E5" i="50" l="1"/>
  <c r="B28" i="20" l="1"/>
  <c r="C28" i="20"/>
  <c r="D28" i="20"/>
  <c r="E28" i="20"/>
  <c r="F28" i="20"/>
  <c r="G28" i="20"/>
  <c r="H28" i="20"/>
  <c r="I28" i="20"/>
  <c r="J28" i="20"/>
  <c r="M28" i="20"/>
  <c r="O28" i="20"/>
  <c r="P28" i="20"/>
  <c r="Q28" i="20"/>
  <c r="T28" i="20"/>
  <c r="B35" i="20"/>
  <c r="C35" i="20"/>
  <c r="D35" i="20"/>
  <c r="E35" i="20"/>
  <c r="F35" i="20"/>
  <c r="G35" i="20"/>
  <c r="H35" i="20"/>
  <c r="I35" i="20"/>
  <c r="J35" i="20"/>
  <c r="M35" i="20"/>
  <c r="O35" i="20"/>
  <c r="P35" i="20"/>
  <c r="Q35" i="20"/>
  <c r="T35" i="20"/>
  <c r="B29" i="20"/>
  <c r="C29" i="20"/>
  <c r="D29" i="20"/>
  <c r="E29" i="20"/>
  <c r="F29" i="20"/>
  <c r="G29" i="20"/>
  <c r="H29" i="20"/>
  <c r="I29" i="20"/>
  <c r="J29" i="20"/>
  <c r="M29" i="20"/>
  <c r="O29" i="20"/>
  <c r="P29" i="20"/>
  <c r="Q29" i="20"/>
  <c r="T29" i="20"/>
  <c r="B34" i="20"/>
  <c r="C34" i="20"/>
  <c r="D34" i="20"/>
  <c r="E34" i="20"/>
  <c r="F34" i="20"/>
  <c r="G34" i="20"/>
  <c r="H34" i="20"/>
  <c r="I34" i="20"/>
  <c r="J34" i="20"/>
  <c r="M34" i="20"/>
  <c r="O34" i="20"/>
  <c r="P34" i="20"/>
  <c r="Q34" i="20"/>
  <c r="T34" i="20"/>
  <c r="B23" i="20"/>
  <c r="C23" i="20"/>
  <c r="D23" i="20"/>
  <c r="E23" i="20"/>
  <c r="F23" i="20"/>
  <c r="G23" i="20"/>
  <c r="H23" i="20"/>
  <c r="I23" i="20"/>
  <c r="J23" i="20"/>
  <c r="M23" i="20"/>
  <c r="O23" i="20"/>
  <c r="P23" i="20"/>
  <c r="Q23" i="20"/>
  <c r="T23" i="20"/>
  <c r="B30" i="20"/>
  <c r="C30" i="20"/>
  <c r="D30" i="20"/>
  <c r="E30" i="20"/>
  <c r="F30" i="20"/>
  <c r="G30" i="20"/>
  <c r="H30" i="20"/>
  <c r="I30" i="20"/>
  <c r="J30" i="20"/>
  <c r="M30" i="20"/>
  <c r="O30" i="20"/>
  <c r="P30" i="20"/>
  <c r="Q30" i="20"/>
  <c r="T30" i="20"/>
  <c r="B43" i="20"/>
  <c r="C43" i="20"/>
  <c r="D43" i="20"/>
  <c r="E43" i="20"/>
  <c r="F43" i="20"/>
  <c r="G43" i="20"/>
  <c r="H43" i="20"/>
  <c r="I43" i="20"/>
  <c r="J43" i="20"/>
  <c r="M43" i="20"/>
  <c r="O43" i="20"/>
  <c r="P43" i="20"/>
  <c r="Q43" i="20"/>
  <c r="T43" i="20"/>
  <c r="B31" i="20"/>
  <c r="C31" i="20"/>
  <c r="D31" i="20"/>
  <c r="E31" i="20"/>
  <c r="F31" i="20"/>
  <c r="G31" i="20"/>
  <c r="H31" i="20"/>
  <c r="I31" i="20"/>
  <c r="J31" i="20"/>
  <c r="M31" i="20"/>
  <c r="O31" i="20"/>
  <c r="P31" i="20"/>
  <c r="Q31" i="20"/>
  <c r="T31" i="20"/>
  <c r="B37" i="20"/>
  <c r="C37" i="20"/>
  <c r="D37" i="20"/>
  <c r="E37" i="20"/>
  <c r="F37" i="20"/>
  <c r="G37" i="20"/>
  <c r="H37" i="20"/>
  <c r="I37" i="20"/>
  <c r="J37" i="20"/>
  <c r="M37" i="20"/>
  <c r="O37" i="20"/>
  <c r="P37" i="20"/>
  <c r="Q37" i="20"/>
  <c r="T37" i="20"/>
  <c r="B42" i="20"/>
  <c r="C42" i="20"/>
  <c r="D42" i="20"/>
  <c r="E42" i="20"/>
  <c r="F42" i="20"/>
  <c r="G42" i="20"/>
  <c r="H42" i="20"/>
  <c r="I42" i="20"/>
  <c r="J42" i="20"/>
  <c r="M42" i="20"/>
  <c r="O42" i="20"/>
  <c r="P42" i="20"/>
  <c r="Q42" i="20"/>
  <c r="T42" i="20"/>
  <c r="B33" i="20"/>
  <c r="C33" i="20"/>
  <c r="D33" i="20"/>
  <c r="E33" i="20"/>
  <c r="F33" i="20"/>
  <c r="G33" i="20"/>
  <c r="H33" i="20"/>
  <c r="I33" i="20"/>
  <c r="J33" i="20"/>
  <c r="M33" i="20"/>
  <c r="O33" i="20"/>
  <c r="P33" i="20"/>
  <c r="Q33" i="20"/>
  <c r="T33" i="20"/>
  <c r="B38" i="20"/>
  <c r="C38" i="20"/>
  <c r="D38" i="20"/>
  <c r="E38" i="20"/>
  <c r="F38" i="20"/>
  <c r="G38" i="20"/>
  <c r="H38" i="20"/>
  <c r="I38" i="20"/>
  <c r="J38" i="20"/>
  <c r="M38" i="20"/>
  <c r="O38" i="20"/>
  <c r="P38" i="20"/>
  <c r="Q38" i="20"/>
  <c r="T38" i="20"/>
  <c r="B6" i="20"/>
  <c r="C6" i="20"/>
  <c r="D6" i="20"/>
  <c r="E6" i="20"/>
  <c r="F6" i="20"/>
  <c r="G6" i="20"/>
  <c r="H6" i="20"/>
  <c r="I6" i="20"/>
  <c r="J6" i="20"/>
  <c r="M6" i="20"/>
  <c r="O6" i="20"/>
  <c r="P6" i="20"/>
  <c r="Q6" i="20"/>
  <c r="T6" i="20"/>
  <c r="K43" i="20" l="1"/>
  <c r="K29" i="20"/>
  <c r="K33" i="20"/>
  <c r="K38" i="20"/>
  <c r="K30" i="20"/>
  <c r="K23" i="20"/>
  <c r="K31" i="20"/>
  <c r="K35" i="20"/>
  <c r="K6" i="20"/>
  <c r="K34" i="20"/>
  <c r="K28" i="20"/>
  <c r="K42" i="20"/>
  <c r="K37" i="20"/>
  <c r="A100" i="38"/>
  <c r="O100" i="38" s="1"/>
  <c r="A99" i="38"/>
  <c r="N99" i="38" s="1"/>
  <c r="G98" i="38"/>
  <c r="A98" i="38"/>
  <c r="L98" i="38" s="1"/>
  <c r="A97" i="38"/>
  <c r="E96" i="38"/>
  <c r="D96" i="38"/>
  <c r="A96" i="38"/>
  <c r="J96" i="38" s="1"/>
  <c r="A95" i="38"/>
  <c r="K95" i="38" s="1"/>
  <c r="A94" i="38"/>
  <c r="A93" i="38"/>
  <c r="O93" i="38" s="1"/>
  <c r="A92" i="38"/>
  <c r="J92" i="38" s="1"/>
  <c r="A91" i="38"/>
  <c r="K91" i="38" s="1"/>
  <c r="A90" i="38"/>
  <c r="M90" i="38" s="1"/>
  <c r="A89" i="38"/>
  <c r="O89" i="38" s="1"/>
  <c r="A88" i="38"/>
  <c r="N88" i="38" s="1"/>
  <c r="A87" i="38"/>
  <c r="A86" i="38"/>
  <c r="M86" i="38" s="1"/>
  <c r="A85" i="38"/>
  <c r="O85" i="38" s="1"/>
  <c r="A84" i="38"/>
  <c r="L84" i="38" s="1"/>
  <c r="A83" i="38"/>
  <c r="K83" i="38" s="1"/>
  <c r="A82" i="38"/>
  <c r="A81" i="38"/>
  <c r="A80" i="38"/>
  <c r="J80" i="38" s="1"/>
  <c r="A79" i="38"/>
  <c r="I79" i="38" s="1"/>
  <c r="A78" i="38"/>
  <c r="M78" i="38" s="1"/>
  <c r="A77" i="38"/>
  <c r="J77" i="38" s="1"/>
  <c r="D76" i="38"/>
  <c r="A76" i="38"/>
  <c r="J76" i="38" s="1"/>
  <c r="A75" i="38"/>
  <c r="K75" i="38" s="1"/>
  <c r="A74" i="38"/>
  <c r="M74" i="38" s="1"/>
  <c r="A73" i="38"/>
  <c r="O73" i="38" s="1"/>
  <c r="A72" i="38"/>
  <c r="D71" i="38"/>
  <c r="A71" i="38"/>
  <c r="O71" i="38" s="1"/>
  <c r="C70" i="38"/>
  <c r="A70" i="38"/>
  <c r="M70" i="38" s="1"/>
  <c r="A69" i="38"/>
  <c r="O69" i="38" s="1"/>
  <c r="A68" i="38"/>
  <c r="I68" i="38" s="1"/>
  <c r="M67" i="38"/>
  <c r="C67" i="38"/>
  <c r="A67" i="38"/>
  <c r="O67" i="38" s="1"/>
  <c r="A66" i="38"/>
  <c r="C66" i="38" s="1"/>
  <c r="A65" i="38"/>
  <c r="N65" i="38" s="1"/>
  <c r="A64" i="38"/>
  <c r="G64" i="38" s="1"/>
  <c r="A63" i="38"/>
  <c r="J63" i="38" s="1"/>
  <c r="A62" i="38"/>
  <c r="O62" i="38" s="1"/>
  <c r="A61" i="38"/>
  <c r="A60" i="38"/>
  <c r="H59" i="38"/>
  <c r="F59" i="38"/>
  <c r="A59" i="38"/>
  <c r="J59" i="38" s="1"/>
  <c r="A58" i="38"/>
  <c r="O58" i="38" s="1"/>
  <c r="A57" i="38"/>
  <c r="J57" i="38" s="1"/>
  <c r="I56" i="38"/>
  <c r="A56" i="38"/>
  <c r="H55" i="38"/>
  <c r="E55" i="38"/>
  <c r="A55" i="38"/>
  <c r="N55" i="38" s="1"/>
  <c r="A54" i="38"/>
  <c r="A53" i="38"/>
  <c r="M53" i="38" s="1"/>
  <c r="A52" i="38"/>
  <c r="E51" i="38"/>
  <c r="A51" i="38"/>
  <c r="H51" i="38" s="1"/>
  <c r="A50" i="38"/>
  <c r="O50" i="38" s="1"/>
  <c r="A49" i="38"/>
  <c r="A48" i="38"/>
  <c r="I48" i="38" s="1"/>
  <c r="A47" i="38"/>
  <c r="O47" i="38" s="1"/>
  <c r="J46" i="38"/>
  <c r="A46" i="38"/>
  <c r="H46" i="38" s="1"/>
  <c r="A45" i="38"/>
  <c r="K45" i="38" s="1"/>
  <c r="H44" i="38"/>
  <c r="A44" i="38"/>
  <c r="J44" i="38" s="1"/>
  <c r="A43" i="38"/>
  <c r="A42" i="38"/>
  <c r="O42" i="38" s="1"/>
  <c r="A41" i="38"/>
  <c r="O41" i="38" s="1"/>
  <c r="H40" i="38"/>
  <c r="A40" i="38"/>
  <c r="D40" i="38" s="1"/>
  <c r="A39" i="38"/>
  <c r="M39" i="38" s="1"/>
  <c r="C38" i="38"/>
  <c r="A38" i="38"/>
  <c r="M38" i="38" s="1"/>
  <c r="E37" i="38"/>
  <c r="A37" i="38"/>
  <c r="O37" i="38" s="1"/>
  <c r="A36" i="38"/>
  <c r="H36" i="38" s="1"/>
  <c r="A35" i="38"/>
  <c r="O35" i="38" s="1"/>
  <c r="A34" i="38"/>
  <c r="M34" i="38" s="1"/>
  <c r="A33" i="38"/>
  <c r="O33" i="38" s="1"/>
  <c r="A32" i="38"/>
  <c r="M32" i="38" s="1"/>
  <c r="M31" i="38"/>
  <c r="A31" i="38"/>
  <c r="O31" i="38" s="1"/>
  <c r="H30" i="38"/>
  <c r="F30" i="38"/>
  <c r="C30" i="38"/>
  <c r="A30" i="38"/>
  <c r="M30" i="38" s="1"/>
  <c r="A29" i="38"/>
  <c r="O29" i="38" s="1"/>
  <c r="A28" i="38"/>
  <c r="N28" i="38" s="1"/>
  <c r="A27" i="38"/>
  <c r="A26" i="38"/>
  <c r="M26" i="38" s="1"/>
  <c r="A25" i="38"/>
  <c r="A24" i="38"/>
  <c r="E24" i="38" s="1"/>
  <c r="A23" i="38"/>
  <c r="K23" i="38" s="1"/>
  <c r="A22" i="38"/>
  <c r="M22" i="38" s="1"/>
  <c r="C21" i="38"/>
  <c r="A21" i="38"/>
  <c r="O21" i="38" s="1"/>
  <c r="A20" i="38"/>
  <c r="I20" i="38" s="1"/>
  <c r="A19" i="38"/>
  <c r="C18" i="38"/>
  <c r="A18" i="38"/>
  <c r="M18" i="38" s="1"/>
  <c r="A17" i="38"/>
  <c r="A16" i="38"/>
  <c r="M16" i="38" s="1"/>
  <c r="I15" i="38"/>
  <c r="A15" i="38"/>
  <c r="L15" i="38" s="1"/>
  <c r="A14" i="38"/>
  <c r="M14" i="38" s="1"/>
  <c r="A13" i="38"/>
  <c r="O13" i="38" s="1"/>
  <c r="A12" i="38"/>
  <c r="J12" i="38" s="1"/>
  <c r="A11" i="38"/>
  <c r="O11" i="38" s="1"/>
  <c r="A10" i="38"/>
  <c r="M10" i="38" s="1"/>
  <c r="A9" i="38"/>
  <c r="A8" i="38"/>
  <c r="L8" i="38" s="1"/>
  <c r="A7" i="38"/>
  <c r="O7" i="38" s="1"/>
  <c r="A6" i="38"/>
  <c r="N6" i="38" s="1"/>
  <c r="D5" i="38"/>
  <c r="A5" i="38"/>
  <c r="M5" i="38" s="1"/>
  <c r="A4" i="38"/>
  <c r="L4" i="38" s="1"/>
  <c r="H3" i="38"/>
  <c r="D3" i="38"/>
  <c r="A3" i="38"/>
  <c r="O3" i="38" s="1"/>
  <c r="A2" i="38"/>
  <c r="N2" i="38" s="1"/>
  <c r="N53" i="38" l="1"/>
  <c r="N3" i="38"/>
  <c r="K5" i="38"/>
  <c r="E12" i="38"/>
  <c r="J14" i="38"/>
  <c r="H16" i="38"/>
  <c r="H18" i="38"/>
  <c r="H20" i="38"/>
  <c r="F22" i="38"/>
  <c r="N30" i="38"/>
  <c r="D32" i="38"/>
  <c r="F38" i="38"/>
  <c r="C45" i="38"/>
  <c r="C53" i="38"/>
  <c r="J55" i="38"/>
  <c r="C57" i="38"/>
  <c r="M58" i="38"/>
  <c r="E62" i="38"/>
  <c r="E65" i="38"/>
  <c r="G66" i="38"/>
  <c r="H70" i="38"/>
  <c r="M71" i="38"/>
  <c r="D79" i="38"/>
  <c r="E88" i="38"/>
  <c r="N96" i="38"/>
  <c r="M12" i="38"/>
  <c r="N18" i="38"/>
  <c r="F32" i="38"/>
  <c r="J38" i="38"/>
  <c r="N48" i="38"/>
  <c r="F53" i="38"/>
  <c r="G57" i="38"/>
  <c r="G65" i="38"/>
  <c r="N70" i="38"/>
  <c r="H75" i="38"/>
  <c r="E77" i="38"/>
  <c r="E79" i="38"/>
  <c r="I88" i="38"/>
  <c r="N32" i="38"/>
  <c r="H32" i="38"/>
  <c r="N38" i="38"/>
  <c r="J53" i="38"/>
  <c r="L57" i="38"/>
  <c r="J65" i="38"/>
  <c r="K79" i="38"/>
  <c r="H74" i="38"/>
  <c r="O74" i="38"/>
  <c r="J78" i="38"/>
  <c r="K86" i="38"/>
  <c r="F3" i="38"/>
  <c r="F5" i="38"/>
  <c r="N5" i="38"/>
  <c r="D7" i="38"/>
  <c r="N7" i="38"/>
  <c r="D10" i="38"/>
  <c r="I13" i="38"/>
  <c r="O14" i="38"/>
  <c r="O15" i="38"/>
  <c r="J16" i="38"/>
  <c r="F18" i="38"/>
  <c r="J20" i="38"/>
  <c r="N21" i="38"/>
  <c r="H22" i="38"/>
  <c r="I23" i="38"/>
  <c r="K30" i="38"/>
  <c r="L32" i="38"/>
  <c r="C34" i="38"/>
  <c r="N34" i="38"/>
  <c r="D36" i="38"/>
  <c r="D38" i="38"/>
  <c r="K38" i="38"/>
  <c r="J40" i="38"/>
  <c r="C42" i="38"/>
  <c r="J42" i="38"/>
  <c r="O45" i="38"/>
  <c r="M51" i="38"/>
  <c r="D53" i="38"/>
  <c r="K53" i="38"/>
  <c r="D57" i="38"/>
  <c r="N57" i="38"/>
  <c r="M62" i="38"/>
  <c r="O65" i="38"/>
  <c r="H66" i="38"/>
  <c r="E67" i="38"/>
  <c r="C69" i="38"/>
  <c r="M69" i="38"/>
  <c r="D70" i="38"/>
  <c r="O70" i="38"/>
  <c r="E71" i="38"/>
  <c r="C74" i="38"/>
  <c r="J74" i="38"/>
  <c r="I76" i="38"/>
  <c r="G77" i="38"/>
  <c r="C78" i="38"/>
  <c r="N78" i="38"/>
  <c r="D80" i="38"/>
  <c r="D86" i="38"/>
  <c r="O86" i="38"/>
  <c r="C90" i="38"/>
  <c r="E91" i="38"/>
  <c r="C93" i="38"/>
  <c r="K99" i="38"/>
  <c r="L7" i="38"/>
  <c r="H42" i="38"/>
  <c r="J69" i="38"/>
  <c r="H5" i="38"/>
  <c r="O5" i="38"/>
  <c r="F7" i="38"/>
  <c r="N20" i="38"/>
  <c r="F36" i="38"/>
  <c r="D42" i="38"/>
  <c r="K42" i="38"/>
  <c r="N66" i="38"/>
  <c r="E69" i="38"/>
  <c r="N69" i="38"/>
  <c r="I71" i="38"/>
  <c r="D74" i="38"/>
  <c r="K74" i="38"/>
  <c r="M77" i="38"/>
  <c r="D78" i="38"/>
  <c r="O78" i="38"/>
  <c r="E80" i="38"/>
  <c r="F86" i="38"/>
  <c r="H90" i="38"/>
  <c r="G93" i="38"/>
  <c r="C95" i="38"/>
  <c r="K34" i="38"/>
  <c r="L36" i="38"/>
  <c r="J10" i="38"/>
  <c r="K22" i="38"/>
  <c r="F34" i="38"/>
  <c r="L3" i="38"/>
  <c r="C5" i="38"/>
  <c r="J5" i="38"/>
  <c r="H7" i="38"/>
  <c r="O10" i="38"/>
  <c r="D14" i="38"/>
  <c r="D15" i="38"/>
  <c r="E16" i="38"/>
  <c r="K18" i="38"/>
  <c r="D20" i="38"/>
  <c r="C22" i="38"/>
  <c r="B22" i="38" s="1"/>
  <c r="N22" i="38"/>
  <c r="H24" i="38"/>
  <c r="H34" i="38"/>
  <c r="M35" i="38"/>
  <c r="H38" i="38"/>
  <c r="O38" i="38"/>
  <c r="M41" i="38"/>
  <c r="F42" i="38"/>
  <c r="N42" i="38"/>
  <c r="F46" i="38"/>
  <c r="H53" i="38"/>
  <c r="O53" i="38"/>
  <c r="E58" i="38"/>
  <c r="H63" i="38"/>
  <c r="G69" i="38"/>
  <c r="J70" i="38"/>
  <c r="C71" i="38"/>
  <c r="K71" i="38"/>
  <c r="M73" i="38"/>
  <c r="F74" i="38"/>
  <c r="N74" i="38"/>
  <c r="C77" i="38"/>
  <c r="N77" i="38"/>
  <c r="H78" i="38"/>
  <c r="M79" i="38"/>
  <c r="N80" i="38"/>
  <c r="E83" i="38"/>
  <c r="I85" i="38"/>
  <c r="J86" i="38"/>
  <c r="E89" i="38"/>
  <c r="N90" i="38"/>
  <c r="N93" i="38"/>
  <c r="M95" i="38"/>
  <c r="D100" i="38"/>
  <c r="C99" i="38"/>
  <c r="O6" i="38"/>
  <c r="G26" i="38"/>
  <c r="L26" i="38"/>
  <c r="I28" i="38"/>
  <c r="M49" i="38"/>
  <c r="N49" i="38"/>
  <c r="H49" i="38"/>
  <c r="C49" i="38"/>
  <c r="M61" i="38"/>
  <c r="L61" i="38"/>
  <c r="K61" i="38"/>
  <c r="F61" i="38"/>
  <c r="H61" i="38"/>
  <c r="M82" i="38"/>
  <c r="K82" i="38"/>
  <c r="F82" i="38"/>
  <c r="O82" i="38"/>
  <c r="J82" i="38"/>
  <c r="D82" i="38"/>
  <c r="N82" i="38"/>
  <c r="H82" i="38"/>
  <c r="C82" i="38"/>
  <c r="M87" i="38"/>
  <c r="E87" i="38"/>
  <c r="K87" i="38"/>
  <c r="D87" i="38"/>
  <c r="I87" i="38"/>
  <c r="C87" i="38"/>
  <c r="M94" i="38"/>
  <c r="K94" i="38"/>
  <c r="F94" i="38"/>
  <c r="O94" i="38"/>
  <c r="J94" i="38"/>
  <c r="D94" i="38"/>
  <c r="N94" i="38"/>
  <c r="H94" i="38"/>
  <c r="C94" i="38"/>
  <c r="C2" i="38"/>
  <c r="B2" i="38" s="1"/>
  <c r="J3" i="38"/>
  <c r="G5" i="38"/>
  <c r="L5" i="38"/>
  <c r="C6" i="38"/>
  <c r="J7" i="38"/>
  <c r="F10" i="38"/>
  <c r="K10" i="38"/>
  <c r="H12" i="38"/>
  <c r="N12" i="38"/>
  <c r="N13" i="38"/>
  <c r="F14" i="38"/>
  <c r="K14" i="38"/>
  <c r="D18" i="38"/>
  <c r="J18" i="38"/>
  <c r="O18" i="38"/>
  <c r="E20" i="38"/>
  <c r="M20" i="38"/>
  <c r="I21" i="38"/>
  <c r="D22" i="38"/>
  <c r="J22" i="38"/>
  <c r="O22" i="38"/>
  <c r="O23" i="38"/>
  <c r="J24" i="38"/>
  <c r="C26" i="38"/>
  <c r="B26" i="38" s="1"/>
  <c r="H26" i="38"/>
  <c r="N26" i="38"/>
  <c r="D28" i="38"/>
  <c r="J28" i="38"/>
  <c r="E29" i="38"/>
  <c r="D30" i="38"/>
  <c r="J30" i="38"/>
  <c r="O30" i="38"/>
  <c r="J32" i="38"/>
  <c r="E33" i="38"/>
  <c r="D34" i="38"/>
  <c r="J34" i="38"/>
  <c r="O34" i="38"/>
  <c r="M36" i="38"/>
  <c r="N36" i="38"/>
  <c r="J36" i="38"/>
  <c r="M37" i="38"/>
  <c r="M40" i="38"/>
  <c r="N40" i="38"/>
  <c r="F40" i="38"/>
  <c r="L40" i="38"/>
  <c r="O48" i="38"/>
  <c r="C48" i="38"/>
  <c r="D49" i="38"/>
  <c r="K49" i="38"/>
  <c r="D50" i="38"/>
  <c r="J51" i="38"/>
  <c r="M57" i="38"/>
  <c r="K57" i="38"/>
  <c r="F57" i="38"/>
  <c r="H57" i="38"/>
  <c r="O57" i="38"/>
  <c r="M59" i="38"/>
  <c r="L59" i="38"/>
  <c r="D59" i="38"/>
  <c r="N59" i="38"/>
  <c r="C61" i="38"/>
  <c r="J61" i="38"/>
  <c r="M66" i="38"/>
  <c r="K66" i="38"/>
  <c r="F66" i="38"/>
  <c r="O66" i="38"/>
  <c r="J66" i="38"/>
  <c r="D66" i="38"/>
  <c r="L66" i="38"/>
  <c r="G82" i="38"/>
  <c r="H87" i="38"/>
  <c r="G94" i="38"/>
  <c r="J49" i="38"/>
  <c r="G2" i="38"/>
  <c r="G6" i="38"/>
  <c r="G10" i="38"/>
  <c r="L10" i="38"/>
  <c r="I12" i="38"/>
  <c r="M24" i="38"/>
  <c r="D26" i="38"/>
  <c r="J26" i="38"/>
  <c r="O26" i="38"/>
  <c r="E28" i="38"/>
  <c r="M28" i="38"/>
  <c r="M29" i="38"/>
  <c r="M33" i="38"/>
  <c r="M44" i="38"/>
  <c r="L44" i="38"/>
  <c r="D44" i="38"/>
  <c r="N44" i="38"/>
  <c r="F49" i="38"/>
  <c r="L49" i="38"/>
  <c r="O56" i="38"/>
  <c r="N56" i="38"/>
  <c r="O60" i="38"/>
  <c r="M60" i="38"/>
  <c r="D61" i="38"/>
  <c r="N61" i="38"/>
  <c r="N73" i="38"/>
  <c r="J73" i="38"/>
  <c r="G73" i="38"/>
  <c r="L82" i="38"/>
  <c r="O87" i="38"/>
  <c r="L94" i="38"/>
  <c r="O97" i="38"/>
  <c r="J97" i="38"/>
  <c r="E97" i="38"/>
  <c r="O2" i="38"/>
  <c r="K50" i="38"/>
  <c r="I50" i="38"/>
  <c r="G14" i="38"/>
  <c r="L14" i="38"/>
  <c r="K2" i="38"/>
  <c r="K6" i="38"/>
  <c r="C10" i="38"/>
  <c r="B10" i="38" s="1"/>
  <c r="H10" i="38"/>
  <c r="N10" i="38"/>
  <c r="D12" i="38"/>
  <c r="C13" i="38"/>
  <c r="C14" i="38"/>
  <c r="H14" i="38"/>
  <c r="N14" i="38"/>
  <c r="G18" i="38"/>
  <c r="L18" i="38"/>
  <c r="G22" i="38"/>
  <c r="L22" i="38"/>
  <c r="D23" i="38"/>
  <c r="F26" i="38"/>
  <c r="K26" i="38"/>
  <c r="H28" i="38"/>
  <c r="G30" i="38"/>
  <c r="L30" i="38"/>
  <c r="E31" i="38"/>
  <c r="G34" i="38"/>
  <c r="L34" i="38"/>
  <c r="E35" i="38"/>
  <c r="O39" i="38"/>
  <c r="E39" i="38"/>
  <c r="E41" i="38"/>
  <c r="F44" i="38"/>
  <c r="N45" i="38"/>
  <c r="G45" i="38"/>
  <c r="O46" i="38"/>
  <c r="L46" i="38"/>
  <c r="D46" i="38"/>
  <c r="N46" i="38"/>
  <c r="G49" i="38"/>
  <c r="O49" i="38"/>
  <c r="C56" i="38"/>
  <c r="E60" i="38"/>
  <c r="G61" i="38"/>
  <c r="O61" i="38"/>
  <c r="M63" i="38"/>
  <c r="N63" i="38"/>
  <c r="F63" i="38"/>
  <c r="L63" i="38"/>
  <c r="D63" i="38"/>
  <c r="E64" i="38"/>
  <c r="E73" i="38"/>
  <c r="O75" i="38"/>
  <c r="E75" i="38"/>
  <c r="M75" i="38"/>
  <c r="C75" i="38"/>
  <c r="O81" i="38"/>
  <c r="J81" i="38"/>
  <c r="E81" i="38"/>
  <c r="N85" i="38"/>
  <c r="G85" i="38"/>
  <c r="M85" i="38"/>
  <c r="E85" i="38"/>
  <c r="J85" i="38"/>
  <c r="C85" i="38"/>
  <c r="M98" i="38"/>
  <c r="K98" i="38"/>
  <c r="F98" i="38"/>
  <c r="O98" i="38"/>
  <c r="J98" i="38"/>
  <c r="D98" i="38"/>
  <c r="N98" i="38"/>
  <c r="H98" i="38"/>
  <c r="C98" i="38"/>
  <c r="G38" i="38"/>
  <c r="L38" i="38"/>
  <c r="G42" i="38"/>
  <c r="L42" i="38"/>
  <c r="G53" i="38"/>
  <c r="L53" i="38"/>
  <c r="M55" i="38"/>
  <c r="M65" i="38"/>
  <c r="H67" i="38"/>
  <c r="I69" i="38"/>
  <c r="F70" i="38"/>
  <c r="K70" i="38"/>
  <c r="H71" i="38"/>
  <c r="G74" i="38"/>
  <c r="L74" i="38"/>
  <c r="I77" i="38"/>
  <c r="O77" i="38"/>
  <c r="F78" i="38"/>
  <c r="K78" i="38"/>
  <c r="H79" i="38"/>
  <c r="O79" i="38"/>
  <c r="I80" i="38"/>
  <c r="G86" i="38"/>
  <c r="L86" i="38"/>
  <c r="J88" i="38"/>
  <c r="J89" i="38"/>
  <c r="D90" i="38"/>
  <c r="J90" i="38"/>
  <c r="O90" i="38"/>
  <c r="I93" i="38"/>
  <c r="D95" i="38"/>
  <c r="O95" i="38"/>
  <c r="I96" i="38"/>
  <c r="D99" i="38"/>
  <c r="L99" i="38"/>
  <c r="H100" i="38"/>
  <c r="K67" i="38"/>
  <c r="G70" i="38"/>
  <c r="L70" i="38"/>
  <c r="G78" i="38"/>
  <c r="L78" i="38"/>
  <c r="C79" i="38"/>
  <c r="C86" i="38"/>
  <c r="H86" i="38"/>
  <c r="N86" i="38"/>
  <c r="D88" i="38"/>
  <c r="F90" i="38"/>
  <c r="K90" i="38"/>
  <c r="M93" i="38"/>
  <c r="H95" i="38"/>
  <c r="G99" i="38"/>
  <c r="O99" i="38"/>
  <c r="L100" i="38"/>
  <c r="G90" i="38"/>
  <c r="L90" i="38"/>
  <c r="I95" i="38"/>
  <c r="H99" i="38"/>
  <c r="L9" i="38"/>
  <c r="H9" i="38"/>
  <c r="D9" i="38"/>
  <c r="L11" i="38"/>
  <c r="N19" i="38"/>
  <c r="J19" i="38"/>
  <c r="F19" i="38"/>
  <c r="G19" i="38"/>
  <c r="L19" i="38"/>
  <c r="L25" i="38"/>
  <c r="H25" i="38"/>
  <c r="D25" i="38"/>
  <c r="F25" i="38"/>
  <c r="K25" i="38"/>
  <c r="N27" i="38"/>
  <c r="J27" i="38"/>
  <c r="F27" i="38"/>
  <c r="G27" i="38"/>
  <c r="L27" i="38"/>
  <c r="L43" i="38"/>
  <c r="H43" i="38"/>
  <c r="D43" i="38"/>
  <c r="O43" i="38"/>
  <c r="K43" i="38"/>
  <c r="G43" i="38"/>
  <c r="C43" i="38"/>
  <c r="B43" i="38" s="1"/>
  <c r="L38" i="20" s="1"/>
  <c r="N43" i="38"/>
  <c r="J43" i="38"/>
  <c r="F43" i="38"/>
  <c r="E4" i="38"/>
  <c r="L17" i="38"/>
  <c r="H17" i="38"/>
  <c r="D17" i="38"/>
  <c r="F17" i="38"/>
  <c r="K17" i="38"/>
  <c r="D2" i="38"/>
  <c r="H2" i="38"/>
  <c r="L2" i="38"/>
  <c r="E3" i="38"/>
  <c r="I3" i="38"/>
  <c r="M3" i="38"/>
  <c r="F4" i="38"/>
  <c r="J4" i="38"/>
  <c r="N4" i="38"/>
  <c r="D6" i="38"/>
  <c r="H6" i="38"/>
  <c r="L6" i="38"/>
  <c r="E7" i="38"/>
  <c r="I7" i="38"/>
  <c r="M7" i="38"/>
  <c r="F8" i="38"/>
  <c r="G9" i="38"/>
  <c r="M9" i="38"/>
  <c r="C11" i="38"/>
  <c r="H11" i="38"/>
  <c r="M11" i="38"/>
  <c r="E13" i="38"/>
  <c r="J13" i="38"/>
  <c r="E15" i="38"/>
  <c r="K15" i="38"/>
  <c r="O16" i="38"/>
  <c r="K16" i="38"/>
  <c r="G16" i="38"/>
  <c r="C16" i="38"/>
  <c r="B16" i="38" s="1"/>
  <c r="F16" i="38"/>
  <c r="L16" i="38"/>
  <c r="G17" i="38"/>
  <c r="M17" i="38"/>
  <c r="C19" i="38"/>
  <c r="H19" i="38"/>
  <c r="M19" i="38"/>
  <c r="E21" i="38"/>
  <c r="J21" i="38"/>
  <c r="E23" i="38"/>
  <c r="O24" i="38"/>
  <c r="K24" i="38"/>
  <c r="G24" i="38"/>
  <c r="C24" i="38"/>
  <c r="F24" i="38"/>
  <c r="L24" i="38"/>
  <c r="G25" i="38"/>
  <c r="M25" i="38"/>
  <c r="C27" i="38"/>
  <c r="H27" i="38"/>
  <c r="M27" i="38"/>
  <c r="G29" i="38"/>
  <c r="G31" i="38"/>
  <c r="G33" i="38"/>
  <c r="G35" i="38"/>
  <c r="G37" i="38"/>
  <c r="G39" i="38"/>
  <c r="G41" i="38"/>
  <c r="E43" i="38"/>
  <c r="O8" i="38"/>
  <c r="K8" i="38"/>
  <c r="G8" i="38"/>
  <c r="E2" i="38"/>
  <c r="I2" i="38"/>
  <c r="M2" i="38"/>
  <c r="C4" i="38"/>
  <c r="G4" i="38"/>
  <c r="K4" i="38"/>
  <c r="O4" i="38"/>
  <c r="I6" i="38"/>
  <c r="C8" i="38"/>
  <c r="G15" i="38"/>
  <c r="I17" i="38"/>
  <c r="N17" i="38"/>
  <c r="D19" i="38"/>
  <c r="O19" i="38"/>
  <c r="L21" i="38"/>
  <c r="H21" i="38"/>
  <c r="D21" i="38"/>
  <c r="F21" i="38"/>
  <c r="K21" i="38"/>
  <c r="N23" i="38"/>
  <c r="J23" i="38"/>
  <c r="F23" i="38"/>
  <c r="G23" i="38"/>
  <c r="L23" i="38"/>
  <c r="C25" i="38"/>
  <c r="I25" i="38"/>
  <c r="N25" i="38"/>
  <c r="D27" i="38"/>
  <c r="I27" i="38"/>
  <c r="O27" i="38"/>
  <c r="N29" i="38"/>
  <c r="J29" i="38"/>
  <c r="F29" i="38"/>
  <c r="L29" i="38"/>
  <c r="H29" i="38"/>
  <c r="D29" i="38"/>
  <c r="I29" i="38"/>
  <c r="L31" i="38"/>
  <c r="H31" i="38"/>
  <c r="D31" i="38"/>
  <c r="N31" i="38"/>
  <c r="J31" i="38"/>
  <c r="F31" i="38"/>
  <c r="I31" i="38"/>
  <c r="N33" i="38"/>
  <c r="J33" i="38"/>
  <c r="F33" i="38"/>
  <c r="L33" i="38"/>
  <c r="H33" i="38"/>
  <c r="D33" i="38"/>
  <c r="I33" i="38"/>
  <c r="L35" i="38"/>
  <c r="H35" i="38"/>
  <c r="D35" i="38"/>
  <c r="N35" i="38"/>
  <c r="J35" i="38"/>
  <c r="F35" i="38"/>
  <c r="I35" i="38"/>
  <c r="N37" i="38"/>
  <c r="J37" i="38"/>
  <c r="F37" i="38"/>
  <c r="L37" i="38"/>
  <c r="H37" i="38"/>
  <c r="D37" i="38"/>
  <c r="I37" i="38"/>
  <c r="L39" i="38"/>
  <c r="H39" i="38"/>
  <c r="D39" i="38"/>
  <c r="N39" i="38"/>
  <c r="J39" i="38"/>
  <c r="F39" i="38"/>
  <c r="I39" i="38"/>
  <c r="N41" i="38"/>
  <c r="J41" i="38"/>
  <c r="F41" i="38"/>
  <c r="L41" i="38"/>
  <c r="H41" i="38"/>
  <c r="D41" i="38"/>
  <c r="I41" i="38"/>
  <c r="I43" i="38"/>
  <c r="I4" i="38"/>
  <c r="M4" i="38"/>
  <c r="E8" i="38"/>
  <c r="J8" i="38"/>
  <c r="F9" i="38"/>
  <c r="K9" i="38"/>
  <c r="N11" i="38"/>
  <c r="J11" i="38"/>
  <c r="F11" i="38"/>
  <c r="G11" i="38"/>
  <c r="E6" i="38"/>
  <c r="M6" i="38"/>
  <c r="H8" i="38"/>
  <c r="M8" i="38"/>
  <c r="C9" i="38"/>
  <c r="B9" i="38" s="1"/>
  <c r="I9" i="38"/>
  <c r="N9" i="38"/>
  <c r="D11" i="38"/>
  <c r="I11" i="38"/>
  <c r="L13" i="38"/>
  <c r="H13" i="38"/>
  <c r="D13" i="38"/>
  <c r="F13" i="38"/>
  <c r="K13" i="38"/>
  <c r="N15" i="38"/>
  <c r="J15" i="38"/>
  <c r="F15" i="38"/>
  <c r="C17" i="38"/>
  <c r="I19" i="38"/>
  <c r="F2" i="38"/>
  <c r="J2" i="38"/>
  <c r="C3" i="38"/>
  <c r="G3" i="38"/>
  <c r="K3" i="38"/>
  <c r="D4" i="38"/>
  <c r="H4" i="38"/>
  <c r="E5" i="38"/>
  <c r="I5" i="38"/>
  <c r="F6" i="38"/>
  <c r="J6" i="38"/>
  <c r="C7" i="38"/>
  <c r="G7" i="38"/>
  <c r="K7" i="38"/>
  <c r="D8" i="38"/>
  <c r="I8" i="38"/>
  <c r="N8" i="38"/>
  <c r="E9" i="38"/>
  <c r="J9" i="38"/>
  <c r="O9" i="38"/>
  <c r="E11" i="38"/>
  <c r="K11" i="38"/>
  <c r="O12" i="38"/>
  <c r="K12" i="38"/>
  <c r="G12" i="38"/>
  <c r="C12" i="38"/>
  <c r="F12" i="38"/>
  <c r="L12" i="38"/>
  <c r="G13" i="38"/>
  <c r="M13" i="38"/>
  <c r="C15" i="38"/>
  <c r="H15" i="38"/>
  <c r="M15" i="38"/>
  <c r="D16" i="38"/>
  <c r="I16" i="38"/>
  <c r="N16" i="38"/>
  <c r="E17" i="38"/>
  <c r="J17" i="38"/>
  <c r="O17" i="38"/>
  <c r="E19" i="38"/>
  <c r="K19" i="38"/>
  <c r="O20" i="38"/>
  <c r="K20" i="38"/>
  <c r="G20" i="38"/>
  <c r="C20" i="38"/>
  <c r="F20" i="38"/>
  <c r="L20" i="38"/>
  <c r="G21" i="38"/>
  <c r="M21" i="38"/>
  <c r="C23" i="38"/>
  <c r="B23" i="38" s="1"/>
  <c r="H23" i="38"/>
  <c r="M23" i="38"/>
  <c r="D24" i="38"/>
  <c r="I24" i="38"/>
  <c r="N24" i="38"/>
  <c r="E25" i="38"/>
  <c r="J25" i="38"/>
  <c r="O25" i="38"/>
  <c r="E27" i="38"/>
  <c r="K27" i="38"/>
  <c r="O28" i="38"/>
  <c r="K28" i="38"/>
  <c r="G28" i="38"/>
  <c r="C28" i="38"/>
  <c r="F28" i="38"/>
  <c r="L28" i="38"/>
  <c r="C29" i="38"/>
  <c r="B29" i="38" s="1"/>
  <c r="K29" i="38"/>
  <c r="C31" i="38"/>
  <c r="B31" i="38" s="1"/>
  <c r="K31" i="38"/>
  <c r="C33" i="38"/>
  <c r="B33" i="38" s="1"/>
  <c r="L35" i="20" s="1"/>
  <c r="K33" i="38"/>
  <c r="C35" i="38"/>
  <c r="K35" i="38"/>
  <c r="C37" i="38"/>
  <c r="B37" i="38" s="1"/>
  <c r="L30" i="20" s="1"/>
  <c r="K37" i="38"/>
  <c r="C39" i="38"/>
  <c r="B39" i="38" s="1"/>
  <c r="L31" i="20" s="1"/>
  <c r="K39" i="38"/>
  <c r="C41" i="38"/>
  <c r="B41" i="38" s="1"/>
  <c r="L42" i="20" s="1"/>
  <c r="K41" i="38"/>
  <c r="M43" i="38"/>
  <c r="E47" i="38"/>
  <c r="I47" i="38"/>
  <c r="M47" i="38"/>
  <c r="L52" i="38"/>
  <c r="H52" i="38"/>
  <c r="D52" i="38"/>
  <c r="F52" i="38"/>
  <c r="K52" i="38"/>
  <c r="N54" i="38"/>
  <c r="J54" i="38"/>
  <c r="F54" i="38"/>
  <c r="G54" i="38"/>
  <c r="L54" i="38"/>
  <c r="N64" i="38"/>
  <c r="F68" i="38"/>
  <c r="E10" i="38"/>
  <c r="I10" i="38"/>
  <c r="E14" i="38"/>
  <c r="B14" i="38" s="1"/>
  <c r="I14" i="38"/>
  <c r="E18" i="38"/>
  <c r="I18" i="38"/>
  <c r="E22" i="38"/>
  <c r="I22" i="38"/>
  <c r="E26" i="38"/>
  <c r="I26" i="38"/>
  <c r="E30" i="38"/>
  <c r="B30" i="38" s="1"/>
  <c r="I30" i="38"/>
  <c r="C32" i="38"/>
  <c r="B32" i="38" s="1"/>
  <c r="L28" i="20" s="1"/>
  <c r="G32" i="38"/>
  <c r="K32" i="38"/>
  <c r="O32" i="38"/>
  <c r="E34" i="38"/>
  <c r="I34" i="38"/>
  <c r="C36" i="38"/>
  <c r="G36" i="38"/>
  <c r="K36" i="38"/>
  <c r="O36" i="38"/>
  <c r="E38" i="38"/>
  <c r="B38" i="38" s="1"/>
  <c r="L43" i="20" s="1"/>
  <c r="I38" i="38"/>
  <c r="C40" i="38"/>
  <c r="B40" i="38" s="1"/>
  <c r="L37" i="20" s="1"/>
  <c r="G40" i="38"/>
  <c r="K40" i="38"/>
  <c r="O40" i="38"/>
  <c r="E42" i="38"/>
  <c r="I42" i="38"/>
  <c r="M42" i="38"/>
  <c r="C44" i="38"/>
  <c r="B44" i="38" s="1"/>
  <c r="L6" i="20" s="1"/>
  <c r="G44" i="38"/>
  <c r="K44" i="38"/>
  <c r="O44" i="38"/>
  <c r="D45" i="38"/>
  <c r="H45" i="38"/>
  <c r="L45" i="38"/>
  <c r="E46" i="38"/>
  <c r="I46" i="38"/>
  <c r="M46" i="38"/>
  <c r="F47" i="38"/>
  <c r="J47" i="38"/>
  <c r="N47" i="38"/>
  <c r="E48" i="38"/>
  <c r="J48" i="38"/>
  <c r="E50" i="38"/>
  <c r="O51" i="38"/>
  <c r="K51" i="38"/>
  <c r="G51" i="38"/>
  <c r="C51" i="38"/>
  <c r="F51" i="38"/>
  <c r="L51" i="38"/>
  <c r="G52" i="38"/>
  <c r="M52" i="38"/>
  <c r="C54" i="38"/>
  <c r="H54" i="38"/>
  <c r="M54" i="38"/>
  <c r="D55" i="38"/>
  <c r="I55" i="38"/>
  <c r="E56" i="38"/>
  <c r="J56" i="38"/>
  <c r="G58" i="38"/>
  <c r="G60" i="38"/>
  <c r="G62" i="38"/>
  <c r="E45" i="38"/>
  <c r="I45" i="38"/>
  <c r="M45" i="38"/>
  <c r="C47" i="38"/>
  <c r="G47" i="38"/>
  <c r="K47" i="38"/>
  <c r="L48" i="38"/>
  <c r="H48" i="38"/>
  <c r="D48" i="38"/>
  <c r="F48" i="38"/>
  <c r="K48" i="38"/>
  <c r="N50" i="38"/>
  <c r="J50" i="38"/>
  <c r="F50" i="38"/>
  <c r="G50" i="38"/>
  <c r="L50" i="38"/>
  <c r="C52" i="38"/>
  <c r="I52" i="38"/>
  <c r="N52" i="38"/>
  <c r="D54" i="38"/>
  <c r="I54" i="38"/>
  <c r="O54" i="38"/>
  <c r="L56" i="38"/>
  <c r="H56" i="38"/>
  <c r="D56" i="38"/>
  <c r="F56" i="38"/>
  <c r="K56" i="38"/>
  <c r="L58" i="38"/>
  <c r="H58" i="38"/>
  <c r="D58" i="38"/>
  <c r="N58" i="38"/>
  <c r="J58" i="38"/>
  <c r="F58" i="38"/>
  <c r="I58" i="38"/>
  <c r="N60" i="38"/>
  <c r="J60" i="38"/>
  <c r="F60" i="38"/>
  <c r="L60" i="38"/>
  <c r="H60" i="38"/>
  <c r="D60" i="38"/>
  <c r="I60" i="38"/>
  <c r="L62" i="38"/>
  <c r="H62" i="38"/>
  <c r="D62" i="38"/>
  <c r="N62" i="38"/>
  <c r="J62" i="38"/>
  <c r="F62" i="38"/>
  <c r="I62" i="38"/>
  <c r="O64" i="38"/>
  <c r="K64" i="38"/>
  <c r="J64" i="38"/>
  <c r="F64" i="38"/>
  <c r="M64" i="38"/>
  <c r="H64" i="38"/>
  <c r="D64" i="38"/>
  <c r="I64" i="38"/>
  <c r="O68" i="38"/>
  <c r="K68" i="38"/>
  <c r="G68" i="38"/>
  <c r="C68" i="38"/>
  <c r="M68" i="38"/>
  <c r="H68" i="38"/>
  <c r="J68" i="38"/>
  <c r="E68" i="38"/>
  <c r="L68" i="38"/>
  <c r="E32" i="38"/>
  <c r="I32" i="38"/>
  <c r="E36" i="38"/>
  <c r="I36" i="38"/>
  <c r="E40" i="38"/>
  <c r="I40" i="38"/>
  <c r="E44" i="38"/>
  <c r="I44" i="38"/>
  <c r="F45" i="38"/>
  <c r="J45" i="38"/>
  <c r="C46" i="38"/>
  <c r="G46" i="38"/>
  <c r="K46" i="38"/>
  <c r="D47" i="38"/>
  <c r="H47" i="38"/>
  <c r="L47" i="38"/>
  <c r="G48" i="38"/>
  <c r="M48" i="38"/>
  <c r="C50" i="38"/>
  <c r="H50" i="38"/>
  <c r="M50" i="38"/>
  <c r="D51" i="38"/>
  <c r="I51" i="38"/>
  <c r="N51" i="38"/>
  <c r="E52" i="38"/>
  <c r="J52" i="38"/>
  <c r="O52" i="38"/>
  <c r="E54" i="38"/>
  <c r="K54" i="38"/>
  <c r="O55" i="38"/>
  <c r="K55" i="38"/>
  <c r="G55" i="38"/>
  <c r="C55" i="38"/>
  <c r="F55" i="38"/>
  <c r="L55" i="38"/>
  <c r="G56" i="38"/>
  <c r="M56" i="38"/>
  <c r="C58" i="38"/>
  <c r="K58" i="38"/>
  <c r="C60" i="38"/>
  <c r="K60" i="38"/>
  <c r="C62" i="38"/>
  <c r="K62" i="38"/>
  <c r="C64" i="38"/>
  <c r="L64" i="38"/>
  <c r="D68" i="38"/>
  <c r="N68" i="38"/>
  <c r="O72" i="38"/>
  <c r="K72" i="38"/>
  <c r="G72" i="38"/>
  <c r="C72" i="38"/>
  <c r="F72" i="38"/>
  <c r="L72" i="38"/>
  <c r="N76" i="38"/>
  <c r="O84" i="38"/>
  <c r="K84" i="38"/>
  <c r="G84" i="38"/>
  <c r="C84" i="38"/>
  <c r="J84" i="38"/>
  <c r="E84" i="38"/>
  <c r="N84" i="38"/>
  <c r="I84" i="38"/>
  <c r="D84" i="38"/>
  <c r="M84" i="38"/>
  <c r="H84" i="38"/>
  <c r="E49" i="38"/>
  <c r="I49" i="38"/>
  <c r="E53" i="38"/>
  <c r="I53" i="38"/>
  <c r="E57" i="38"/>
  <c r="I57" i="38"/>
  <c r="C59" i="38"/>
  <c r="G59" i="38"/>
  <c r="K59" i="38"/>
  <c r="O59" i="38"/>
  <c r="E61" i="38"/>
  <c r="I61" i="38"/>
  <c r="C63" i="38"/>
  <c r="G63" i="38"/>
  <c r="K63" i="38"/>
  <c r="O63" i="38"/>
  <c r="C65" i="38"/>
  <c r="I65" i="38"/>
  <c r="D67" i="38"/>
  <c r="I67" i="38"/>
  <c r="L69" i="38"/>
  <c r="H69" i="38"/>
  <c r="D69" i="38"/>
  <c r="F69" i="38"/>
  <c r="K69" i="38"/>
  <c r="N71" i="38"/>
  <c r="J71" i="38"/>
  <c r="F71" i="38"/>
  <c r="G71" i="38"/>
  <c r="L71" i="38"/>
  <c r="H72" i="38"/>
  <c r="M72" i="38"/>
  <c r="C73" i="38"/>
  <c r="I73" i="38"/>
  <c r="D75" i="38"/>
  <c r="I75" i="38"/>
  <c r="E76" i="38"/>
  <c r="F84" i="38"/>
  <c r="D72" i="38"/>
  <c r="I72" i="38"/>
  <c r="N72" i="38"/>
  <c r="O76" i="38"/>
  <c r="K76" i="38"/>
  <c r="G76" i="38"/>
  <c r="C76" i="38"/>
  <c r="F76" i="38"/>
  <c r="L76" i="38"/>
  <c r="E59" i="38"/>
  <c r="I59" i="38"/>
  <c r="E63" i="38"/>
  <c r="I63" i="38"/>
  <c r="L65" i="38"/>
  <c r="H65" i="38"/>
  <c r="D65" i="38"/>
  <c r="F65" i="38"/>
  <c r="K65" i="38"/>
  <c r="N67" i="38"/>
  <c r="J67" i="38"/>
  <c r="F67" i="38"/>
  <c r="G67" i="38"/>
  <c r="L67" i="38"/>
  <c r="E72" i="38"/>
  <c r="J72" i="38"/>
  <c r="L73" i="38"/>
  <c r="H73" i="38"/>
  <c r="D73" i="38"/>
  <c r="F73" i="38"/>
  <c r="K73" i="38"/>
  <c r="N75" i="38"/>
  <c r="J75" i="38"/>
  <c r="F75" i="38"/>
  <c r="G75" i="38"/>
  <c r="L75" i="38"/>
  <c r="H76" i="38"/>
  <c r="M76" i="38"/>
  <c r="L81" i="38"/>
  <c r="H81" i="38"/>
  <c r="D81" i="38"/>
  <c r="F81" i="38"/>
  <c r="K81" i="38"/>
  <c r="N83" i="38"/>
  <c r="J83" i="38"/>
  <c r="F83" i="38"/>
  <c r="G83" i="38"/>
  <c r="L83" i="38"/>
  <c r="L89" i="38"/>
  <c r="H89" i="38"/>
  <c r="D89" i="38"/>
  <c r="F89" i="38"/>
  <c r="K89" i="38"/>
  <c r="N91" i="38"/>
  <c r="J91" i="38"/>
  <c r="F91" i="38"/>
  <c r="G91" i="38"/>
  <c r="L91" i="38"/>
  <c r="H92" i="38"/>
  <c r="M92" i="38"/>
  <c r="L97" i="38"/>
  <c r="H97" i="38"/>
  <c r="D97" i="38"/>
  <c r="F97" i="38"/>
  <c r="K97" i="38"/>
  <c r="O80" i="38"/>
  <c r="K80" i="38"/>
  <c r="G80" i="38"/>
  <c r="C80" i="38"/>
  <c r="F80" i="38"/>
  <c r="L80" i="38"/>
  <c r="G81" i="38"/>
  <c r="M81" i="38"/>
  <c r="C83" i="38"/>
  <c r="H83" i="38"/>
  <c r="M83" i="38"/>
  <c r="O88" i="38"/>
  <c r="K88" i="38"/>
  <c r="G88" i="38"/>
  <c r="C88" i="38"/>
  <c r="F88" i="38"/>
  <c r="L88" i="38"/>
  <c r="G89" i="38"/>
  <c r="M89" i="38"/>
  <c r="C91" i="38"/>
  <c r="H91" i="38"/>
  <c r="M91" i="38"/>
  <c r="D92" i="38"/>
  <c r="I92" i="38"/>
  <c r="N92" i="38"/>
  <c r="E93" i="38"/>
  <c r="J93" i="38"/>
  <c r="E95" i="38"/>
  <c r="O96" i="38"/>
  <c r="K96" i="38"/>
  <c r="G96" i="38"/>
  <c r="C96" i="38"/>
  <c r="F96" i="38"/>
  <c r="L96" i="38"/>
  <c r="G97" i="38"/>
  <c r="M97" i="38"/>
  <c r="E66" i="38"/>
  <c r="I66" i="38"/>
  <c r="E70" i="38"/>
  <c r="I70" i="38"/>
  <c r="E74" i="38"/>
  <c r="I74" i="38"/>
  <c r="L77" i="38"/>
  <c r="H77" i="38"/>
  <c r="D77" i="38"/>
  <c r="F77" i="38"/>
  <c r="K77" i="38"/>
  <c r="N79" i="38"/>
  <c r="J79" i="38"/>
  <c r="F79" i="38"/>
  <c r="G79" i="38"/>
  <c r="L79" i="38"/>
  <c r="H80" i="38"/>
  <c r="M80" i="38"/>
  <c r="C81" i="38"/>
  <c r="I81" i="38"/>
  <c r="N81" i="38"/>
  <c r="D83" i="38"/>
  <c r="I83" i="38"/>
  <c r="O83" i="38"/>
  <c r="L85" i="38"/>
  <c r="H85" i="38"/>
  <c r="D85" i="38"/>
  <c r="F85" i="38"/>
  <c r="K85" i="38"/>
  <c r="N87" i="38"/>
  <c r="J87" i="38"/>
  <c r="F87" i="38"/>
  <c r="G87" i="38"/>
  <c r="L87" i="38"/>
  <c r="H88" i="38"/>
  <c r="M88" i="38"/>
  <c r="C89" i="38"/>
  <c r="I89" i="38"/>
  <c r="N89" i="38"/>
  <c r="D91" i="38"/>
  <c r="I91" i="38"/>
  <c r="O91" i="38"/>
  <c r="E92" i="38"/>
  <c r="L93" i="38"/>
  <c r="H93" i="38"/>
  <c r="D93" i="38"/>
  <c r="F93" i="38"/>
  <c r="K93" i="38"/>
  <c r="N95" i="38"/>
  <c r="J95" i="38"/>
  <c r="F95" i="38"/>
  <c r="G95" i="38"/>
  <c r="L95" i="38"/>
  <c r="H96" i="38"/>
  <c r="M96" i="38"/>
  <c r="C97" i="38"/>
  <c r="I97" i="38"/>
  <c r="N97" i="38"/>
  <c r="O92" i="38"/>
  <c r="K92" i="38"/>
  <c r="G92" i="38"/>
  <c r="C92" i="38"/>
  <c r="F92" i="38"/>
  <c r="L92" i="38"/>
  <c r="E100" i="38"/>
  <c r="I100" i="38"/>
  <c r="M100" i="38"/>
  <c r="E99" i="38"/>
  <c r="I99" i="38"/>
  <c r="M99" i="38"/>
  <c r="F100" i="38"/>
  <c r="J100" i="38"/>
  <c r="N100" i="38"/>
  <c r="E78" i="38"/>
  <c r="I78" i="38"/>
  <c r="E82" i="38"/>
  <c r="I82" i="38"/>
  <c r="E86" i="38"/>
  <c r="I86" i="38"/>
  <c r="E90" i="38"/>
  <c r="I90" i="38"/>
  <c r="E94" i="38"/>
  <c r="I94" i="38"/>
  <c r="E98" i="38"/>
  <c r="I98" i="38"/>
  <c r="F99" i="38"/>
  <c r="J99" i="38"/>
  <c r="C100" i="38"/>
  <c r="G100" i="38"/>
  <c r="K100" i="38"/>
  <c r="B94" i="38" l="1"/>
  <c r="B86" i="38"/>
  <c r="B78" i="38"/>
  <c r="B79" i="38"/>
  <c r="B55" i="38"/>
  <c r="B27" i="38"/>
  <c r="B75" i="38"/>
  <c r="B67" i="38"/>
  <c r="B61" i="38"/>
  <c r="B53" i="38"/>
  <c r="B56" i="38"/>
  <c r="B48" i="38"/>
  <c r="B90" i="38"/>
  <c r="B95" i="38"/>
  <c r="B91" i="38"/>
  <c r="B80" i="38"/>
  <c r="B42" i="38"/>
  <c r="L33" i="20" s="1"/>
  <c r="B34" i="38"/>
  <c r="L29" i="20" s="1"/>
  <c r="B18" i="38"/>
  <c r="B35" i="38"/>
  <c r="L34" i="20" s="1"/>
  <c r="B20" i="38"/>
  <c r="B13" i="38"/>
  <c r="B98" i="38"/>
  <c r="B82" i="38"/>
  <c r="B99" i="38"/>
  <c r="B87" i="38"/>
  <c r="B85" i="38"/>
  <c r="B81" i="38"/>
  <c r="B70" i="38"/>
  <c r="B71" i="38"/>
  <c r="B57" i="38"/>
  <c r="B49" i="38"/>
  <c r="B62" i="38"/>
  <c r="B58" i="38"/>
  <c r="B45" i="38"/>
  <c r="B21" i="38"/>
  <c r="B6" i="38"/>
  <c r="B93" i="38"/>
  <c r="B88" i="38"/>
  <c r="B100" i="38"/>
  <c r="B89" i="38"/>
  <c r="B77" i="38"/>
  <c r="B74" i="38"/>
  <c r="B66" i="38"/>
  <c r="B64" i="38"/>
  <c r="B60" i="38"/>
  <c r="B52" i="38"/>
  <c r="B51" i="38"/>
  <c r="B36" i="38"/>
  <c r="L23" i="20" s="1"/>
  <c r="B28" i="38"/>
  <c r="B7" i="38"/>
  <c r="B5" i="38"/>
  <c r="B19" i="38"/>
  <c r="B92" i="38"/>
  <c r="B97" i="38"/>
  <c r="B83" i="38"/>
  <c r="B69" i="38"/>
  <c r="B59" i="38"/>
  <c r="B72" i="38"/>
  <c r="B50" i="38"/>
  <c r="B46" i="38"/>
  <c r="B68" i="38"/>
  <c r="B47" i="38"/>
  <c r="B15" i="38"/>
  <c r="B3" i="38"/>
  <c r="B17" i="38"/>
  <c r="B76" i="38"/>
  <c r="B12" i="38"/>
  <c r="B25" i="38"/>
  <c r="B8" i="38"/>
  <c r="B96" i="38"/>
  <c r="B73" i="38"/>
  <c r="B65" i="38"/>
  <c r="B63" i="38"/>
  <c r="B84" i="38"/>
  <c r="B54" i="38"/>
  <c r="B4" i="38"/>
  <c r="B24" i="38"/>
  <c r="B11" i="38"/>
  <c r="C3" i="50" l="1"/>
  <c r="T14" i="20" l="1"/>
  <c r="T16" i="20"/>
  <c r="T8" i="20"/>
  <c r="T5" i="20"/>
  <c r="T11" i="20"/>
  <c r="T17" i="20"/>
  <c r="T4" i="20"/>
  <c r="T7" i="20"/>
  <c r="T20" i="20"/>
  <c r="T13" i="20"/>
  <c r="T12" i="20"/>
  <c r="T21" i="20"/>
  <c r="T19" i="20"/>
  <c r="T15" i="20"/>
  <c r="T44" i="20"/>
  <c r="T45" i="20"/>
  <c r="T32" i="20"/>
  <c r="T40" i="20"/>
  <c r="T27" i="20"/>
  <c r="T9" i="20"/>
  <c r="T22" i="20"/>
  <c r="T10" i="20"/>
  <c r="T41" i="20"/>
  <c r="T24" i="20"/>
  <c r="T46" i="20"/>
  <c r="T26" i="20"/>
  <c r="T36" i="20"/>
  <c r="T25" i="20"/>
  <c r="T39" i="20"/>
  <c r="T18" i="20"/>
  <c r="B3" i="7" l="1"/>
  <c r="C3" i="7"/>
  <c r="D3" i="7"/>
  <c r="E3" i="7"/>
  <c r="F3" i="7"/>
  <c r="G3" i="7"/>
  <c r="B4" i="7"/>
  <c r="C4" i="7"/>
  <c r="D4" i="7"/>
  <c r="E4" i="7"/>
  <c r="F4" i="7"/>
  <c r="G4" i="7"/>
  <c r="B5" i="7"/>
  <c r="C5" i="7"/>
  <c r="D5" i="7"/>
  <c r="E5" i="7"/>
  <c r="F5" i="7"/>
  <c r="G5" i="7"/>
  <c r="B6" i="7"/>
  <c r="C6" i="7"/>
  <c r="D6" i="7"/>
  <c r="E6" i="7"/>
  <c r="F6" i="7"/>
  <c r="G6" i="7"/>
  <c r="B7" i="7"/>
  <c r="C7" i="7"/>
  <c r="D7" i="7"/>
  <c r="E7" i="7"/>
  <c r="F7" i="7"/>
  <c r="G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G2" i="7"/>
  <c r="F2" i="7"/>
  <c r="E2" i="7"/>
  <c r="D2" i="7"/>
  <c r="C2" i="7"/>
  <c r="B2" i="7"/>
  <c r="A100" i="49" l="1"/>
  <c r="O100" i="49" s="1"/>
  <c r="A99" i="49"/>
  <c r="N99" i="49" s="1"/>
  <c r="A98" i="49"/>
  <c r="M98" i="49" s="1"/>
  <c r="A97" i="49"/>
  <c r="M97" i="49" s="1"/>
  <c r="A96" i="49"/>
  <c r="A95" i="49"/>
  <c r="A94" i="49"/>
  <c r="M94" i="49" s="1"/>
  <c r="A93" i="49"/>
  <c r="N93" i="49" s="1"/>
  <c r="A92" i="49"/>
  <c r="A91" i="49"/>
  <c r="A90" i="49"/>
  <c r="M90" i="49" s="1"/>
  <c r="A89" i="49"/>
  <c r="A88" i="49"/>
  <c r="I88" i="49" s="1"/>
  <c r="A87" i="49"/>
  <c r="A86" i="49"/>
  <c r="M86" i="49" s="1"/>
  <c r="A85" i="49"/>
  <c r="A84" i="49"/>
  <c r="A83" i="49"/>
  <c r="L83" i="49" s="1"/>
  <c r="A82" i="49"/>
  <c r="A81" i="49"/>
  <c r="K81" i="49" s="1"/>
  <c r="A80" i="49"/>
  <c r="J80" i="49" s="1"/>
  <c r="A79" i="49"/>
  <c r="K79" i="49" s="1"/>
  <c r="A78" i="49"/>
  <c r="L78" i="49" s="1"/>
  <c r="A77" i="49"/>
  <c r="O77" i="49" s="1"/>
  <c r="A76" i="49"/>
  <c r="I76" i="49" s="1"/>
  <c r="A75" i="49"/>
  <c r="M75" i="49" s="1"/>
  <c r="A74" i="49"/>
  <c r="F74" i="49" s="1"/>
  <c r="A73" i="49"/>
  <c r="N73" i="49" s="1"/>
  <c r="A72" i="49"/>
  <c r="O72" i="49" s="1"/>
  <c r="A71" i="49"/>
  <c r="M71" i="49" s="1"/>
  <c r="A70" i="49"/>
  <c r="I70" i="49" s="1"/>
  <c r="A69" i="49"/>
  <c r="E68" i="49"/>
  <c r="A68" i="49"/>
  <c r="K68" i="49" s="1"/>
  <c r="A67" i="49"/>
  <c r="M67" i="49" s="1"/>
  <c r="A66" i="49"/>
  <c r="K66" i="49" s="1"/>
  <c r="A65" i="49"/>
  <c r="I65" i="49" s="1"/>
  <c r="A64" i="49"/>
  <c r="O64" i="49" s="1"/>
  <c r="A63" i="49"/>
  <c r="E63" i="49" s="1"/>
  <c r="A62" i="49"/>
  <c r="K62" i="49" s="1"/>
  <c r="A61" i="49"/>
  <c r="K61" i="49" s="1"/>
  <c r="A60" i="49"/>
  <c r="N60" i="49" s="1"/>
  <c r="A59" i="49"/>
  <c r="N59" i="49" s="1"/>
  <c r="A58" i="49"/>
  <c r="A57" i="49"/>
  <c r="M57" i="49" s="1"/>
  <c r="A56" i="49"/>
  <c r="F56" i="49" s="1"/>
  <c r="H55" i="49"/>
  <c r="A55" i="49"/>
  <c r="E55" i="49" s="1"/>
  <c r="A54" i="49"/>
  <c r="A53" i="49"/>
  <c r="M53" i="49" s="1"/>
  <c r="A52" i="49"/>
  <c r="O52" i="49" s="1"/>
  <c r="A51" i="49"/>
  <c r="J51" i="49" s="1"/>
  <c r="A50" i="49"/>
  <c r="A49" i="49"/>
  <c r="A48" i="49"/>
  <c r="A47" i="49"/>
  <c r="A46" i="49"/>
  <c r="A45" i="49"/>
  <c r="M45" i="49" s="1"/>
  <c r="A44" i="49"/>
  <c r="A43" i="49"/>
  <c r="A42" i="49"/>
  <c r="N42" i="49" s="1"/>
  <c r="A41" i="49"/>
  <c r="M41" i="49" s="1"/>
  <c r="A40" i="49"/>
  <c r="O40" i="49" s="1"/>
  <c r="A39" i="49"/>
  <c r="A38" i="49"/>
  <c r="H38" i="49" s="1"/>
  <c r="A37" i="49"/>
  <c r="D36" i="49"/>
  <c r="A36" i="49"/>
  <c r="J36" i="49" s="1"/>
  <c r="A35" i="49"/>
  <c r="G35" i="49" s="1"/>
  <c r="A34" i="49"/>
  <c r="A33" i="49"/>
  <c r="O33" i="49" s="1"/>
  <c r="A32" i="49"/>
  <c r="A31" i="49"/>
  <c r="O31" i="49" s="1"/>
  <c r="G30" i="49"/>
  <c r="A30" i="49"/>
  <c r="L30" i="49" s="1"/>
  <c r="A29" i="49"/>
  <c r="D28" i="49"/>
  <c r="A28" i="49"/>
  <c r="J28" i="49" s="1"/>
  <c r="A27" i="49"/>
  <c r="A26" i="49"/>
  <c r="K26" i="49" s="1"/>
  <c r="A25" i="49"/>
  <c r="N25" i="49" s="1"/>
  <c r="A24" i="49"/>
  <c r="A23" i="49"/>
  <c r="O23" i="49" s="1"/>
  <c r="A22" i="49"/>
  <c r="L22" i="49" s="1"/>
  <c r="A21" i="49"/>
  <c r="A20" i="49"/>
  <c r="J20" i="49" s="1"/>
  <c r="A19" i="49"/>
  <c r="M19" i="49" s="1"/>
  <c r="A18" i="49"/>
  <c r="K18" i="49" s="1"/>
  <c r="A17" i="49"/>
  <c r="N17" i="49" s="1"/>
  <c r="A16" i="49"/>
  <c r="A15" i="49"/>
  <c r="O15" i="49" s="1"/>
  <c r="A14" i="49"/>
  <c r="L14" i="49" s="1"/>
  <c r="A13" i="49"/>
  <c r="A12" i="49"/>
  <c r="J12" i="49" s="1"/>
  <c r="A11" i="49"/>
  <c r="O11" i="49" s="1"/>
  <c r="A10" i="49"/>
  <c r="K10" i="49" s="1"/>
  <c r="A9" i="49"/>
  <c r="L9" i="49" s="1"/>
  <c r="A8" i="49"/>
  <c r="N8" i="49" s="1"/>
  <c r="A7" i="49"/>
  <c r="L7" i="49" s="1"/>
  <c r="A6" i="49"/>
  <c r="O6" i="49" s="1"/>
  <c r="A5" i="49"/>
  <c r="J5" i="49" s="1"/>
  <c r="A4" i="49"/>
  <c r="M4" i="49" s="1"/>
  <c r="A3" i="49"/>
  <c r="L3" i="49" s="1"/>
  <c r="A2" i="49"/>
  <c r="L2" i="49" s="1"/>
  <c r="A100" i="48"/>
  <c r="H100" i="48" s="1"/>
  <c r="A99" i="48"/>
  <c r="L99" i="48" s="1"/>
  <c r="A98" i="48"/>
  <c r="M98" i="48" s="1"/>
  <c r="A97" i="48"/>
  <c r="A96" i="48"/>
  <c r="D96" i="48" s="1"/>
  <c r="A95" i="48"/>
  <c r="N95" i="48" s="1"/>
  <c r="A94" i="48"/>
  <c r="A93" i="48"/>
  <c r="J93" i="48" s="1"/>
  <c r="A92" i="48"/>
  <c r="A91" i="48"/>
  <c r="N91" i="48" s="1"/>
  <c r="A90" i="48"/>
  <c r="N90" i="48" s="1"/>
  <c r="A89" i="48"/>
  <c r="A88" i="48"/>
  <c r="H88" i="48" s="1"/>
  <c r="A87" i="48"/>
  <c r="O87" i="48" s="1"/>
  <c r="F86" i="48"/>
  <c r="A86" i="48"/>
  <c r="O86" i="48" s="1"/>
  <c r="A85" i="48"/>
  <c r="A84" i="48"/>
  <c r="I84" i="48" s="1"/>
  <c r="A83" i="48"/>
  <c r="L83" i="48" s="1"/>
  <c r="A82" i="48"/>
  <c r="O82" i="48" s="1"/>
  <c r="A81" i="48"/>
  <c r="K81" i="48" s="1"/>
  <c r="A80" i="48"/>
  <c r="M80" i="48" s="1"/>
  <c r="A79" i="48"/>
  <c r="A78" i="48"/>
  <c r="M78" i="48" s="1"/>
  <c r="A77" i="48"/>
  <c r="A76" i="48"/>
  <c r="I76" i="48" s="1"/>
  <c r="A75" i="48"/>
  <c r="A74" i="48"/>
  <c r="N74" i="48" s="1"/>
  <c r="A73" i="48"/>
  <c r="A72" i="48"/>
  <c r="A71" i="48"/>
  <c r="O71" i="48" s="1"/>
  <c r="A70" i="48"/>
  <c r="A69" i="48"/>
  <c r="M69" i="48" s="1"/>
  <c r="A68" i="48"/>
  <c r="I68" i="48" s="1"/>
  <c r="A67" i="48"/>
  <c r="J67" i="48" s="1"/>
  <c r="A66" i="48"/>
  <c r="A65" i="48"/>
  <c r="L65" i="48" s="1"/>
  <c r="A64" i="48"/>
  <c r="I64" i="48" s="1"/>
  <c r="A63" i="48"/>
  <c r="O63" i="48" s="1"/>
  <c r="A62" i="48"/>
  <c r="I62" i="48" s="1"/>
  <c r="A61" i="48"/>
  <c r="K61" i="48" s="1"/>
  <c r="A60" i="48"/>
  <c r="I60" i="48" s="1"/>
  <c r="A59" i="48"/>
  <c r="N59" i="48" s="1"/>
  <c r="A58" i="48"/>
  <c r="K58" i="48" s="1"/>
  <c r="A57" i="48"/>
  <c r="M57" i="48" s="1"/>
  <c r="A56" i="48"/>
  <c r="M56" i="48" s="1"/>
  <c r="A55" i="48"/>
  <c r="L55" i="48" s="1"/>
  <c r="A54" i="48"/>
  <c r="O54" i="48" s="1"/>
  <c r="A53" i="48"/>
  <c r="L53" i="48" s="1"/>
  <c r="A52" i="48"/>
  <c r="O52" i="48" s="1"/>
  <c r="A51" i="48"/>
  <c r="A50" i="48"/>
  <c r="L50" i="48" s="1"/>
  <c r="A49" i="48"/>
  <c r="G49" i="48" s="1"/>
  <c r="A48" i="48"/>
  <c r="G48" i="48" s="1"/>
  <c r="A47" i="48"/>
  <c r="A46" i="48"/>
  <c r="K46" i="48" s="1"/>
  <c r="A45" i="48"/>
  <c r="G45" i="48" s="1"/>
  <c r="A44" i="48"/>
  <c r="A43" i="48"/>
  <c r="A42" i="48"/>
  <c r="A41" i="48"/>
  <c r="M41" i="48" s="1"/>
  <c r="I40" i="48"/>
  <c r="A40" i="48"/>
  <c r="M40" i="48" s="1"/>
  <c r="A39" i="48"/>
  <c r="H39" i="48" s="1"/>
  <c r="I38" i="48"/>
  <c r="D38" i="48"/>
  <c r="A38" i="48"/>
  <c r="J38" i="48" s="1"/>
  <c r="A37" i="48"/>
  <c r="K37" i="48" s="1"/>
  <c r="A36" i="48"/>
  <c r="H36" i="48" s="1"/>
  <c r="A35" i="48"/>
  <c r="A34" i="48"/>
  <c r="A33" i="48"/>
  <c r="A32" i="48"/>
  <c r="K32" i="48" s="1"/>
  <c r="A31" i="48"/>
  <c r="M31" i="48" s="1"/>
  <c r="A30" i="48"/>
  <c r="A29" i="48"/>
  <c r="L29" i="48" s="1"/>
  <c r="A28" i="48"/>
  <c r="F28" i="48" s="1"/>
  <c r="A27" i="48"/>
  <c r="J27" i="48" s="1"/>
  <c r="A26" i="48"/>
  <c r="M26" i="48" s="1"/>
  <c r="A25" i="48"/>
  <c r="L25" i="48" s="1"/>
  <c r="A24" i="48"/>
  <c r="N24" i="48" s="1"/>
  <c r="A23" i="48"/>
  <c r="I23" i="48" s="1"/>
  <c r="A22" i="48"/>
  <c r="A21" i="48"/>
  <c r="M21" i="48" s="1"/>
  <c r="A20" i="48"/>
  <c r="K20" i="48" s="1"/>
  <c r="A19" i="48"/>
  <c r="M19" i="48" s="1"/>
  <c r="A18" i="48"/>
  <c r="J18" i="48" s="1"/>
  <c r="A17" i="48"/>
  <c r="K17" i="48" s="1"/>
  <c r="A16" i="48"/>
  <c r="F16" i="48" s="1"/>
  <c r="A15" i="48"/>
  <c r="L15" i="48" s="1"/>
  <c r="A14" i="48"/>
  <c r="N14" i="48" s="1"/>
  <c r="A13" i="48"/>
  <c r="J13" i="48" s="1"/>
  <c r="A12" i="48"/>
  <c r="F12" i="48" s="1"/>
  <c r="A11" i="48"/>
  <c r="L11" i="48" s="1"/>
  <c r="A10" i="48"/>
  <c r="J10" i="48" s="1"/>
  <c r="A9" i="48"/>
  <c r="J9" i="48" s="1"/>
  <c r="A8" i="48"/>
  <c r="J8" i="48" s="1"/>
  <c r="A7" i="48"/>
  <c r="L7" i="48" s="1"/>
  <c r="A6" i="48"/>
  <c r="L6" i="48" s="1"/>
  <c r="A5" i="48"/>
  <c r="J5" i="48" s="1"/>
  <c r="A4" i="48"/>
  <c r="F4" i="48" s="1"/>
  <c r="A3" i="48"/>
  <c r="L3" i="48" s="1"/>
  <c r="A2" i="48"/>
  <c r="N2" i="48" s="1"/>
  <c r="A100" i="47"/>
  <c r="H100" i="47" s="1"/>
  <c r="A99" i="47"/>
  <c r="N99" i="47" s="1"/>
  <c r="A98" i="47"/>
  <c r="N98" i="47" s="1"/>
  <c r="A97" i="47"/>
  <c r="M97" i="47" s="1"/>
  <c r="A96" i="47"/>
  <c r="K95" i="47"/>
  <c r="A95" i="47"/>
  <c r="E95" i="47" s="1"/>
  <c r="A94" i="47"/>
  <c r="M94" i="47" s="1"/>
  <c r="A93" i="47"/>
  <c r="E93" i="47" s="1"/>
  <c r="A92" i="47"/>
  <c r="E92" i="47" s="1"/>
  <c r="A91" i="47"/>
  <c r="H91" i="47" s="1"/>
  <c r="A90" i="47"/>
  <c r="M90" i="47" s="1"/>
  <c r="A89" i="47"/>
  <c r="M89" i="47" s="1"/>
  <c r="A88" i="47"/>
  <c r="A87" i="47"/>
  <c r="K87" i="47" s="1"/>
  <c r="A86" i="47"/>
  <c r="O86" i="47" s="1"/>
  <c r="A85" i="47"/>
  <c r="E85" i="47" s="1"/>
  <c r="A84" i="47"/>
  <c r="I84" i="47" s="1"/>
  <c r="A83" i="47"/>
  <c r="K83" i="47" s="1"/>
  <c r="A82" i="47"/>
  <c r="M82" i="47" s="1"/>
  <c r="C81" i="47"/>
  <c r="A81" i="47"/>
  <c r="O81" i="47" s="1"/>
  <c r="A80" i="47"/>
  <c r="H80" i="47" s="1"/>
  <c r="A79" i="47"/>
  <c r="K79" i="47" s="1"/>
  <c r="A78" i="47"/>
  <c r="M78" i="47" s="1"/>
  <c r="A77" i="47"/>
  <c r="A76" i="47"/>
  <c r="O76" i="47" s="1"/>
  <c r="A75" i="47"/>
  <c r="I75" i="47" s="1"/>
  <c r="A74" i="47"/>
  <c r="H74" i="47" s="1"/>
  <c r="A73" i="47"/>
  <c r="M73" i="47" s="1"/>
  <c r="A72" i="47"/>
  <c r="O72" i="47" s="1"/>
  <c r="A71" i="47"/>
  <c r="J71" i="47" s="1"/>
  <c r="A70" i="47"/>
  <c r="M70" i="47" s="1"/>
  <c r="A69" i="47"/>
  <c r="M69" i="47" s="1"/>
  <c r="A68" i="47"/>
  <c r="N68" i="47" s="1"/>
  <c r="A67" i="47"/>
  <c r="L67" i="47" s="1"/>
  <c r="A66" i="47"/>
  <c r="M66" i="47" s="1"/>
  <c r="A65" i="47"/>
  <c r="A64" i="47"/>
  <c r="O64" i="47" s="1"/>
  <c r="A63" i="47"/>
  <c r="N63" i="47" s="1"/>
  <c r="A62" i="47"/>
  <c r="M62" i="47" s="1"/>
  <c r="A61" i="47"/>
  <c r="M61" i="47" s="1"/>
  <c r="A60" i="47"/>
  <c r="O60" i="47" s="1"/>
  <c r="A59" i="47"/>
  <c r="N59" i="47" s="1"/>
  <c r="A58" i="47"/>
  <c r="M58" i="47" s="1"/>
  <c r="A57" i="47"/>
  <c r="M57" i="47" s="1"/>
  <c r="A56" i="47"/>
  <c r="O56" i="47" s="1"/>
  <c r="A55" i="47"/>
  <c r="N55" i="47" s="1"/>
  <c r="A54" i="47"/>
  <c r="M54" i="47" s="1"/>
  <c r="A53" i="47"/>
  <c r="I53" i="47" s="1"/>
  <c r="A52" i="47"/>
  <c r="A51" i="47"/>
  <c r="K51" i="47" s="1"/>
  <c r="A50" i="47"/>
  <c r="M50" i="47" s="1"/>
  <c r="A49" i="47"/>
  <c r="O49" i="47" s="1"/>
  <c r="A48" i="47"/>
  <c r="J48" i="47" s="1"/>
  <c r="A47" i="47"/>
  <c r="K47" i="47" s="1"/>
  <c r="A46" i="47"/>
  <c r="O46" i="47" s="1"/>
  <c r="A45" i="47"/>
  <c r="A44" i="47"/>
  <c r="I44" i="47" s="1"/>
  <c r="A43" i="47"/>
  <c r="L43" i="47" s="1"/>
  <c r="A42" i="47"/>
  <c r="M42" i="47" s="1"/>
  <c r="A41" i="47"/>
  <c r="A40" i="47"/>
  <c r="M40" i="47" s="1"/>
  <c r="A39" i="47"/>
  <c r="K39" i="47" s="1"/>
  <c r="A38" i="47"/>
  <c r="M38" i="47" s="1"/>
  <c r="A37" i="47"/>
  <c r="O37" i="47" s="1"/>
  <c r="A36" i="47"/>
  <c r="I36" i="47" s="1"/>
  <c r="A35" i="47"/>
  <c r="A34" i="47"/>
  <c r="M34" i="47" s="1"/>
  <c r="A33" i="47"/>
  <c r="K33" i="47" s="1"/>
  <c r="A32" i="47"/>
  <c r="J32" i="47" s="1"/>
  <c r="A31" i="47"/>
  <c r="K31" i="47" s="1"/>
  <c r="K30" i="47"/>
  <c r="A30" i="47"/>
  <c r="A29" i="47"/>
  <c r="F29" i="47" s="1"/>
  <c r="A28" i="47"/>
  <c r="N28" i="47" s="1"/>
  <c r="A27" i="47"/>
  <c r="L27" i="47" s="1"/>
  <c r="A26" i="47"/>
  <c r="M26" i="47" s="1"/>
  <c r="A25" i="47"/>
  <c r="L25" i="47" s="1"/>
  <c r="A24" i="47"/>
  <c r="M24" i="47" s="1"/>
  <c r="A23" i="47"/>
  <c r="I23" i="47" s="1"/>
  <c r="A22" i="47"/>
  <c r="A21" i="47"/>
  <c r="A20" i="47"/>
  <c r="A19" i="47"/>
  <c r="A18" i="47"/>
  <c r="O18" i="47" s="1"/>
  <c r="A17" i="47"/>
  <c r="M17" i="47" s="1"/>
  <c r="A16" i="47"/>
  <c r="M16" i="47" s="1"/>
  <c r="A15" i="47"/>
  <c r="M15" i="47" s="1"/>
  <c r="A14" i="47"/>
  <c r="O14" i="47" s="1"/>
  <c r="A13" i="47"/>
  <c r="M13" i="47" s="1"/>
  <c r="A12" i="47"/>
  <c r="M12" i="47" s="1"/>
  <c r="A11" i="47"/>
  <c r="M11" i="47" s="1"/>
  <c r="A10" i="47"/>
  <c r="A9" i="47"/>
  <c r="M9" i="47" s="1"/>
  <c r="A8" i="47"/>
  <c r="M8" i="47" s="1"/>
  <c r="A7" i="47"/>
  <c r="A6" i="47"/>
  <c r="A5" i="47"/>
  <c r="O5" i="47" s="1"/>
  <c r="A4" i="47"/>
  <c r="M4" i="47" s="1"/>
  <c r="A3" i="47"/>
  <c r="A2" i="47"/>
  <c r="M2" i="47" s="1"/>
  <c r="E44" i="47" l="1"/>
  <c r="M58" i="48"/>
  <c r="I15" i="49"/>
  <c r="F18" i="49"/>
  <c r="I28" i="49"/>
  <c r="H67" i="49"/>
  <c r="F69" i="48"/>
  <c r="C95" i="48"/>
  <c r="K98" i="48"/>
  <c r="O35" i="49"/>
  <c r="K41" i="48"/>
  <c r="M93" i="49"/>
  <c r="C5" i="47"/>
  <c r="D8" i="47"/>
  <c r="L18" i="47"/>
  <c r="D24" i="47"/>
  <c r="D36" i="47"/>
  <c r="D94" i="47"/>
  <c r="K99" i="47"/>
  <c r="J14" i="48"/>
  <c r="C17" i="48"/>
  <c r="C37" i="48"/>
  <c r="D90" i="48"/>
  <c r="D6" i="49"/>
  <c r="F24" i="47"/>
  <c r="K94" i="47"/>
  <c r="J17" i="48"/>
  <c r="C24" i="48"/>
  <c r="M37" i="48"/>
  <c r="C41" i="48"/>
  <c r="I46" i="48"/>
  <c r="J57" i="48"/>
  <c r="N65" i="49"/>
  <c r="O70" i="49"/>
  <c r="I73" i="49"/>
  <c r="K17" i="47"/>
  <c r="E23" i="47"/>
  <c r="J24" i="47"/>
  <c r="N50" i="47"/>
  <c r="M53" i="47"/>
  <c r="J93" i="47"/>
  <c r="N5" i="48"/>
  <c r="G36" i="48"/>
  <c r="D41" i="48"/>
  <c r="K74" i="48"/>
  <c r="D91" i="48"/>
  <c r="F8" i="47"/>
  <c r="C11" i="47"/>
  <c r="C12" i="47"/>
  <c r="C13" i="47"/>
  <c r="D14" i="47"/>
  <c r="H16" i="47"/>
  <c r="H34" i="47"/>
  <c r="D39" i="47"/>
  <c r="H44" i="47"/>
  <c r="C59" i="47"/>
  <c r="C69" i="47"/>
  <c r="N69" i="47"/>
  <c r="H84" i="47"/>
  <c r="D86" i="47"/>
  <c r="F94" i="47"/>
  <c r="C9" i="48"/>
  <c r="B9" i="48" s="1"/>
  <c r="J12" i="48"/>
  <c r="N41" i="48"/>
  <c r="G53" i="48"/>
  <c r="D63" i="48"/>
  <c r="K78" i="48"/>
  <c r="F93" i="48"/>
  <c r="G95" i="48"/>
  <c r="F4" i="49"/>
  <c r="L6" i="49"/>
  <c r="C42" i="49"/>
  <c r="C52" i="49"/>
  <c r="D57" i="49"/>
  <c r="F61" i="49"/>
  <c r="D64" i="49"/>
  <c r="D75" i="49"/>
  <c r="H12" i="47"/>
  <c r="L14" i="47"/>
  <c r="D69" i="47"/>
  <c r="N84" i="47"/>
  <c r="K86" i="47"/>
  <c r="F63" i="48"/>
  <c r="N52" i="49"/>
  <c r="J57" i="49"/>
  <c r="K69" i="47"/>
  <c r="G11" i="47"/>
  <c r="G13" i="47"/>
  <c r="K11" i="47"/>
  <c r="N12" i="47"/>
  <c r="K13" i="47"/>
  <c r="G17" i="47"/>
  <c r="C38" i="47"/>
  <c r="E40" i="47"/>
  <c r="F69" i="47"/>
  <c r="C83" i="47"/>
  <c r="I97" i="47"/>
  <c r="I18" i="48"/>
  <c r="F24" i="48"/>
  <c r="H37" i="48"/>
  <c r="H38" i="48"/>
  <c r="C40" i="48"/>
  <c r="D46" i="48"/>
  <c r="I52" i="48"/>
  <c r="E54" i="48"/>
  <c r="D57" i="48"/>
  <c r="L86" i="48"/>
  <c r="H96" i="48"/>
  <c r="I20" i="49"/>
  <c r="I23" i="49"/>
  <c r="F26" i="49"/>
  <c r="M60" i="49"/>
  <c r="D65" i="49"/>
  <c r="C67" i="49"/>
  <c r="C90" i="49"/>
  <c r="E93" i="49"/>
  <c r="J82" i="47"/>
  <c r="O9" i="49"/>
  <c r="N53" i="49"/>
  <c r="O71" i="49"/>
  <c r="C4" i="47"/>
  <c r="J8" i="47"/>
  <c r="G15" i="47"/>
  <c r="N16" i="47"/>
  <c r="O24" i="47"/>
  <c r="N29" i="47"/>
  <c r="N34" i="47"/>
  <c r="J36" i="47"/>
  <c r="H40" i="47"/>
  <c r="N44" i="47"/>
  <c r="G51" i="47"/>
  <c r="C82" i="47"/>
  <c r="K82" i="47"/>
  <c r="O83" i="47"/>
  <c r="C90" i="47"/>
  <c r="I92" i="47"/>
  <c r="O93" i="47"/>
  <c r="D6" i="48"/>
  <c r="H24" i="48"/>
  <c r="E26" i="48"/>
  <c r="C31" i="48"/>
  <c r="D32" i="48"/>
  <c r="K40" i="48"/>
  <c r="F41" i="48"/>
  <c r="O57" i="48"/>
  <c r="H59" i="48"/>
  <c r="H63" i="48"/>
  <c r="H82" i="48"/>
  <c r="G90" i="48"/>
  <c r="O91" i="48"/>
  <c r="L95" i="48"/>
  <c r="C9" i="49"/>
  <c r="B9" i="49" s="1"/>
  <c r="D12" i="49"/>
  <c r="G14" i="49"/>
  <c r="I31" i="49"/>
  <c r="F40" i="49"/>
  <c r="J42" i="49"/>
  <c r="C53" i="49"/>
  <c r="K56" i="49"/>
  <c r="O57" i="49"/>
  <c r="M64" i="49"/>
  <c r="N67" i="49"/>
  <c r="D71" i="49"/>
  <c r="J75" i="49"/>
  <c r="G77" i="49"/>
  <c r="C79" i="49"/>
  <c r="G83" i="49"/>
  <c r="C86" i="49"/>
  <c r="O8" i="47"/>
  <c r="K15" i="47"/>
  <c r="H50" i="47"/>
  <c r="J69" i="47"/>
  <c r="D82" i="47"/>
  <c r="N82" i="47"/>
  <c r="J90" i="47"/>
  <c r="J92" i="47"/>
  <c r="N94" i="47"/>
  <c r="G99" i="47"/>
  <c r="C2" i="48"/>
  <c r="C5" i="48"/>
  <c r="G6" i="48"/>
  <c r="C14" i="48"/>
  <c r="D18" i="48"/>
  <c r="F20" i="48"/>
  <c r="J26" i="48"/>
  <c r="G31" i="48"/>
  <c r="H32" i="48"/>
  <c r="J41" i="48"/>
  <c r="N63" i="48"/>
  <c r="H71" i="48"/>
  <c r="G74" i="48"/>
  <c r="L90" i="48"/>
  <c r="C98" i="48"/>
  <c r="D9" i="49"/>
  <c r="F10" i="49"/>
  <c r="I12" i="49"/>
  <c r="D20" i="49"/>
  <c r="G22" i="49"/>
  <c r="F53" i="49"/>
  <c r="F71" i="49"/>
  <c r="H72" i="49"/>
  <c r="O75" i="49"/>
  <c r="M79" i="49"/>
  <c r="J86" i="49"/>
  <c r="F82" i="47"/>
  <c r="N6" i="48"/>
  <c r="N31" i="48"/>
  <c r="H9" i="49"/>
  <c r="J53" i="49"/>
  <c r="J71" i="49"/>
  <c r="O22" i="47"/>
  <c r="L22" i="47"/>
  <c r="D22" i="47"/>
  <c r="J28" i="47"/>
  <c r="M28" i="47"/>
  <c r="H28" i="47"/>
  <c r="E28" i="47"/>
  <c r="M30" i="47"/>
  <c r="J30" i="47"/>
  <c r="F30" i="47"/>
  <c r="O30" i="47"/>
  <c r="D30" i="47"/>
  <c r="O45" i="47"/>
  <c r="N45" i="47"/>
  <c r="I45" i="47"/>
  <c r="C45" i="47"/>
  <c r="M19" i="47"/>
  <c r="K19" i="47"/>
  <c r="G19" i="47"/>
  <c r="C19" i="47"/>
  <c r="M46" i="47"/>
  <c r="N46" i="47"/>
  <c r="F46" i="47"/>
  <c r="K46" i="47"/>
  <c r="D46" i="47"/>
  <c r="J46" i="47"/>
  <c r="C46" i="47"/>
  <c r="O52" i="47"/>
  <c r="L52" i="47"/>
  <c r="F52" i="47"/>
  <c r="N52" i="47"/>
  <c r="D52" i="47"/>
  <c r="N21" i="47"/>
  <c r="K21" i="47"/>
  <c r="G21" i="47"/>
  <c r="C21" i="47"/>
  <c r="N3" i="47"/>
  <c r="J3" i="47"/>
  <c r="G3" i="47"/>
  <c r="M20" i="47"/>
  <c r="N20" i="47"/>
  <c r="H20" i="47"/>
  <c r="C20" i="47"/>
  <c r="H46" i="47"/>
  <c r="L98" i="47"/>
  <c r="M73" i="48"/>
  <c r="N73" i="48"/>
  <c r="F73" i="48"/>
  <c r="K73" i="48"/>
  <c r="D73" i="48"/>
  <c r="J73" i="48"/>
  <c r="C73" i="48"/>
  <c r="N85" i="48"/>
  <c r="I85" i="48"/>
  <c r="O13" i="49"/>
  <c r="J13" i="49"/>
  <c r="C13" i="49"/>
  <c r="J44" i="47"/>
  <c r="I57" i="47"/>
  <c r="C63" i="47"/>
  <c r="C66" i="47"/>
  <c r="K66" i="47"/>
  <c r="D71" i="47"/>
  <c r="E72" i="47"/>
  <c r="C73" i="47"/>
  <c r="J73" i="47"/>
  <c r="N81" i="47"/>
  <c r="D83" i="47"/>
  <c r="C89" i="47"/>
  <c r="D90" i="47"/>
  <c r="K90" i="47"/>
  <c r="H94" i="47"/>
  <c r="O94" i="47"/>
  <c r="C98" i="47"/>
  <c r="D2" i="48"/>
  <c r="J6" i="48"/>
  <c r="F9" i="48"/>
  <c r="C13" i="48"/>
  <c r="J39" i="48"/>
  <c r="M42" i="48"/>
  <c r="I42" i="48"/>
  <c r="L45" i="48"/>
  <c r="F47" i="48"/>
  <c r="J47" i="48"/>
  <c r="M51" i="48"/>
  <c r="H51" i="48"/>
  <c r="H73" i="48"/>
  <c r="O77" i="48"/>
  <c r="N77" i="48"/>
  <c r="M5" i="49"/>
  <c r="H5" i="49"/>
  <c r="O5" i="49"/>
  <c r="D5" i="49"/>
  <c r="N5" i="49"/>
  <c r="C5" i="49"/>
  <c r="O21" i="49"/>
  <c r="J21" i="49"/>
  <c r="C21" i="49"/>
  <c r="M34" i="49"/>
  <c r="H34" i="49"/>
  <c r="O34" i="49"/>
  <c r="D34" i="49"/>
  <c r="N34" i="49"/>
  <c r="C34" i="49"/>
  <c r="K54" i="49"/>
  <c r="O54" i="49"/>
  <c r="I54" i="49"/>
  <c r="J69" i="49"/>
  <c r="M69" i="49"/>
  <c r="J92" i="49"/>
  <c r="H92" i="49"/>
  <c r="J22" i="48"/>
  <c r="M22" i="48"/>
  <c r="L34" i="48"/>
  <c r="F34" i="48"/>
  <c r="N99" i="48"/>
  <c r="K99" i="48"/>
  <c r="D99" i="48"/>
  <c r="C99" i="48"/>
  <c r="M38" i="49"/>
  <c r="N38" i="49"/>
  <c r="F38" i="49"/>
  <c r="K38" i="49"/>
  <c r="D38" i="49"/>
  <c r="J38" i="49"/>
  <c r="C38" i="49"/>
  <c r="H4" i="47"/>
  <c r="E5" i="47"/>
  <c r="M23" i="47"/>
  <c r="H38" i="47"/>
  <c r="I39" i="47"/>
  <c r="N4" i="47"/>
  <c r="H5" i="47"/>
  <c r="K8" i="47"/>
  <c r="C15" i="47"/>
  <c r="C16" i="47"/>
  <c r="C17" i="47"/>
  <c r="D18" i="47"/>
  <c r="K24" i="47"/>
  <c r="I29" i="47"/>
  <c r="C34" i="47"/>
  <c r="C37" i="47"/>
  <c r="N38" i="47"/>
  <c r="D44" i="47"/>
  <c r="M44" i="47"/>
  <c r="C50" i="47"/>
  <c r="C51" i="47"/>
  <c r="E53" i="47"/>
  <c r="C55" i="47"/>
  <c r="D66" i="47"/>
  <c r="L66" i="47"/>
  <c r="H69" i="47"/>
  <c r="O69" i="47"/>
  <c r="I71" i="47"/>
  <c r="J72" i="47"/>
  <c r="D73" i="47"/>
  <c r="K73" i="47"/>
  <c r="F80" i="47"/>
  <c r="H82" i="47"/>
  <c r="O82" i="47"/>
  <c r="H83" i="47"/>
  <c r="E84" i="47"/>
  <c r="E87" i="47"/>
  <c r="I89" i="47"/>
  <c r="F90" i="47"/>
  <c r="N90" i="47"/>
  <c r="D92" i="47"/>
  <c r="C94" i="47"/>
  <c r="J94" i="47"/>
  <c r="G97" i="47"/>
  <c r="D98" i="47"/>
  <c r="C99" i="47"/>
  <c r="D100" i="47"/>
  <c r="J2" i="48"/>
  <c r="C6" i="48"/>
  <c r="F8" i="48"/>
  <c r="N9" i="48"/>
  <c r="F13" i="48"/>
  <c r="M24" i="48"/>
  <c r="K24" i="48"/>
  <c r="D24" i="48"/>
  <c r="O24" i="48"/>
  <c r="J24" i="48"/>
  <c r="M32" i="48"/>
  <c r="N32" i="48"/>
  <c r="F32" i="48"/>
  <c r="J32" i="48"/>
  <c r="C32" i="48"/>
  <c r="O32" i="48"/>
  <c r="N43" i="48"/>
  <c r="H43" i="48"/>
  <c r="N51" i="48"/>
  <c r="M61" i="48"/>
  <c r="J61" i="48"/>
  <c r="O61" i="48"/>
  <c r="D61" i="48"/>
  <c r="O73" i="48"/>
  <c r="O75" i="48"/>
  <c r="H75" i="48"/>
  <c r="F75" i="48"/>
  <c r="N75" i="48"/>
  <c r="D75" i="48"/>
  <c r="O29" i="49"/>
  <c r="J29" i="49"/>
  <c r="C29" i="49"/>
  <c r="J34" i="49"/>
  <c r="O38" i="49"/>
  <c r="N43" i="49"/>
  <c r="K43" i="49"/>
  <c r="G43" i="49"/>
  <c r="C43" i="49"/>
  <c r="J84" i="49"/>
  <c r="M84" i="49"/>
  <c r="H66" i="47"/>
  <c r="H73" i="47"/>
  <c r="O73" i="47"/>
  <c r="N13" i="48"/>
  <c r="H25" i="48"/>
  <c r="E25" i="48"/>
  <c r="M5" i="47"/>
  <c r="F66" i="47"/>
  <c r="N71" i="47"/>
  <c r="F73" i="47"/>
  <c r="N73" i="47"/>
  <c r="M83" i="47"/>
  <c r="H90" i="47"/>
  <c r="O90" i="47"/>
  <c r="J98" i="47"/>
  <c r="L2" i="48"/>
  <c r="M29" i="48"/>
  <c r="D29" i="48"/>
  <c r="O44" i="48"/>
  <c r="I44" i="48"/>
  <c r="K54" i="48"/>
  <c r="I54" i="48"/>
  <c r="D54" i="48"/>
  <c r="O56" i="48"/>
  <c r="G56" i="48"/>
  <c r="F61" i="48"/>
  <c r="L75" i="48"/>
  <c r="M82" i="48"/>
  <c r="N82" i="48"/>
  <c r="F82" i="48"/>
  <c r="K82" i="48"/>
  <c r="D82" i="48"/>
  <c r="J82" i="48"/>
  <c r="C82" i="48"/>
  <c r="M8" i="49"/>
  <c r="K8" i="49"/>
  <c r="F8" i="49"/>
  <c r="C8" i="49"/>
  <c r="I51" i="49"/>
  <c r="H51" i="49"/>
  <c r="N51" i="49"/>
  <c r="E51" i="49"/>
  <c r="M51" i="49"/>
  <c r="D51" i="49"/>
  <c r="J59" i="49"/>
  <c r="M59" i="49"/>
  <c r="H59" i="49"/>
  <c r="E59" i="49"/>
  <c r="I80" i="49"/>
  <c r="H80" i="49"/>
  <c r="N80" i="49"/>
  <c r="E80" i="49"/>
  <c r="M80" i="49"/>
  <c r="D80" i="49"/>
  <c r="K87" i="49"/>
  <c r="O87" i="49"/>
  <c r="H87" i="49"/>
  <c r="D87" i="49"/>
  <c r="J94" i="49"/>
  <c r="C98" i="49"/>
  <c r="N98" i="49"/>
  <c r="N26" i="48"/>
  <c r="K31" i="48"/>
  <c r="O46" i="48"/>
  <c r="K57" i="48"/>
  <c r="G86" i="48"/>
  <c r="G91" i="48"/>
  <c r="M93" i="48"/>
  <c r="D95" i="48"/>
  <c r="O95" i="48"/>
  <c r="L96" i="48"/>
  <c r="F98" i="48"/>
  <c r="J4" i="49"/>
  <c r="H6" i="49"/>
  <c r="J9" i="49"/>
  <c r="H12" i="49"/>
  <c r="H20" i="49"/>
  <c r="H28" i="49"/>
  <c r="H40" i="49"/>
  <c r="I52" i="49"/>
  <c r="D53" i="49"/>
  <c r="K53" i="49"/>
  <c r="J55" i="49"/>
  <c r="K57" i="49"/>
  <c r="G61" i="49"/>
  <c r="E64" i="49"/>
  <c r="K71" i="49"/>
  <c r="F75" i="49"/>
  <c r="I77" i="49"/>
  <c r="D86" i="49"/>
  <c r="K86" i="49"/>
  <c r="H90" i="49"/>
  <c r="K94" i="49"/>
  <c r="F98" i="49"/>
  <c r="K91" i="48"/>
  <c r="K4" i="49"/>
  <c r="L40" i="49"/>
  <c r="I64" i="49"/>
  <c r="N77" i="49"/>
  <c r="F86" i="49"/>
  <c r="N86" i="49"/>
  <c r="N90" i="49"/>
  <c r="D94" i="49"/>
  <c r="O94" i="49"/>
  <c r="I97" i="49"/>
  <c r="H98" i="49"/>
  <c r="D99" i="49"/>
  <c r="F26" i="48"/>
  <c r="F31" i="48"/>
  <c r="O31" i="48"/>
  <c r="N38" i="48"/>
  <c r="H41" i="48"/>
  <c r="O41" i="48"/>
  <c r="E46" i="48"/>
  <c r="F57" i="48"/>
  <c r="L63" i="48"/>
  <c r="G65" i="48"/>
  <c r="K69" i="48"/>
  <c r="M76" i="48"/>
  <c r="F78" i="48"/>
  <c r="M88" i="48"/>
  <c r="C91" i="48"/>
  <c r="L91" i="48"/>
  <c r="E93" i="48"/>
  <c r="K95" i="48"/>
  <c r="N98" i="48"/>
  <c r="C4" i="49"/>
  <c r="N4" i="49"/>
  <c r="N12" i="49"/>
  <c r="C15" i="49"/>
  <c r="N20" i="49"/>
  <c r="C23" i="49"/>
  <c r="N28" i="49"/>
  <c r="C31" i="49"/>
  <c r="G33" i="49"/>
  <c r="D40" i="49"/>
  <c r="N40" i="49"/>
  <c r="H53" i="49"/>
  <c r="O53" i="49"/>
  <c r="F57" i="49"/>
  <c r="C62" i="49"/>
  <c r="C64" i="49"/>
  <c r="K64" i="49"/>
  <c r="E73" i="49"/>
  <c r="K75" i="49"/>
  <c r="C77" i="49"/>
  <c r="H86" i="49"/>
  <c r="O86" i="49"/>
  <c r="F94" i="49"/>
  <c r="K98" i="49"/>
  <c r="J6" i="47"/>
  <c r="N6" i="47"/>
  <c r="I6" i="47"/>
  <c r="D6" i="47"/>
  <c r="N7" i="47"/>
  <c r="G7" i="47"/>
  <c r="M7" i="47"/>
  <c r="E7" i="47"/>
  <c r="J7" i="47"/>
  <c r="C7" i="47"/>
  <c r="O7" i="47"/>
  <c r="I7" i="47"/>
  <c r="D34" i="47"/>
  <c r="J34" i="47"/>
  <c r="O34" i="47"/>
  <c r="E36" i="47"/>
  <c r="M36" i="47"/>
  <c r="I37" i="47"/>
  <c r="D38" i="47"/>
  <c r="J38" i="47"/>
  <c r="O38" i="47"/>
  <c r="O39" i="47"/>
  <c r="J40" i="47"/>
  <c r="C42" i="47"/>
  <c r="H42" i="47"/>
  <c r="N42" i="47"/>
  <c r="G46" i="47"/>
  <c r="L46" i="47"/>
  <c r="D47" i="47"/>
  <c r="E48" i="47"/>
  <c r="D50" i="47"/>
  <c r="J50" i="47"/>
  <c r="O50" i="47"/>
  <c r="H52" i="47"/>
  <c r="C54" i="47"/>
  <c r="H54" i="47"/>
  <c r="N54" i="47"/>
  <c r="G55" i="47"/>
  <c r="D56" i="47"/>
  <c r="L56" i="47"/>
  <c r="C58" i="47"/>
  <c r="H58" i="47"/>
  <c r="N58" i="47"/>
  <c r="G59" i="47"/>
  <c r="D60" i="47"/>
  <c r="E61" i="47"/>
  <c r="C62" i="47"/>
  <c r="H62" i="47"/>
  <c r="N62" i="47"/>
  <c r="G63" i="47"/>
  <c r="D64" i="47"/>
  <c r="G66" i="47"/>
  <c r="C68" i="47"/>
  <c r="J68" i="47"/>
  <c r="G69" i="47"/>
  <c r="L69" i="47"/>
  <c r="C70" i="47"/>
  <c r="I70" i="47"/>
  <c r="G73" i="47"/>
  <c r="L73" i="47"/>
  <c r="C76" i="47"/>
  <c r="K76" i="47"/>
  <c r="C78" i="47"/>
  <c r="H78" i="47"/>
  <c r="N78" i="47"/>
  <c r="G81" i="47"/>
  <c r="G82" i="47"/>
  <c r="L82" i="47"/>
  <c r="J85" i="47"/>
  <c r="F86" i="47"/>
  <c r="L86" i="47"/>
  <c r="D91" i="47"/>
  <c r="N92" i="47"/>
  <c r="G98" i="47"/>
  <c r="G2" i="48"/>
  <c r="F5" i="48"/>
  <c r="M6" i="48"/>
  <c r="K6" i="48"/>
  <c r="F6" i="48"/>
  <c r="H6" i="48"/>
  <c r="O6" i="48"/>
  <c r="C10" i="48"/>
  <c r="M13" i="48"/>
  <c r="O13" i="48"/>
  <c r="G13" i="48"/>
  <c r="K13" i="48"/>
  <c r="D14" i="48"/>
  <c r="L14" i="48"/>
  <c r="G20" i="48"/>
  <c r="G21" i="48"/>
  <c r="G27" i="48"/>
  <c r="H29" i="48"/>
  <c r="E29" i="48"/>
  <c r="O35" i="48"/>
  <c r="M35" i="48"/>
  <c r="G35" i="48"/>
  <c r="E39" i="48"/>
  <c r="L39" i="48"/>
  <c r="C39" i="48"/>
  <c r="I43" i="48"/>
  <c r="M45" i="48"/>
  <c r="K45" i="48"/>
  <c r="F45" i="48"/>
  <c r="O45" i="48"/>
  <c r="J45" i="48"/>
  <c r="D45" i="48"/>
  <c r="N45" i="48"/>
  <c r="H45" i="48"/>
  <c r="C45" i="48"/>
  <c r="M72" i="48"/>
  <c r="I72" i="48"/>
  <c r="J84" i="48"/>
  <c r="H84" i="48"/>
  <c r="N84" i="48"/>
  <c r="E84" i="48"/>
  <c r="M84" i="48"/>
  <c r="D84" i="48"/>
  <c r="M94" i="48"/>
  <c r="J94" i="48"/>
  <c r="C94" i="48"/>
  <c r="G94" i="48"/>
  <c r="O94" i="48"/>
  <c r="F94" i="48"/>
  <c r="N94" i="48"/>
  <c r="D94" i="48"/>
  <c r="H9" i="47"/>
  <c r="M32" i="47"/>
  <c r="G42" i="47"/>
  <c r="M48" i="47"/>
  <c r="G54" i="47"/>
  <c r="G58" i="47"/>
  <c r="L58" i="47"/>
  <c r="O70" i="47"/>
  <c r="G78" i="47"/>
  <c r="L78" i="47"/>
  <c r="M4" i="48"/>
  <c r="N4" i="48"/>
  <c r="M10" i="48"/>
  <c r="K10" i="48"/>
  <c r="F10" i="48"/>
  <c r="M16" i="48"/>
  <c r="N16" i="48"/>
  <c r="J16" i="48"/>
  <c r="O23" i="48"/>
  <c r="G23" i="48"/>
  <c r="N23" i="48"/>
  <c r="C23" i="48"/>
  <c r="M28" i="48"/>
  <c r="O28" i="48"/>
  <c r="J28" i="48"/>
  <c r="D28" i="48"/>
  <c r="N28" i="48"/>
  <c r="H28" i="48"/>
  <c r="C28" i="48"/>
  <c r="L28" i="48"/>
  <c r="M49" i="48"/>
  <c r="K49" i="48"/>
  <c r="F49" i="48"/>
  <c r="O49" i="48"/>
  <c r="J49" i="48"/>
  <c r="D49" i="48"/>
  <c r="N49" i="48"/>
  <c r="H49" i="48"/>
  <c r="C49" i="48"/>
  <c r="J80" i="48"/>
  <c r="H80" i="48"/>
  <c r="E80" i="48"/>
  <c r="O96" i="49"/>
  <c r="H96" i="49"/>
  <c r="D96" i="49"/>
  <c r="L96" i="49"/>
  <c r="M3" i="47"/>
  <c r="D4" i="47"/>
  <c r="J4" i="47"/>
  <c r="O4" i="47"/>
  <c r="G8" i="47"/>
  <c r="L8" i="47"/>
  <c r="C9" i="47"/>
  <c r="B9" i="47" s="1"/>
  <c r="I9" i="47"/>
  <c r="D12" i="47"/>
  <c r="J12" i="47"/>
  <c r="O12" i="47"/>
  <c r="F14" i="47"/>
  <c r="N14" i="47"/>
  <c r="D16" i="47"/>
  <c r="J16" i="47"/>
  <c r="O16" i="47"/>
  <c r="F18" i="47"/>
  <c r="N18" i="47"/>
  <c r="D20" i="47"/>
  <c r="J20" i="47"/>
  <c r="O20" i="47"/>
  <c r="F22" i="47"/>
  <c r="N22" i="47"/>
  <c r="G24" i="47"/>
  <c r="L24" i="47"/>
  <c r="C25" i="47"/>
  <c r="C26" i="47"/>
  <c r="H26" i="47"/>
  <c r="N26" i="47"/>
  <c r="I28" i="47"/>
  <c r="G30" i="47"/>
  <c r="L30" i="47"/>
  <c r="D31" i="47"/>
  <c r="E32" i="47"/>
  <c r="E3" i="47"/>
  <c r="O3" i="47"/>
  <c r="F4" i="47"/>
  <c r="K4" i="47"/>
  <c r="K5" i="47"/>
  <c r="C8" i="47"/>
  <c r="H8" i="47"/>
  <c r="N8" i="47"/>
  <c r="D9" i="47"/>
  <c r="K9" i="47"/>
  <c r="O11" i="47"/>
  <c r="F12" i="47"/>
  <c r="K12" i="47"/>
  <c r="O13" i="47"/>
  <c r="H14" i="47"/>
  <c r="O15" i="47"/>
  <c r="F16" i="47"/>
  <c r="K16" i="47"/>
  <c r="O17" i="47"/>
  <c r="H18" i="47"/>
  <c r="O19" i="47"/>
  <c r="F20" i="47"/>
  <c r="K20" i="47"/>
  <c r="O21" i="47"/>
  <c r="H22" i="47"/>
  <c r="C24" i="47"/>
  <c r="H24" i="47"/>
  <c r="N24" i="47"/>
  <c r="G25" i="47"/>
  <c r="D26" i="47"/>
  <c r="J26" i="47"/>
  <c r="O26" i="47"/>
  <c r="D28" i="47"/>
  <c r="C29" i="47"/>
  <c r="C30" i="47"/>
  <c r="H30" i="47"/>
  <c r="N30" i="47"/>
  <c r="I31" i="47"/>
  <c r="H32" i="47"/>
  <c r="F34" i="47"/>
  <c r="K34" i="47"/>
  <c r="H36" i="47"/>
  <c r="N36" i="47"/>
  <c r="N37" i="47"/>
  <c r="F38" i="47"/>
  <c r="K38" i="47"/>
  <c r="D42" i="47"/>
  <c r="J42" i="47"/>
  <c r="O42" i="47"/>
  <c r="I47" i="47"/>
  <c r="H48" i="47"/>
  <c r="F50" i="47"/>
  <c r="K50" i="47"/>
  <c r="J52" i="47"/>
  <c r="D54" i="47"/>
  <c r="J54" i="47"/>
  <c r="O54" i="47"/>
  <c r="K55" i="47"/>
  <c r="F56" i="47"/>
  <c r="D58" i="47"/>
  <c r="J58" i="47"/>
  <c r="O58" i="47"/>
  <c r="K59" i="47"/>
  <c r="H60" i="47"/>
  <c r="I61" i="47"/>
  <c r="D62" i="47"/>
  <c r="J62" i="47"/>
  <c r="O62" i="47"/>
  <c r="K63" i="47"/>
  <c r="H64" i="47"/>
  <c r="E68" i="47"/>
  <c r="M68" i="47"/>
  <c r="D70" i="47"/>
  <c r="K70" i="47"/>
  <c r="F76" i="47"/>
  <c r="N76" i="47"/>
  <c r="D78" i="47"/>
  <c r="J78" i="47"/>
  <c r="O78" i="47"/>
  <c r="I81" i="47"/>
  <c r="J84" i="47"/>
  <c r="D84" i="47"/>
  <c r="M84" i="47"/>
  <c r="O85" i="47"/>
  <c r="G86" i="47"/>
  <c r="O89" i="47"/>
  <c r="G89" i="47"/>
  <c r="N89" i="47"/>
  <c r="O97" i="47"/>
  <c r="N97" i="47"/>
  <c r="C97" i="47"/>
  <c r="M98" i="47"/>
  <c r="K98" i="47"/>
  <c r="F98" i="47"/>
  <c r="H98" i="47"/>
  <c r="O98" i="47"/>
  <c r="M2" i="48"/>
  <c r="K2" i="48"/>
  <c r="F2" i="48"/>
  <c r="H2" i="48"/>
  <c r="O2" i="48"/>
  <c r="J4" i="48"/>
  <c r="M9" i="48"/>
  <c r="O9" i="48"/>
  <c r="G9" i="48"/>
  <c r="K9" i="48"/>
  <c r="D10" i="48"/>
  <c r="L10" i="48"/>
  <c r="M12" i="48"/>
  <c r="N12" i="48"/>
  <c r="G14" i="48"/>
  <c r="M17" i="48"/>
  <c r="O17" i="48"/>
  <c r="G17" i="48"/>
  <c r="N17" i="48"/>
  <c r="F17" i="48"/>
  <c r="N18" i="48"/>
  <c r="H18" i="48"/>
  <c r="M18" i="48"/>
  <c r="E18" i="48"/>
  <c r="M23" i="48"/>
  <c r="G28" i="48"/>
  <c r="M36" i="48"/>
  <c r="K36" i="48"/>
  <c r="F36" i="48"/>
  <c r="O36" i="48"/>
  <c r="J36" i="48"/>
  <c r="D36" i="48"/>
  <c r="L36" i="48"/>
  <c r="L49" i="48"/>
  <c r="M53" i="48"/>
  <c r="K53" i="48"/>
  <c r="F53" i="48"/>
  <c r="O53" i="48"/>
  <c r="J53" i="48"/>
  <c r="D53" i="48"/>
  <c r="N53" i="48"/>
  <c r="H53" i="48"/>
  <c r="C53" i="48"/>
  <c r="K94" i="48"/>
  <c r="O9" i="47"/>
  <c r="G26" i="47"/>
  <c r="L26" i="47"/>
  <c r="L42" i="47"/>
  <c r="L54" i="47"/>
  <c r="J56" i="47"/>
  <c r="G62" i="47"/>
  <c r="L62" i="47"/>
  <c r="I68" i="47"/>
  <c r="O68" i="47"/>
  <c r="H70" i="47"/>
  <c r="J76" i="47"/>
  <c r="K91" i="47"/>
  <c r="M91" i="47"/>
  <c r="C91" i="47"/>
  <c r="O91" i="47"/>
  <c r="H10" i="48"/>
  <c r="O10" i="48"/>
  <c r="M27" i="48"/>
  <c r="N27" i="48"/>
  <c r="F27" i="48"/>
  <c r="K27" i="48"/>
  <c r="C27" i="48"/>
  <c r="G4" i="47"/>
  <c r="L4" i="47"/>
  <c r="E9" i="47"/>
  <c r="G12" i="47"/>
  <c r="L12" i="47"/>
  <c r="J14" i="47"/>
  <c r="G16" i="47"/>
  <c r="L16" i="47"/>
  <c r="J18" i="47"/>
  <c r="G20" i="47"/>
  <c r="L20" i="47"/>
  <c r="J22" i="47"/>
  <c r="K25" i="47"/>
  <c r="F26" i="47"/>
  <c r="K26" i="47"/>
  <c r="O31" i="47"/>
  <c r="G34" i="47"/>
  <c r="L34" i="47"/>
  <c r="G38" i="47"/>
  <c r="L38" i="47"/>
  <c r="F42" i="47"/>
  <c r="K42" i="47"/>
  <c r="O47" i="47"/>
  <c r="G50" i="47"/>
  <c r="L50" i="47"/>
  <c r="F54" i="47"/>
  <c r="K54" i="47"/>
  <c r="O55" i="47"/>
  <c r="H56" i="47"/>
  <c r="F58" i="47"/>
  <c r="K58" i="47"/>
  <c r="O59" i="47"/>
  <c r="L60" i="47"/>
  <c r="F62" i="47"/>
  <c r="K62" i="47"/>
  <c r="O63" i="47"/>
  <c r="L64" i="47"/>
  <c r="G68" i="47"/>
  <c r="E70" i="47"/>
  <c r="G76" i="47"/>
  <c r="F78" i="47"/>
  <c r="K78" i="47"/>
  <c r="M81" i="47"/>
  <c r="M86" i="47"/>
  <c r="N86" i="47"/>
  <c r="H86" i="47"/>
  <c r="C86" i="47"/>
  <c r="J86" i="47"/>
  <c r="I91" i="47"/>
  <c r="O100" i="47"/>
  <c r="L100" i="47"/>
  <c r="M5" i="48"/>
  <c r="O5" i="48"/>
  <c r="G5" i="48"/>
  <c r="K5" i="48"/>
  <c r="M8" i="48"/>
  <c r="N8" i="48"/>
  <c r="G10" i="48"/>
  <c r="N10" i="48"/>
  <c r="M14" i="48"/>
  <c r="K14" i="48"/>
  <c r="F14" i="48"/>
  <c r="O14" i="48"/>
  <c r="H14" i="48"/>
  <c r="M20" i="48"/>
  <c r="O20" i="48"/>
  <c r="J20" i="48"/>
  <c r="D20" i="48"/>
  <c r="N20" i="48"/>
  <c r="H20" i="48"/>
  <c r="C20" i="48"/>
  <c r="L20" i="48"/>
  <c r="O27" i="48"/>
  <c r="K28" i="48"/>
  <c r="C36" i="48"/>
  <c r="N36" i="48"/>
  <c r="M43" i="48"/>
  <c r="E43" i="48"/>
  <c r="J43" i="48"/>
  <c r="D43" i="48"/>
  <c r="M65" i="48"/>
  <c r="K65" i="48"/>
  <c r="F65" i="48"/>
  <c r="O65" i="48"/>
  <c r="J65" i="48"/>
  <c r="D65" i="48"/>
  <c r="N65" i="48"/>
  <c r="H65" i="48"/>
  <c r="C65" i="48"/>
  <c r="O67" i="48"/>
  <c r="H67" i="48"/>
  <c r="N67" i="48"/>
  <c r="F67" i="48"/>
  <c r="L67" i="48"/>
  <c r="D67" i="48"/>
  <c r="K79" i="48"/>
  <c r="O79" i="48"/>
  <c r="I79" i="48"/>
  <c r="D79" i="48"/>
  <c r="O37" i="49"/>
  <c r="G37" i="49"/>
  <c r="J44" i="48"/>
  <c r="I51" i="48"/>
  <c r="J52" i="48"/>
  <c r="I59" i="48"/>
  <c r="G69" i="48"/>
  <c r="L69" i="48"/>
  <c r="J71" i="48"/>
  <c r="G78" i="48"/>
  <c r="L78" i="48"/>
  <c r="K89" i="48"/>
  <c r="F89" i="48"/>
  <c r="J16" i="49"/>
  <c r="E16" i="49"/>
  <c r="J24" i="49"/>
  <c r="E24" i="49"/>
  <c r="O32" i="49"/>
  <c r="H32" i="49"/>
  <c r="N32" i="49"/>
  <c r="F32" i="49"/>
  <c r="L32" i="49"/>
  <c r="D32" i="49"/>
  <c r="O44" i="49"/>
  <c r="H44" i="49"/>
  <c r="J44" i="49"/>
  <c r="F44" i="49"/>
  <c r="N44" i="49"/>
  <c r="D44" i="49"/>
  <c r="M46" i="49"/>
  <c r="O46" i="49"/>
  <c r="J46" i="49"/>
  <c r="D46" i="49"/>
  <c r="N46" i="49"/>
  <c r="G46" i="49"/>
  <c r="L46" i="49"/>
  <c r="F46" i="49"/>
  <c r="K46" i="49"/>
  <c r="C46" i="49"/>
  <c r="M49" i="49"/>
  <c r="O49" i="49"/>
  <c r="J49" i="49"/>
  <c r="D49" i="49"/>
  <c r="N49" i="49"/>
  <c r="G49" i="49"/>
  <c r="L49" i="49"/>
  <c r="F49" i="49"/>
  <c r="K49" i="49"/>
  <c r="C49" i="49"/>
  <c r="M25" i="48"/>
  <c r="C44" i="48"/>
  <c r="N44" i="48"/>
  <c r="E47" i="48"/>
  <c r="F48" i="48"/>
  <c r="D51" i="48"/>
  <c r="J51" i="48"/>
  <c r="C52" i="48"/>
  <c r="N52" i="48"/>
  <c r="F55" i="48"/>
  <c r="G57" i="48"/>
  <c r="L57" i="48"/>
  <c r="C58" i="48"/>
  <c r="D59" i="48"/>
  <c r="J59" i="48"/>
  <c r="G61" i="48"/>
  <c r="L61" i="48"/>
  <c r="C69" i="48"/>
  <c r="H69" i="48"/>
  <c r="N69" i="48"/>
  <c r="D71" i="48"/>
  <c r="L71" i="48"/>
  <c r="O74" i="48"/>
  <c r="C77" i="48"/>
  <c r="C78" i="48"/>
  <c r="H78" i="48"/>
  <c r="N78" i="48"/>
  <c r="M86" i="48"/>
  <c r="N86" i="48"/>
  <c r="H86" i="48"/>
  <c r="C86" i="48"/>
  <c r="J86" i="48"/>
  <c r="K87" i="48"/>
  <c r="I87" i="48"/>
  <c r="E88" i="48"/>
  <c r="M90" i="48"/>
  <c r="K90" i="48"/>
  <c r="F90" i="48"/>
  <c r="H90" i="48"/>
  <c r="O90" i="48"/>
  <c r="J32" i="49"/>
  <c r="N39" i="49"/>
  <c r="C39" i="49"/>
  <c r="O39" i="49"/>
  <c r="K39" i="49"/>
  <c r="G39" i="49"/>
  <c r="L44" i="49"/>
  <c r="H46" i="49"/>
  <c r="H49" i="49"/>
  <c r="O85" i="49"/>
  <c r="G85" i="49"/>
  <c r="N85" i="49"/>
  <c r="C85" i="49"/>
  <c r="I85" i="49"/>
  <c r="M85" i="49"/>
  <c r="I83" i="47"/>
  <c r="G90" i="47"/>
  <c r="L90" i="47"/>
  <c r="G94" i="47"/>
  <c r="L94" i="47"/>
  <c r="O99" i="47"/>
  <c r="H22" i="48"/>
  <c r="G24" i="48"/>
  <c r="L24" i="48"/>
  <c r="D25" i="48"/>
  <c r="J31" i="48"/>
  <c r="G32" i="48"/>
  <c r="L32" i="48"/>
  <c r="M38" i="48"/>
  <c r="G41" i="48"/>
  <c r="L41" i="48"/>
  <c r="C42" i="48"/>
  <c r="E44" i="48"/>
  <c r="M48" i="48"/>
  <c r="E51" i="48"/>
  <c r="E52" i="48"/>
  <c r="C57" i="48"/>
  <c r="H57" i="48"/>
  <c r="N57" i="48"/>
  <c r="H58" i="48"/>
  <c r="E59" i="48"/>
  <c r="C61" i="48"/>
  <c r="H61" i="48"/>
  <c r="N61" i="48"/>
  <c r="J63" i="48"/>
  <c r="D69" i="48"/>
  <c r="J69" i="48"/>
  <c r="O69" i="48"/>
  <c r="F71" i="48"/>
  <c r="N71" i="48"/>
  <c r="G73" i="48"/>
  <c r="L73" i="48"/>
  <c r="C74" i="48"/>
  <c r="J75" i="48"/>
  <c r="I77" i="48"/>
  <c r="D78" i="48"/>
  <c r="J78" i="48"/>
  <c r="O78" i="48"/>
  <c r="G82" i="48"/>
  <c r="L82" i="48"/>
  <c r="G83" i="48"/>
  <c r="O85" i="48"/>
  <c r="C85" i="48"/>
  <c r="D86" i="48"/>
  <c r="K86" i="48"/>
  <c r="D87" i="48"/>
  <c r="J88" i="48"/>
  <c r="C90" i="48"/>
  <c r="J90" i="48"/>
  <c r="N93" i="48"/>
  <c r="O2" i="49"/>
  <c r="H2" i="49"/>
  <c r="D2" i="49"/>
  <c r="M10" i="49"/>
  <c r="O10" i="49"/>
  <c r="J10" i="49"/>
  <c r="D10" i="49"/>
  <c r="N10" i="49"/>
  <c r="H10" i="49"/>
  <c r="C10" i="49"/>
  <c r="L10" i="49"/>
  <c r="G10" i="49"/>
  <c r="M14" i="49"/>
  <c r="K14" i="49"/>
  <c r="F14" i="49"/>
  <c r="O14" i="49"/>
  <c r="J14" i="49"/>
  <c r="D14" i="49"/>
  <c r="N14" i="49"/>
  <c r="H14" i="49"/>
  <c r="C14" i="49"/>
  <c r="M18" i="49"/>
  <c r="O18" i="49"/>
  <c r="J18" i="49"/>
  <c r="D18" i="49"/>
  <c r="N18" i="49"/>
  <c r="H18" i="49"/>
  <c r="C18" i="49"/>
  <c r="L18" i="49"/>
  <c r="G18" i="49"/>
  <c r="M22" i="49"/>
  <c r="K22" i="49"/>
  <c r="F22" i="49"/>
  <c r="O22" i="49"/>
  <c r="J22" i="49"/>
  <c r="D22" i="49"/>
  <c r="N22" i="49"/>
  <c r="H22" i="49"/>
  <c r="C22" i="49"/>
  <c r="M26" i="49"/>
  <c r="O26" i="49"/>
  <c r="J26" i="49"/>
  <c r="D26" i="49"/>
  <c r="N26" i="49"/>
  <c r="H26" i="49"/>
  <c r="C26" i="49"/>
  <c r="L26" i="49"/>
  <c r="G26" i="49"/>
  <c r="M30" i="49"/>
  <c r="K30" i="49"/>
  <c r="F30" i="49"/>
  <c r="O30" i="49"/>
  <c r="J30" i="49"/>
  <c r="D30" i="49"/>
  <c r="N30" i="49"/>
  <c r="H30" i="49"/>
  <c r="C30" i="49"/>
  <c r="O47" i="49"/>
  <c r="K47" i="49"/>
  <c r="G47" i="49"/>
  <c r="C47" i="49"/>
  <c r="L50" i="49"/>
  <c r="G50" i="49"/>
  <c r="H91" i="48"/>
  <c r="H95" i="48"/>
  <c r="G98" i="48"/>
  <c r="O98" i="48"/>
  <c r="G99" i="48"/>
  <c r="O99" i="48"/>
  <c r="G4" i="49"/>
  <c r="O4" i="49"/>
  <c r="F5" i="49"/>
  <c r="K5" i="49"/>
  <c r="G8" i="49"/>
  <c r="O8" i="49"/>
  <c r="F9" i="49"/>
  <c r="K9" i="49"/>
  <c r="M12" i="49"/>
  <c r="E13" i="49"/>
  <c r="M13" i="49"/>
  <c r="D15" i="49"/>
  <c r="K15" i="49"/>
  <c r="M20" i="49"/>
  <c r="E21" i="49"/>
  <c r="M21" i="49"/>
  <c r="D23" i="49"/>
  <c r="K23" i="49"/>
  <c r="M28" i="49"/>
  <c r="E29" i="49"/>
  <c r="M29" i="49"/>
  <c r="D31" i="49"/>
  <c r="K31" i="49"/>
  <c r="F34" i="49"/>
  <c r="K34" i="49"/>
  <c r="H36" i="49"/>
  <c r="D42" i="49"/>
  <c r="L42" i="49"/>
  <c r="H62" i="49"/>
  <c r="M70" i="49"/>
  <c r="E70" i="49"/>
  <c r="J70" i="49"/>
  <c r="C70" i="49"/>
  <c r="N70" i="49"/>
  <c r="G70" i="49"/>
  <c r="M82" i="49"/>
  <c r="O82" i="49"/>
  <c r="J82" i="49"/>
  <c r="D82" i="49"/>
  <c r="N82" i="49"/>
  <c r="H82" i="49"/>
  <c r="C82" i="49"/>
  <c r="K82" i="49"/>
  <c r="F82" i="49"/>
  <c r="K89" i="49"/>
  <c r="F89" i="49"/>
  <c r="J98" i="48"/>
  <c r="H99" i="48"/>
  <c r="G5" i="49"/>
  <c r="L5" i="49"/>
  <c r="J8" i="49"/>
  <c r="G9" i="49"/>
  <c r="M9" i="49"/>
  <c r="G13" i="49"/>
  <c r="N13" i="49"/>
  <c r="E15" i="49"/>
  <c r="M15" i="49"/>
  <c r="G21" i="49"/>
  <c r="N21" i="49"/>
  <c r="E23" i="49"/>
  <c r="M23" i="49"/>
  <c r="G29" i="49"/>
  <c r="N29" i="49"/>
  <c r="E31" i="49"/>
  <c r="M31" i="49"/>
  <c r="G34" i="49"/>
  <c r="L34" i="49"/>
  <c r="G42" i="49"/>
  <c r="M61" i="49"/>
  <c r="O61" i="49"/>
  <c r="J61" i="49"/>
  <c r="D61" i="49"/>
  <c r="N61" i="49"/>
  <c r="H61" i="49"/>
  <c r="C61" i="49"/>
  <c r="L61" i="49"/>
  <c r="K72" i="49"/>
  <c r="D72" i="49"/>
  <c r="I72" i="49"/>
  <c r="C72" i="49"/>
  <c r="M72" i="49"/>
  <c r="E72" i="49"/>
  <c r="M78" i="49"/>
  <c r="O78" i="49"/>
  <c r="J78" i="49"/>
  <c r="D78" i="49"/>
  <c r="N78" i="49"/>
  <c r="H78" i="49"/>
  <c r="C78" i="49"/>
  <c r="K78" i="49"/>
  <c r="F78" i="49"/>
  <c r="G82" i="49"/>
  <c r="N95" i="49"/>
  <c r="L95" i="49"/>
  <c r="D95" i="49"/>
  <c r="K95" i="49"/>
  <c r="C95" i="49"/>
  <c r="O95" i="49"/>
  <c r="G95" i="49"/>
  <c r="I13" i="49"/>
  <c r="H15" i="49"/>
  <c r="I21" i="49"/>
  <c r="H23" i="49"/>
  <c r="I29" i="49"/>
  <c r="H31" i="49"/>
  <c r="O36" i="49"/>
  <c r="N36" i="49"/>
  <c r="F36" i="49"/>
  <c r="L36" i="49"/>
  <c r="M42" i="49"/>
  <c r="K42" i="49"/>
  <c r="F42" i="49"/>
  <c r="H42" i="49"/>
  <c r="O42" i="49"/>
  <c r="N62" i="49"/>
  <c r="O62" i="49"/>
  <c r="G62" i="49"/>
  <c r="L62" i="49"/>
  <c r="D62" i="49"/>
  <c r="H63" i="49"/>
  <c r="N63" i="49"/>
  <c r="G78" i="49"/>
  <c r="L82" i="49"/>
  <c r="M88" i="49"/>
  <c r="E88" i="49"/>
  <c r="J88" i="49"/>
  <c r="D88" i="49"/>
  <c r="N88" i="49"/>
  <c r="H88" i="49"/>
  <c r="H95" i="49"/>
  <c r="J65" i="49"/>
  <c r="G67" i="49"/>
  <c r="L67" i="49"/>
  <c r="I79" i="49"/>
  <c r="G90" i="49"/>
  <c r="L90" i="49"/>
  <c r="D98" i="49"/>
  <c r="J98" i="49"/>
  <c r="O98" i="49"/>
  <c r="G99" i="49"/>
  <c r="D100" i="49"/>
  <c r="M55" i="49"/>
  <c r="G57" i="49"/>
  <c r="L57" i="49"/>
  <c r="I59" i="49"/>
  <c r="E65" i="49"/>
  <c r="D67" i="49"/>
  <c r="J67" i="49"/>
  <c r="O67" i="49"/>
  <c r="G71" i="49"/>
  <c r="L71" i="49"/>
  <c r="J73" i="49"/>
  <c r="G75" i="49"/>
  <c r="L75" i="49"/>
  <c r="D79" i="49"/>
  <c r="O79" i="49"/>
  <c r="I87" i="49"/>
  <c r="D90" i="49"/>
  <c r="J90" i="49"/>
  <c r="O90" i="49"/>
  <c r="M92" i="49"/>
  <c r="G94" i="49"/>
  <c r="L94" i="49"/>
  <c r="K99" i="49"/>
  <c r="H100" i="49"/>
  <c r="G38" i="49"/>
  <c r="L38" i="49"/>
  <c r="J40" i="49"/>
  <c r="O43" i="49"/>
  <c r="G53" i="49"/>
  <c r="L53" i="49"/>
  <c r="D54" i="49"/>
  <c r="C57" i="49"/>
  <c r="H57" i="49"/>
  <c r="N57" i="49"/>
  <c r="D59" i="49"/>
  <c r="E60" i="49"/>
  <c r="H64" i="49"/>
  <c r="F67" i="49"/>
  <c r="K67" i="49"/>
  <c r="H69" i="49"/>
  <c r="C71" i="49"/>
  <c r="H71" i="49"/>
  <c r="N71" i="49"/>
  <c r="D73" i="49"/>
  <c r="C75" i="49"/>
  <c r="H75" i="49"/>
  <c r="N75" i="49"/>
  <c r="M77" i="49"/>
  <c r="H79" i="49"/>
  <c r="H84" i="49"/>
  <c r="G86" i="49"/>
  <c r="L86" i="49"/>
  <c r="C87" i="49"/>
  <c r="M87" i="49"/>
  <c r="F90" i="49"/>
  <c r="K90" i="49"/>
  <c r="C94" i="49"/>
  <c r="H94" i="49"/>
  <c r="N94" i="49"/>
  <c r="G98" i="49"/>
  <c r="L98" i="49"/>
  <c r="C99" i="49"/>
  <c r="O99" i="49"/>
  <c r="L100" i="49"/>
  <c r="I3" i="49"/>
  <c r="G11" i="49"/>
  <c r="N27" i="49"/>
  <c r="J27" i="49"/>
  <c r="F27" i="49"/>
  <c r="L27" i="49"/>
  <c r="E2" i="49"/>
  <c r="M2" i="49"/>
  <c r="F3" i="49"/>
  <c r="J3" i="49"/>
  <c r="N3" i="49"/>
  <c r="I6" i="49"/>
  <c r="F7" i="49"/>
  <c r="J7" i="49"/>
  <c r="N7" i="49"/>
  <c r="C11" i="49"/>
  <c r="H11" i="49"/>
  <c r="M11" i="49"/>
  <c r="O16" i="49"/>
  <c r="K16" i="49"/>
  <c r="G16" i="49"/>
  <c r="C16" i="49"/>
  <c r="F16" i="49"/>
  <c r="L16" i="49"/>
  <c r="G17" i="49"/>
  <c r="M17" i="49"/>
  <c r="C19" i="49"/>
  <c r="H19" i="49"/>
  <c r="O24" i="49"/>
  <c r="K24" i="49"/>
  <c r="G24" i="49"/>
  <c r="C24" i="49"/>
  <c r="F24" i="49"/>
  <c r="L24" i="49"/>
  <c r="G25" i="49"/>
  <c r="M25" i="49"/>
  <c r="C27" i="49"/>
  <c r="H27" i="49"/>
  <c r="M27" i="49"/>
  <c r="L33" i="49"/>
  <c r="H33" i="49"/>
  <c r="D33" i="49"/>
  <c r="N33" i="49"/>
  <c r="J33" i="49"/>
  <c r="F33" i="49"/>
  <c r="I33" i="49"/>
  <c r="N35" i="49"/>
  <c r="J35" i="49"/>
  <c r="F35" i="49"/>
  <c r="L35" i="49"/>
  <c r="H35" i="49"/>
  <c r="D35" i="49"/>
  <c r="I35" i="49"/>
  <c r="L37" i="49"/>
  <c r="H37" i="49"/>
  <c r="D37" i="49"/>
  <c r="N37" i="49"/>
  <c r="J37" i="49"/>
  <c r="F37" i="49"/>
  <c r="I37" i="49"/>
  <c r="L41" i="49"/>
  <c r="H41" i="49"/>
  <c r="D41" i="49"/>
  <c r="O41" i="49"/>
  <c r="K41" i="49"/>
  <c r="G41" i="49"/>
  <c r="C41" i="49"/>
  <c r="N41" i="49"/>
  <c r="J41" i="49"/>
  <c r="F41" i="49"/>
  <c r="L45" i="49"/>
  <c r="H45" i="49"/>
  <c r="D45" i="49"/>
  <c r="O45" i="49"/>
  <c r="K45" i="49"/>
  <c r="G45" i="49"/>
  <c r="C45" i="49"/>
  <c r="N45" i="49"/>
  <c r="J45" i="49"/>
  <c r="F45" i="49"/>
  <c r="L48" i="49"/>
  <c r="H48" i="49"/>
  <c r="D48" i="49"/>
  <c r="O48" i="49"/>
  <c r="J48" i="49"/>
  <c r="E48" i="49"/>
  <c r="N48" i="49"/>
  <c r="I48" i="49"/>
  <c r="C48" i="49"/>
  <c r="M48" i="49"/>
  <c r="G48" i="49"/>
  <c r="N58" i="49"/>
  <c r="J58" i="49"/>
  <c r="F58" i="49"/>
  <c r="K58" i="49"/>
  <c r="E58" i="49"/>
  <c r="O58" i="49"/>
  <c r="I58" i="49"/>
  <c r="D58" i="49"/>
  <c r="M58" i="49"/>
  <c r="H58" i="49"/>
  <c r="C58" i="49"/>
  <c r="L66" i="49"/>
  <c r="H66" i="49"/>
  <c r="D66" i="49"/>
  <c r="N66" i="49"/>
  <c r="I66" i="49"/>
  <c r="C66" i="49"/>
  <c r="M66" i="49"/>
  <c r="G66" i="49"/>
  <c r="J66" i="49"/>
  <c r="F66" i="49"/>
  <c r="O66" i="49"/>
  <c r="E66" i="49"/>
  <c r="E7" i="49"/>
  <c r="I7" i="49"/>
  <c r="M7" i="49"/>
  <c r="N19" i="49"/>
  <c r="J19" i="49"/>
  <c r="F19" i="49"/>
  <c r="L19" i="49"/>
  <c r="I2" i="49"/>
  <c r="E6" i="49"/>
  <c r="M6" i="49"/>
  <c r="F2" i="49"/>
  <c r="J2" i="49"/>
  <c r="N2" i="49"/>
  <c r="C3" i="49"/>
  <c r="G3" i="49"/>
  <c r="K3" i="49"/>
  <c r="O3" i="49"/>
  <c r="D4" i="49"/>
  <c r="H4" i="49"/>
  <c r="L4" i="49"/>
  <c r="E5" i="49"/>
  <c r="I5" i="49"/>
  <c r="F6" i="49"/>
  <c r="J6" i="49"/>
  <c r="N6" i="49"/>
  <c r="C7" i="49"/>
  <c r="G7" i="49"/>
  <c r="K7" i="49"/>
  <c r="O7" i="49"/>
  <c r="D8" i="49"/>
  <c r="H8" i="49"/>
  <c r="L8" i="49"/>
  <c r="E9" i="49"/>
  <c r="I9" i="49"/>
  <c r="N9" i="49"/>
  <c r="D11" i="49"/>
  <c r="I11" i="49"/>
  <c r="E12" i="49"/>
  <c r="L13" i="49"/>
  <c r="H13" i="49"/>
  <c r="D13" i="49"/>
  <c r="F13" i="49"/>
  <c r="K13" i="49"/>
  <c r="N15" i="49"/>
  <c r="J15" i="49"/>
  <c r="F15" i="49"/>
  <c r="G15" i="49"/>
  <c r="L15" i="49"/>
  <c r="H16" i="49"/>
  <c r="M16" i="49"/>
  <c r="C17" i="49"/>
  <c r="I17" i="49"/>
  <c r="D19" i="49"/>
  <c r="I19" i="49"/>
  <c r="O19" i="49"/>
  <c r="E20" i="49"/>
  <c r="L21" i="49"/>
  <c r="H21" i="49"/>
  <c r="D21" i="49"/>
  <c r="F21" i="49"/>
  <c r="K21" i="49"/>
  <c r="N23" i="49"/>
  <c r="J23" i="49"/>
  <c r="F23" i="49"/>
  <c r="G23" i="49"/>
  <c r="L23" i="49"/>
  <c r="H24" i="49"/>
  <c r="M24" i="49"/>
  <c r="C25" i="49"/>
  <c r="I25" i="49"/>
  <c r="D27" i="49"/>
  <c r="I27" i="49"/>
  <c r="O27" i="49"/>
  <c r="E28" i="49"/>
  <c r="L29" i="49"/>
  <c r="H29" i="49"/>
  <c r="D29" i="49"/>
  <c r="F29" i="49"/>
  <c r="K29" i="49"/>
  <c r="N31" i="49"/>
  <c r="J31" i="49"/>
  <c r="F31" i="49"/>
  <c r="G31" i="49"/>
  <c r="L31" i="49"/>
  <c r="C33" i="49"/>
  <c r="K33" i="49"/>
  <c r="C35" i="49"/>
  <c r="K35" i="49"/>
  <c r="C37" i="49"/>
  <c r="K37" i="49"/>
  <c r="E41" i="49"/>
  <c r="E45" i="49"/>
  <c r="F48" i="49"/>
  <c r="G58" i="49"/>
  <c r="E3" i="49"/>
  <c r="M3" i="49"/>
  <c r="N11" i="49"/>
  <c r="J11" i="49"/>
  <c r="F11" i="49"/>
  <c r="L11" i="49"/>
  <c r="L17" i="49"/>
  <c r="H17" i="49"/>
  <c r="D17" i="49"/>
  <c r="F17" i="49"/>
  <c r="K17" i="49"/>
  <c r="G19" i="49"/>
  <c r="L25" i="49"/>
  <c r="H25" i="49"/>
  <c r="D25" i="49"/>
  <c r="F25" i="49"/>
  <c r="K25" i="49"/>
  <c r="G27" i="49"/>
  <c r="C2" i="49"/>
  <c r="B2" i="49" s="1"/>
  <c r="G2" i="49"/>
  <c r="K2" i="49"/>
  <c r="D3" i="49"/>
  <c r="H3" i="49"/>
  <c r="E4" i="49"/>
  <c r="I4" i="49"/>
  <c r="C6" i="49"/>
  <c r="G6" i="49"/>
  <c r="K6" i="49"/>
  <c r="D7" i="49"/>
  <c r="H7" i="49"/>
  <c r="E8" i="49"/>
  <c r="I8" i="49"/>
  <c r="E11" i="49"/>
  <c r="K11" i="49"/>
  <c r="O12" i="49"/>
  <c r="K12" i="49"/>
  <c r="G12" i="49"/>
  <c r="C12" i="49"/>
  <c r="F12" i="49"/>
  <c r="L12" i="49"/>
  <c r="D16" i="49"/>
  <c r="I16" i="49"/>
  <c r="N16" i="49"/>
  <c r="E17" i="49"/>
  <c r="J17" i="49"/>
  <c r="O17" i="49"/>
  <c r="E19" i="49"/>
  <c r="K19" i="49"/>
  <c r="O20" i="49"/>
  <c r="K20" i="49"/>
  <c r="G20" i="49"/>
  <c r="C20" i="49"/>
  <c r="F20" i="49"/>
  <c r="L20" i="49"/>
  <c r="D24" i="49"/>
  <c r="I24" i="49"/>
  <c r="N24" i="49"/>
  <c r="E25" i="49"/>
  <c r="J25" i="49"/>
  <c r="O25" i="49"/>
  <c r="E27" i="49"/>
  <c r="K27" i="49"/>
  <c r="O28" i="49"/>
  <c r="K28" i="49"/>
  <c r="G28" i="49"/>
  <c r="C28" i="49"/>
  <c r="F28" i="49"/>
  <c r="L28" i="49"/>
  <c r="E33" i="49"/>
  <c r="M33" i="49"/>
  <c r="E35" i="49"/>
  <c r="M35" i="49"/>
  <c r="E37" i="49"/>
  <c r="M37" i="49"/>
  <c r="I41" i="49"/>
  <c r="I45" i="49"/>
  <c r="K48" i="49"/>
  <c r="N50" i="49"/>
  <c r="J50" i="49"/>
  <c r="F50" i="49"/>
  <c r="K50" i="49"/>
  <c r="E50" i="49"/>
  <c r="O50" i="49"/>
  <c r="I50" i="49"/>
  <c r="D50" i="49"/>
  <c r="M50" i="49"/>
  <c r="H50" i="49"/>
  <c r="C50" i="49"/>
  <c r="L56" i="49"/>
  <c r="H56" i="49"/>
  <c r="D56" i="49"/>
  <c r="O56" i="49"/>
  <c r="J56" i="49"/>
  <c r="E56" i="49"/>
  <c r="N56" i="49"/>
  <c r="I56" i="49"/>
  <c r="C56" i="49"/>
  <c r="M56" i="49"/>
  <c r="G56" i="49"/>
  <c r="L58" i="49"/>
  <c r="E32" i="49"/>
  <c r="I32" i="49"/>
  <c r="M32" i="49"/>
  <c r="E36" i="49"/>
  <c r="I36" i="49"/>
  <c r="M36" i="49"/>
  <c r="D39" i="49"/>
  <c r="H39" i="49"/>
  <c r="L39" i="49"/>
  <c r="E40" i="49"/>
  <c r="I40" i="49"/>
  <c r="M40" i="49"/>
  <c r="D43" i="49"/>
  <c r="H43" i="49"/>
  <c r="L43" i="49"/>
  <c r="E44" i="49"/>
  <c r="I44" i="49"/>
  <c r="M44" i="49"/>
  <c r="D47" i="49"/>
  <c r="H47" i="49"/>
  <c r="L47" i="49"/>
  <c r="E52" i="49"/>
  <c r="J52" i="49"/>
  <c r="E54" i="49"/>
  <c r="O55" i="49"/>
  <c r="K55" i="49"/>
  <c r="G55" i="49"/>
  <c r="C55" i="49"/>
  <c r="F55" i="49"/>
  <c r="L55" i="49"/>
  <c r="F60" i="49"/>
  <c r="N68" i="49"/>
  <c r="J68" i="49"/>
  <c r="F68" i="49"/>
  <c r="O68" i="49"/>
  <c r="I68" i="49"/>
  <c r="D68" i="49"/>
  <c r="M68" i="49"/>
  <c r="H68" i="49"/>
  <c r="C68" i="49"/>
  <c r="L68" i="49"/>
  <c r="L74" i="49"/>
  <c r="H74" i="49"/>
  <c r="D74" i="49"/>
  <c r="O74" i="49"/>
  <c r="J74" i="49"/>
  <c r="E74" i="49"/>
  <c r="N74" i="49"/>
  <c r="I74" i="49"/>
  <c r="C74" i="49"/>
  <c r="M74" i="49"/>
  <c r="G74" i="49"/>
  <c r="E39" i="49"/>
  <c r="I39" i="49"/>
  <c r="M39" i="49"/>
  <c r="E43" i="49"/>
  <c r="I43" i="49"/>
  <c r="M43" i="49"/>
  <c r="E47" i="49"/>
  <c r="I47" i="49"/>
  <c r="M47" i="49"/>
  <c r="L52" i="49"/>
  <c r="H52" i="49"/>
  <c r="D52" i="49"/>
  <c r="F52" i="49"/>
  <c r="K52" i="49"/>
  <c r="N54" i="49"/>
  <c r="J54" i="49"/>
  <c r="F54" i="49"/>
  <c r="G54" i="49"/>
  <c r="L54" i="49"/>
  <c r="L60" i="49"/>
  <c r="H60" i="49"/>
  <c r="D60" i="49"/>
  <c r="O60" i="49"/>
  <c r="K60" i="49"/>
  <c r="G60" i="49"/>
  <c r="C60" i="49"/>
  <c r="I60" i="49"/>
  <c r="M63" i="49"/>
  <c r="K63" i="49"/>
  <c r="G63" i="49"/>
  <c r="C63" i="49"/>
  <c r="O63" i="49"/>
  <c r="J63" i="49"/>
  <c r="F63" i="49"/>
  <c r="I63" i="49"/>
  <c r="N91" i="49"/>
  <c r="J91" i="49"/>
  <c r="F91" i="49"/>
  <c r="K91" i="49"/>
  <c r="E91" i="49"/>
  <c r="O91" i="49"/>
  <c r="I91" i="49"/>
  <c r="D91" i="49"/>
  <c r="M91" i="49"/>
  <c r="H91" i="49"/>
  <c r="C91" i="49"/>
  <c r="L91" i="49"/>
  <c r="G91" i="49"/>
  <c r="E10" i="49"/>
  <c r="I10" i="49"/>
  <c r="E14" i="49"/>
  <c r="I14" i="49"/>
  <c r="E18" i="49"/>
  <c r="I18" i="49"/>
  <c r="E22" i="49"/>
  <c r="I22" i="49"/>
  <c r="E26" i="49"/>
  <c r="I26" i="49"/>
  <c r="E30" i="49"/>
  <c r="I30" i="49"/>
  <c r="C32" i="49"/>
  <c r="G32" i="49"/>
  <c r="K32" i="49"/>
  <c r="E34" i="49"/>
  <c r="I34" i="49"/>
  <c r="C36" i="49"/>
  <c r="G36" i="49"/>
  <c r="K36" i="49"/>
  <c r="E38" i="49"/>
  <c r="I38" i="49"/>
  <c r="F39" i="49"/>
  <c r="J39" i="49"/>
  <c r="C40" i="49"/>
  <c r="G40" i="49"/>
  <c r="K40" i="49"/>
  <c r="E42" i="49"/>
  <c r="I42" i="49"/>
  <c r="F43" i="49"/>
  <c r="J43" i="49"/>
  <c r="C44" i="49"/>
  <c r="G44" i="49"/>
  <c r="K44" i="49"/>
  <c r="E46" i="49"/>
  <c r="I46" i="49"/>
  <c r="F47" i="49"/>
  <c r="J47" i="49"/>
  <c r="N47" i="49"/>
  <c r="O51" i="49"/>
  <c r="K51" i="49"/>
  <c r="G51" i="49"/>
  <c r="C51" i="49"/>
  <c r="F51" i="49"/>
  <c r="L51" i="49"/>
  <c r="G52" i="49"/>
  <c r="M52" i="49"/>
  <c r="C54" i="49"/>
  <c r="H54" i="49"/>
  <c r="M54" i="49"/>
  <c r="D55" i="49"/>
  <c r="I55" i="49"/>
  <c r="N55" i="49"/>
  <c r="O59" i="49"/>
  <c r="K59" i="49"/>
  <c r="G59" i="49"/>
  <c r="C59" i="49"/>
  <c r="F59" i="49"/>
  <c r="L59" i="49"/>
  <c r="J60" i="49"/>
  <c r="D63" i="49"/>
  <c r="L63" i="49"/>
  <c r="G68" i="49"/>
  <c r="K74" i="49"/>
  <c r="O76" i="49"/>
  <c r="K76" i="49"/>
  <c r="G76" i="49"/>
  <c r="C76" i="49"/>
  <c r="N76" i="49"/>
  <c r="J76" i="49"/>
  <c r="F76" i="49"/>
  <c r="H76" i="49"/>
  <c r="M76" i="49"/>
  <c r="E76" i="49"/>
  <c r="L76" i="49"/>
  <c r="D76" i="49"/>
  <c r="E62" i="49"/>
  <c r="I62" i="49"/>
  <c r="M62" i="49"/>
  <c r="O65" i="49"/>
  <c r="K65" i="49"/>
  <c r="G65" i="49"/>
  <c r="C65" i="49"/>
  <c r="F65" i="49"/>
  <c r="L65" i="49"/>
  <c r="D69" i="49"/>
  <c r="I69" i="49"/>
  <c r="N69" i="49"/>
  <c r="O73" i="49"/>
  <c r="K73" i="49"/>
  <c r="G73" i="49"/>
  <c r="C73" i="49"/>
  <c r="F73" i="49"/>
  <c r="L73" i="49"/>
  <c r="L81" i="49"/>
  <c r="H81" i="49"/>
  <c r="D81" i="49"/>
  <c r="O81" i="49"/>
  <c r="J81" i="49"/>
  <c r="E81" i="49"/>
  <c r="N81" i="49"/>
  <c r="I81" i="49"/>
  <c r="C81" i="49"/>
  <c r="M81" i="49"/>
  <c r="G81" i="49"/>
  <c r="E49" i="49"/>
  <c r="I49" i="49"/>
  <c r="E53" i="49"/>
  <c r="I53" i="49"/>
  <c r="E57" i="49"/>
  <c r="I57" i="49"/>
  <c r="E61" i="49"/>
  <c r="I61" i="49"/>
  <c r="F62" i="49"/>
  <c r="J62" i="49"/>
  <c r="N64" i="49"/>
  <c r="J64" i="49"/>
  <c r="F64" i="49"/>
  <c r="G64" i="49"/>
  <c r="L64" i="49"/>
  <c r="H65" i="49"/>
  <c r="M65" i="49"/>
  <c r="E69" i="49"/>
  <c r="L70" i="49"/>
  <c r="H70" i="49"/>
  <c r="D70" i="49"/>
  <c r="F70" i="49"/>
  <c r="K70" i="49"/>
  <c r="N72" i="49"/>
  <c r="J72" i="49"/>
  <c r="F72" i="49"/>
  <c r="G72" i="49"/>
  <c r="L72" i="49"/>
  <c r="H73" i="49"/>
  <c r="M73" i="49"/>
  <c r="F81" i="49"/>
  <c r="L89" i="49"/>
  <c r="H89" i="49"/>
  <c r="D89" i="49"/>
  <c r="O89" i="49"/>
  <c r="J89" i="49"/>
  <c r="E89" i="49"/>
  <c r="N89" i="49"/>
  <c r="I89" i="49"/>
  <c r="C89" i="49"/>
  <c r="M89" i="49"/>
  <c r="G89" i="49"/>
  <c r="O69" i="49"/>
  <c r="K69" i="49"/>
  <c r="G69" i="49"/>
  <c r="C69" i="49"/>
  <c r="F69" i="49"/>
  <c r="L69" i="49"/>
  <c r="N83" i="49"/>
  <c r="J83" i="49"/>
  <c r="F83" i="49"/>
  <c r="K83" i="49"/>
  <c r="E83" i="49"/>
  <c r="O83" i="49"/>
  <c r="I83" i="49"/>
  <c r="D83" i="49"/>
  <c r="M83" i="49"/>
  <c r="H83" i="49"/>
  <c r="C83" i="49"/>
  <c r="E67" i="49"/>
  <c r="I67" i="49"/>
  <c r="E71" i="49"/>
  <c r="I71" i="49"/>
  <c r="E75" i="49"/>
  <c r="I75" i="49"/>
  <c r="E77" i="49"/>
  <c r="J77" i="49"/>
  <c r="E79" i="49"/>
  <c r="O80" i="49"/>
  <c r="K80" i="49"/>
  <c r="G80" i="49"/>
  <c r="C80" i="49"/>
  <c r="F80" i="49"/>
  <c r="L80" i="49"/>
  <c r="D84" i="49"/>
  <c r="I84" i="49"/>
  <c r="N84" i="49"/>
  <c r="E85" i="49"/>
  <c r="J85" i="49"/>
  <c r="E87" i="49"/>
  <c r="O88" i="49"/>
  <c r="K88" i="49"/>
  <c r="G88" i="49"/>
  <c r="C88" i="49"/>
  <c r="F88" i="49"/>
  <c r="L88" i="49"/>
  <c r="D92" i="49"/>
  <c r="I92" i="49"/>
  <c r="N92" i="49"/>
  <c r="F93" i="49"/>
  <c r="L77" i="49"/>
  <c r="H77" i="49"/>
  <c r="D77" i="49"/>
  <c r="F77" i="49"/>
  <c r="K77" i="49"/>
  <c r="N79" i="49"/>
  <c r="J79" i="49"/>
  <c r="F79" i="49"/>
  <c r="G79" i="49"/>
  <c r="L79" i="49"/>
  <c r="E84" i="49"/>
  <c r="L85" i="49"/>
  <c r="H85" i="49"/>
  <c r="D85" i="49"/>
  <c r="F85" i="49"/>
  <c r="K85" i="49"/>
  <c r="N87" i="49"/>
  <c r="J87" i="49"/>
  <c r="F87" i="49"/>
  <c r="G87" i="49"/>
  <c r="L87" i="49"/>
  <c r="E92" i="49"/>
  <c r="L93" i="49"/>
  <c r="H93" i="49"/>
  <c r="D93" i="49"/>
  <c r="O93" i="49"/>
  <c r="K93" i="49"/>
  <c r="G93" i="49"/>
  <c r="C93" i="49"/>
  <c r="I93" i="49"/>
  <c r="L97" i="49"/>
  <c r="H97" i="49"/>
  <c r="D97" i="49"/>
  <c r="O97" i="49"/>
  <c r="K97" i="49"/>
  <c r="G97" i="49"/>
  <c r="C97" i="49"/>
  <c r="N97" i="49"/>
  <c r="J97" i="49"/>
  <c r="F97" i="49"/>
  <c r="O84" i="49"/>
  <c r="K84" i="49"/>
  <c r="G84" i="49"/>
  <c r="C84" i="49"/>
  <c r="F84" i="49"/>
  <c r="L84" i="49"/>
  <c r="O92" i="49"/>
  <c r="K92" i="49"/>
  <c r="G92" i="49"/>
  <c r="C92" i="49"/>
  <c r="F92" i="49"/>
  <c r="L92" i="49"/>
  <c r="J93" i="49"/>
  <c r="E97" i="49"/>
  <c r="E96" i="49"/>
  <c r="I96" i="49"/>
  <c r="M96" i="49"/>
  <c r="H99" i="49"/>
  <c r="L99" i="49"/>
  <c r="E100" i="49"/>
  <c r="I100" i="49"/>
  <c r="M100" i="49"/>
  <c r="E95" i="49"/>
  <c r="I95" i="49"/>
  <c r="M95" i="49"/>
  <c r="F96" i="49"/>
  <c r="J96" i="49"/>
  <c r="N96" i="49"/>
  <c r="E99" i="49"/>
  <c r="I99" i="49"/>
  <c r="M99" i="49"/>
  <c r="F100" i="49"/>
  <c r="J100" i="49"/>
  <c r="N100" i="49"/>
  <c r="E78" i="49"/>
  <c r="I78" i="49"/>
  <c r="E82" i="49"/>
  <c r="I82" i="49"/>
  <c r="E86" i="49"/>
  <c r="I86" i="49"/>
  <c r="E90" i="49"/>
  <c r="I90" i="49"/>
  <c r="E94" i="49"/>
  <c r="I94" i="49"/>
  <c r="F95" i="49"/>
  <c r="J95" i="49"/>
  <c r="C96" i="49"/>
  <c r="G96" i="49"/>
  <c r="K96" i="49"/>
  <c r="E98" i="49"/>
  <c r="I98" i="49"/>
  <c r="F99" i="49"/>
  <c r="J99" i="49"/>
  <c r="C100" i="49"/>
  <c r="G100" i="49"/>
  <c r="K100" i="49"/>
  <c r="M3" i="48"/>
  <c r="E7" i="48"/>
  <c r="M7" i="48"/>
  <c r="I15" i="48"/>
  <c r="F19" i="48"/>
  <c r="K19" i="48"/>
  <c r="L30" i="48"/>
  <c r="H30" i="48"/>
  <c r="D30" i="48"/>
  <c r="O30" i="48"/>
  <c r="K30" i="48"/>
  <c r="G30" i="48"/>
  <c r="C30" i="48"/>
  <c r="I30" i="48"/>
  <c r="N33" i="48"/>
  <c r="J33" i="48"/>
  <c r="F33" i="48"/>
  <c r="O33" i="48"/>
  <c r="I33" i="48"/>
  <c r="D33" i="48"/>
  <c r="M33" i="48"/>
  <c r="H33" i="48"/>
  <c r="C33" i="48"/>
  <c r="L33" i="48"/>
  <c r="G33" i="48"/>
  <c r="E2" i="48"/>
  <c r="I2" i="48"/>
  <c r="F3" i="48"/>
  <c r="J3" i="48"/>
  <c r="N3" i="48"/>
  <c r="C4" i="48"/>
  <c r="G4" i="48"/>
  <c r="K4" i="48"/>
  <c r="O4" i="48"/>
  <c r="D5" i="48"/>
  <c r="H5" i="48"/>
  <c r="L5" i="48"/>
  <c r="E6" i="48"/>
  <c r="I6" i="48"/>
  <c r="F7" i="48"/>
  <c r="J7" i="48"/>
  <c r="N7" i="48"/>
  <c r="C8" i="48"/>
  <c r="G8" i="48"/>
  <c r="K8" i="48"/>
  <c r="O8" i="48"/>
  <c r="D9" i="48"/>
  <c r="H9" i="48"/>
  <c r="L9" i="48"/>
  <c r="E10" i="48"/>
  <c r="I10" i="48"/>
  <c r="F11" i="48"/>
  <c r="J11" i="48"/>
  <c r="N11" i="48"/>
  <c r="C12" i="48"/>
  <c r="G12" i="48"/>
  <c r="K12" i="48"/>
  <c r="O12" i="48"/>
  <c r="D13" i="48"/>
  <c r="H13" i="48"/>
  <c r="L13" i="48"/>
  <c r="E14" i="48"/>
  <c r="I14" i="48"/>
  <c r="F15" i="48"/>
  <c r="J15" i="48"/>
  <c r="N15" i="48"/>
  <c r="C16" i="48"/>
  <c r="G16" i="48"/>
  <c r="K16" i="48"/>
  <c r="O16" i="48"/>
  <c r="D17" i="48"/>
  <c r="B17" i="48" s="1"/>
  <c r="H17" i="48"/>
  <c r="L17" i="48"/>
  <c r="O18" i="48"/>
  <c r="K18" i="48"/>
  <c r="G18" i="48"/>
  <c r="C18" i="48"/>
  <c r="F18" i="48"/>
  <c r="L18" i="48"/>
  <c r="G19" i="48"/>
  <c r="C21" i="48"/>
  <c r="H21" i="48"/>
  <c r="D22" i="48"/>
  <c r="I22" i="48"/>
  <c r="N22" i="48"/>
  <c r="E23" i="48"/>
  <c r="J23" i="48"/>
  <c r="L26" i="48"/>
  <c r="H26" i="48"/>
  <c r="D26" i="48"/>
  <c r="O26" i="48"/>
  <c r="K26" i="48"/>
  <c r="G26" i="48"/>
  <c r="C26" i="48"/>
  <c r="I26" i="48"/>
  <c r="O29" i="48"/>
  <c r="K29" i="48"/>
  <c r="G29" i="48"/>
  <c r="C29" i="48"/>
  <c r="N29" i="48"/>
  <c r="J29" i="48"/>
  <c r="F29" i="48"/>
  <c r="I29" i="48"/>
  <c r="J30" i="48"/>
  <c r="E33" i="48"/>
  <c r="E3" i="48"/>
  <c r="I3" i="48"/>
  <c r="I7" i="48"/>
  <c r="E11" i="48"/>
  <c r="M11" i="48"/>
  <c r="E15" i="48"/>
  <c r="M15" i="48"/>
  <c r="L19" i="48"/>
  <c r="H19" i="48"/>
  <c r="D19" i="48"/>
  <c r="N21" i="48"/>
  <c r="J21" i="48"/>
  <c r="F21" i="48"/>
  <c r="L21" i="48"/>
  <c r="C3" i="48"/>
  <c r="G3" i="48"/>
  <c r="K3" i="48"/>
  <c r="O3" i="48"/>
  <c r="D4" i="48"/>
  <c r="H4" i="48"/>
  <c r="L4" i="48"/>
  <c r="E5" i="48"/>
  <c r="I5" i="48"/>
  <c r="C7" i="48"/>
  <c r="G7" i="48"/>
  <c r="K7" i="48"/>
  <c r="O7" i="48"/>
  <c r="D8" i="48"/>
  <c r="H8" i="48"/>
  <c r="L8" i="48"/>
  <c r="E9" i="48"/>
  <c r="I9" i="48"/>
  <c r="C11" i="48"/>
  <c r="G11" i="48"/>
  <c r="K11" i="48"/>
  <c r="O11" i="48"/>
  <c r="D12" i="48"/>
  <c r="H12" i="48"/>
  <c r="L12" i="48"/>
  <c r="E13" i="48"/>
  <c r="I13" i="48"/>
  <c r="C15" i="48"/>
  <c r="G15" i="48"/>
  <c r="K15" i="48"/>
  <c r="O15" i="48"/>
  <c r="D16" i="48"/>
  <c r="H16" i="48"/>
  <c r="L16" i="48"/>
  <c r="E17" i="48"/>
  <c r="I17" i="48"/>
  <c r="C19" i="48"/>
  <c r="I19" i="48"/>
  <c r="N19" i="48"/>
  <c r="D21" i="48"/>
  <c r="I21" i="48"/>
  <c r="O21" i="48"/>
  <c r="E22" i="48"/>
  <c r="L23" i="48"/>
  <c r="H23" i="48"/>
  <c r="D23" i="48"/>
  <c r="F23" i="48"/>
  <c r="K23" i="48"/>
  <c r="O25" i="48"/>
  <c r="K25" i="48"/>
  <c r="G25" i="48"/>
  <c r="C25" i="48"/>
  <c r="N25" i="48"/>
  <c r="J25" i="48"/>
  <c r="F25" i="48"/>
  <c r="I25" i="48"/>
  <c r="E30" i="48"/>
  <c r="M30" i="48"/>
  <c r="K33" i="48"/>
  <c r="I11" i="48"/>
  <c r="D3" i="48"/>
  <c r="H3" i="48"/>
  <c r="E4" i="48"/>
  <c r="I4" i="48"/>
  <c r="D7" i="48"/>
  <c r="H7" i="48"/>
  <c r="E8" i="48"/>
  <c r="I8" i="48"/>
  <c r="D11" i="48"/>
  <c r="H11" i="48"/>
  <c r="E12" i="48"/>
  <c r="I12" i="48"/>
  <c r="D15" i="48"/>
  <c r="H15" i="48"/>
  <c r="E16" i="48"/>
  <c r="I16" i="48"/>
  <c r="E19" i="48"/>
  <c r="J19" i="48"/>
  <c r="O19" i="48"/>
  <c r="E21" i="48"/>
  <c r="K21" i="48"/>
  <c r="O22" i="48"/>
  <c r="K22" i="48"/>
  <c r="G22" i="48"/>
  <c r="C22" i="48"/>
  <c r="F22" i="48"/>
  <c r="L22" i="48"/>
  <c r="F30" i="48"/>
  <c r="N30" i="48"/>
  <c r="O34" i="48"/>
  <c r="K34" i="48"/>
  <c r="G34" i="48"/>
  <c r="C34" i="48"/>
  <c r="J34" i="48"/>
  <c r="E34" i="48"/>
  <c r="N34" i="48"/>
  <c r="I34" i="48"/>
  <c r="D34" i="48"/>
  <c r="M34" i="48"/>
  <c r="H34" i="48"/>
  <c r="N50" i="48"/>
  <c r="J50" i="48"/>
  <c r="F50" i="48"/>
  <c r="K50" i="48"/>
  <c r="E50" i="48"/>
  <c r="O50" i="48"/>
  <c r="I50" i="48"/>
  <c r="D50" i="48"/>
  <c r="H50" i="48"/>
  <c r="G50" i="48"/>
  <c r="M50" i="48"/>
  <c r="C50" i="48"/>
  <c r="N66" i="48"/>
  <c r="J66" i="48"/>
  <c r="F66" i="48"/>
  <c r="L66" i="48"/>
  <c r="H66" i="48"/>
  <c r="D66" i="48"/>
  <c r="O66" i="48"/>
  <c r="G66" i="48"/>
  <c r="M66" i="48"/>
  <c r="E66" i="48"/>
  <c r="K66" i="48"/>
  <c r="C66" i="48"/>
  <c r="I66" i="48"/>
  <c r="E20" i="48"/>
  <c r="I20" i="48"/>
  <c r="E24" i="48"/>
  <c r="B24" i="48" s="1"/>
  <c r="I24" i="48"/>
  <c r="D27" i="48"/>
  <c r="H27" i="48"/>
  <c r="L27" i="48"/>
  <c r="E28" i="48"/>
  <c r="I28" i="48"/>
  <c r="D31" i="48"/>
  <c r="B31" i="48" s="1"/>
  <c r="H31" i="48"/>
  <c r="L31" i="48"/>
  <c r="E32" i="48"/>
  <c r="I32" i="48"/>
  <c r="C35" i="48"/>
  <c r="I35" i="48"/>
  <c r="N35" i="48"/>
  <c r="D37" i="48"/>
  <c r="I37" i="48"/>
  <c r="O37" i="48"/>
  <c r="E38" i="48"/>
  <c r="O39" i="48"/>
  <c r="K39" i="48"/>
  <c r="G39" i="48"/>
  <c r="N39" i="48"/>
  <c r="I39" i="48"/>
  <c r="D39" i="48"/>
  <c r="F39" i="48"/>
  <c r="M39" i="48"/>
  <c r="F40" i="48"/>
  <c r="D42" i="48"/>
  <c r="L42" i="48"/>
  <c r="O47" i="48"/>
  <c r="K47" i="48"/>
  <c r="G47" i="48"/>
  <c r="C47" i="48"/>
  <c r="N47" i="48"/>
  <c r="I47" i="48"/>
  <c r="D47" i="48"/>
  <c r="M47" i="48"/>
  <c r="H47" i="48"/>
  <c r="L47" i="48"/>
  <c r="L60" i="48"/>
  <c r="H60" i="48"/>
  <c r="D60" i="48"/>
  <c r="N60" i="48"/>
  <c r="J60" i="48"/>
  <c r="F60" i="48"/>
  <c r="O60" i="48"/>
  <c r="G60" i="48"/>
  <c r="M60" i="48"/>
  <c r="E60" i="48"/>
  <c r="K60" i="48"/>
  <c r="C60" i="48"/>
  <c r="L68" i="48"/>
  <c r="H68" i="48"/>
  <c r="D68" i="48"/>
  <c r="N68" i="48"/>
  <c r="J68" i="48"/>
  <c r="F68" i="48"/>
  <c r="O68" i="48"/>
  <c r="G68" i="48"/>
  <c r="M68" i="48"/>
  <c r="E68" i="48"/>
  <c r="K68" i="48"/>
  <c r="C68" i="48"/>
  <c r="L97" i="48"/>
  <c r="H97" i="48"/>
  <c r="D97" i="48"/>
  <c r="O97" i="48"/>
  <c r="K97" i="48"/>
  <c r="G97" i="48"/>
  <c r="C97" i="48"/>
  <c r="N97" i="48"/>
  <c r="F97" i="48"/>
  <c r="M97" i="48"/>
  <c r="E97" i="48"/>
  <c r="J97" i="48"/>
  <c r="I97" i="48"/>
  <c r="E27" i="48"/>
  <c r="I27" i="48"/>
  <c r="E31" i="48"/>
  <c r="I31" i="48"/>
  <c r="E35" i="48"/>
  <c r="J35" i="48"/>
  <c r="E37" i="48"/>
  <c r="O38" i="48"/>
  <c r="K38" i="48"/>
  <c r="G38" i="48"/>
  <c r="C38" i="48"/>
  <c r="F38" i="48"/>
  <c r="L38" i="48"/>
  <c r="L40" i="48"/>
  <c r="H40" i="48"/>
  <c r="D40" i="48"/>
  <c r="O40" i="48"/>
  <c r="J40" i="48"/>
  <c r="E40" i="48"/>
  <c r="G40" i="48"/>
  <c r="N40" i="48"/>
  <c r="G42" i="48"/>
  <c r="L48" i="48"/>
  <c r="H48" i="48"/>
  <c r="D48" i="48"/>
  <c r="O48" i="48"/>
  <c r="J48" i="48"/>
  <c r="E48" i="48"/>
  <c r="N48" i="48"/>
  <c r="I48" i="48"/>
  <c r="C48" i="48"/>
  <c r="K48" i="48"/>
  <c r="N62" i="48"/>
  <c r="J62" i="48"/>
  <c r="F62" i="48"/>
  <c r="L62" i="48"/>
  <c r="H62" i="48"/>
  <c r="D62" i="48"/>
  <c r="O62" i="48"/>
  <c r="G62" i="48"/>
  <c r="M62" i="48"/>
  <c r="E62" i="48"/>
  <c r="K62" i="48"/>
  <c r="C62" i="48"/>
  <c r="N70" i="48"/>
  <c r="J70" i="48"/>
  <c r="F70" i="48"/>
  <c r="M70" i="48"/>
  <c r="I70" i="48"/>
  <c r="L70" i="48"/>
  <c r="H70" i="48"/>
  <c r="D70" i="48"/>
  <c r="G70" i="48"/>
  <c r="E70" i="48"/>
  <c r="O70" i="48"/>
  <c r="C70" i="48"/>
  <c r="L35" i="48"/>
  <c r="H35" i="48"/>
  <c r="D35" i="48"/>
  <c r="F35" i="48"/>
  <c r="K35" i="48"/>
  <c r="N37" i="48"/>
  <c r="J37" i="48"/>
  <c r="F37" i="48"/>
  <c r="G37" i="48"/>
  <c r="L37" i="48"/>
  <c r="N42" i="48"/>
  <c r="J42" i="48"/>
  <c r="F42" i="48"/>
  <c r="K42" i="48"/>
  <c r="E42" i="48"/>
  <c r="H42" i="48"/>
  <c r="O42" i="48"/>
  <c r="O55" i="48"/>
  <c r="K55" i="48"/>
  <c r="G55" i="48"/>
  <c r="C55" i="48"/>
  <c r="J55" i="48"/>
  <c r="E55" i="48"/>
  <c r="N55" i="48"/>
  <c r="I55" i="48"/>
  <c r="D55" i="48"/>
  <c r="M55" i="48"/>
  <c r="H55" i="48"/>
  <c r="L64" i="48"/>
  <c r="H64" i="48"/>
  <c r="D64" i="48"/>
  <c r="N64" i="48"/>
  <c r="J64" i="48"/>
  <c r="F64" i="48"/>
  <c r="O64" i="48"/>
  <c r="G64" i="48"/>
  <c r="M64" i="48"/>
  <c r="E64" i="48"/>
  <c r="K64" i="48"/>
  <c r="C64" i="48"/>
  <c r="K70" i="48"/>
  <c r="L44" i="48"/>
  <c r="H44" i="48"/>
  <c r="D44" i="48"/>
  <c r="F44" i="48"/>
  <c r="K44" i="48"/>
  <c r="N46" i="48"/>
  <c r="J46" i="48"/>
  <c r="F46" i="48"/>
  <c r="G46" i="48"/>
  <c r="L46" i="48"/>
  <c r="L52" i="48"/>
  <c r="H52" i="48"/>
  <c r="D52" i="48"/>
  <c r="F52" i="48"/>
  <c r="K52" i="48"/>
  <c r="N54" i="48"/>
  <c r="J54" i="48"/>
  <c r="F54" i="48"/>
  <c r="G54" i="48"/>
  <c r="L54" i="48"/>
  <c r="C56" i="48"/>
  <c r="I56" i="48"/>
  <c r="N56" i="48"/>
  <c r="D58" i="48"/>
  <c r="I58" i="48"/>
  <c r="O58" i="48"/>
  <c r="L72" i="48"/>
  <c r="H72" i="48"/>
  <c r="D72" i="48"/>
  <c r="O72" i="48"/>
  <c r="K72" i="48"/>
  <c r="G72" i="48"/>
  <c r="C72" i="48"/>
  <c r="N72" i="48"/>
  <c r="J72" i="48"/>
  <c r="F72" i="48"/>
  <c r="O76" i="48"/>
  <c r="L76" i="48"/>
  <c r="H76" i="48"/>
  <c r="D76" i="48"/>
  <c r="K76" i="48"/>
  <c r="G76" i="48"/>
  <c r="C76" i="48"/>
  <c r="N76" i="48"/>
  <c r="J76" i="48"/>
  <c r="F76" i="48"/>
  <c r="L81" i="48"/>
  <c r="H81" i="48"/>
  <c r="D81" i="48"/>
  <c r="O81" i="48"/>
  <c r="J81" i="48"/>
  <c r="E81" i="48"/>
  <c r="N81" i="48"/>
  <c r="I81" i="48"/>
  <c r="C81" i="48"/>
  <c r="M81" i="48"/>
  <c r="G81" i="48"/>
  <c r="O92" i="48"/>
  <c r="K92" i="48"/>
  <c r="G92" i="48"/>
  <c r="C92" i="48"/>
  <c r="N92" i="48"/>
  <c r="J92" i="48"/>
  <c r="F92" i="48"/>
  <c r="H92" i="48"/>
  <c r="M92" i="48"/>
  <c r="E92" i="48"/>
  <c r="L92" i="48"/>
  <c r="D92" i="48"/>
  <c r="E36" i="48"/>
  <c r="I36" i="48"/>
  <c r="O43" i="48"/>
  <c r="K43" i="48"/>
  <c r="G43" i="48"/>
  <c r="C43" i="48"/>
  <c r="F43" i="48"/>
  <c r="L43" i="48"/>
  <c r="G44" i="48"/>
  <c r="M44" i="48"/>
  <c r="C46" i="48"/>
  <c r="H46" i="48"/>
  <c r="M46" i="48"/>
  <c r="O51" i="48"/>
  <c r="K51" i="48"/>
  <c r="G51" i="48"/>
  <c r="C51" i="48"/>
  <c r="F51" i="48"/>
  <c r="L51" i="48"/>
  <c r="G52" i="48"/>
  <c r="M52" i="48"/>
  <c r="C54" i="48"/>
  <c r="H54" i="48"/>
  <c r="M54" i="48"/>
  <c r="E56" i="48"/>
  <c r="J56" i="48"/>
  <c r="E58" i="48"/>
  <c r="O59" i="48"/>
  <c r="K59" i="48"/>
  <c r="G59" i="48"/>
  <c r="C59" i="48"/>
  <c r="M59" i="48"/>
  <c r="F59" i="48"/>
  <c r="L59" i="48"/>
  <c r="E72" i="48"/>
  <c r="E76" i="48"/>
  <c r="F81" i="48"/>
  <c r="I92" i="48"/>
  <c r="L56" i="48"/>
  <c r="H56" i="48"/>
  <c r="D56" i="48"/>
  <c r="F56" i="48"/>
  <c r="K56" i="48"/>
  <c r="N58" i="48"/>
  <c r="J58" i="48"/>
  <c r="F58" i="48"/>
  <c r="G58" i="48"/>
  <c r="L58" i="48"/>
  <c r="N83" i="48"/>
  <c r="J83" i="48"/>
  <c r="F83" i="48"/>
  <c r="K83" i="48"/>
  <c r="E83" i="48"/>
  <c r="O83" i="48"/>
  <c r="I83" i="48"/>
  <c r="D83" i="48"/>
  <c r="M83" i="48"/>
  <c r="H83" i="48"/>
  <c r="C83" i="48"/>
  <c r="L89" i="48"/>
  <c r="H89" i="48"/>
  <c r="D89" i="48"/>
  <c r="O89" i="48"/>
  <c r="J89" i="48"/>
  <c r="E89" i="48"/>
  <c r="N89" i="48"/>
  <c r="I89" i="48"/>
  <c r="C89" i="48"/>
  <c r="M89" i="48"/>
  <c r="G89" i="48"/>
  <c r="E63" i="48"/>
  <c r="I63" i="48"/>
  <c r="M63" i="48"/>
  <c r="E67" i="48"/>
  <c r="I67" i="48"/>
  <c r="M67" i="48"/>
  <c r="E71" i="48"/>
  <c r="I71" i="48"/>
  <c r="M71" i="48"/>
  <c r="D74" i="48"/>
  <c r="H74" i="48"/>
  <c r="L74" i="48"/>
  <c r="E75" i="48"/>
  <c r="I75" i="48"/>
  <c r="M75" i="48"/>
  <c r="E77" i="48"/>
  <c r="J77" i="48"/>
  <c r="E79" i="48"/>
  <c r="O80" i="48"/>
  <c r="K80" i="48"/>
  <c r="G80" i="48"/>
  <c r="C80" i="48"/>
  <c r="F80" i="48"/>
  <c r="L80" i="48"/>
  <c r="E85" i="48"/>
  <c r="J85" i="48"/>
  <c r="E87" i="48"/>
  <c r="O88" i="48"/>
  <c r="K88" i="48"/>
  <c r="G88" i="48"/>
  <c r="C88" i="48"/>
  <c r="F88" i="48"/>
  <c r="L88" i="48"/>
  <c r="O96" i="48"/>
  <c r="K96" i="48"/>
  <c r="G96" i="48"/>
  <c r="C96" i="48"/>
  <c r="N96" i="48"/>
  <c r="J96" i="48"/>
  <c r="F96" i="48"/>
  <c r="I96" i="48"/>
  <c r="O100" i="48"/>
  <c r="K100" i="48"/>
  <c r="G100" i="48"/>
  <c r="C100" i="48"/>
  <c r="N100" i="48"/>
  <c r="J100" i="48"/>
  <c r="F100" i="48"/>
  <c r="I100" i="48"/>
  <c r="E74" i="48"/>
  <c r="I74" i="48"/>
  <c r="M74" i="48"/>
  <c r="L77" i="48"/>
  <c r="H77" i="48"/>
  <c r="D77" i="48"/>
  <c r="F77" i="48"/>
  <c r="K77" i="48"/>
  <c r="N79" i="48"/>
  <c r="J79" i="48"/>
  <c r="F79" i="48"/>
  <c r="G79" i="48"/>
  <c r="L79" i="48"/>
  <c r="L85" i="48"/>
  <c r="H85" i="48"/>
  <c r="D85" i="48"/>
  <c r="F85" i="48"/>
  <c r="K85" i="48"/>
  <c r="N87" i="48"/>
  <c r="J87" i="48"/>
  <c r="F87" i="48"/>
  <c r="G87" i="48"/>
  <c r="L87" i="48"/>
  <c r="D100" i="48"/>
  <c r="L100" i="48"/>
  <c r="E41" i="48"/>
  <c r="I41" i="48"/>
  <c r="E45" i="48"/>
  <c r="I45" i="48"/>
  <c r="E49" i="48"/>
  <c r="I49" i="48"/>
  <c r="E53" i="48"/>
  <c r="I53" i="48"/>
  <c r="E57" i="48"/>
  <c r="I57" i="48"/>
  <c r="E61" i="48"/>
  <c r="I61" i="48"/>
  <c r="C63" i="48"/>
  <c r="G63" i="48"/>
  <c r="K63" i="48"/>
  <c r="E65" i="48"/>
  <c r="I65" i="48"/>
  <c r="C67" i="48"/>
  <c r="G67" i="48"/>
  <c r="K67" i="48"/>
  <c r="E69" i="48"/>
  <c r="I69" i="48"/>
  <c r="C71" i="48"/>
  <c r="G71" i="48"/>
  <c r="K71" i="48"/>
  <c r="E73" i="48"/>
  <c r="I73" i="48"/>
  <c r="F74" i="48"/>
  <c r="J74" i="48"/>
  <c r="C75" i="48"/>
  <c r="G75" i="48"/>
  <c r="K75" i="48"/>
  <c r="G77" i="48"/>
  <c r="M77" i="48"/>
  <c r="C79" i="48"/>
  <c r="H79" i="48"/>
  <c r="M79" i="48"/>
  <c r="D80" i="48"/>
  <c r="I80" i="48"/>
  <c r="N80" i="48"/>
  <c r="O84" i="48"/>
  <c r="K84" i="48"/>
  <c r="G84" i="48"/>
  <c r="C84" i="48"/>
  <c r="F84" i="48"/>
  <c r="L84" i="48"/>
  <c r="G85" i="48"/>
  <c r="M85" i="48"/>
  <c r="C87" i="48"/>
  <c r="H87" i="48"/>
  <c r="M87" i="48"/>
  <c r="D88" i="48"/>
  <c r="I88" i="48"/>
  <c r="N88" i="48"/>
  <c r="L93" i="48"/>
  <c r="H93" i="48"/>
  <c r="D93" i="48"/>
  <c r="O93" i="48"/>
  <c r="K93" i="48"/>
  <c r="G93" i="48"/>
  <c r="C93" i="48"/>
  <c r="I93" i="48"/>
  <c r="E96" i="48"/>
  <c r="M96" i="48"/>
  <c r="E100" i="48"/>
  <c r="M100" i="48"/>
  <c r="E91" i="48"/>
  <c r="I91" i="48"/>
  <c r="M91" i="48"/>
  <c r="H94" i="48"/>
  <c r="L94" i="48"/>
  <c r="E95" i="48"/>
  <c r="I95" i="48"/>
  <c r="M95" i="48"/>
  <c r="D98" i="48"/>
  <c r="H98" i="48"/>
  <c r="L98" i="48"/>
  <c r="E99" i="48"/>
  <c r="I99" i="48"/>
  <c r="M99" i="48"/>
  <c r="E78" i="48"/>
  <c r="I78" i="48"/>
  <c r="E82" i="48"/>
  <c r="I82" i="48"/>
  <c r="E86" i="48"/>
  <c r="I86" i="48"/>
  <c r="E90" i="48"/>
  <c r="I90" i="48"/>
  <c r="F91" i="48"/>
  <c r="J91" i="48"/>
  <c r="E94" i="48"/>
  <c r="I94" i="48"/>
  <c r="F95" i="48"/>
  <c r="J95" i="48"/>
  <c r="E98" i="48"/>
  <c r="I98" i="48"/>
  <c r="F99" i="48"/>
  <c r="J99" i="48"/>
  <c r="O10" i="47"/>
  <c r="K10" i="47"/>
  <c r="G10" i="47"/>
  <c r="C10" i="47"/>
  <c r="L10" i="47"/>
  <c r="N35" i="47"/>
  <c r="J35" i="47"/>
  <c r="F35" i="47"/>
  <c r="K35" i="47"/>
  <c r="E35" i="47"/>
  <c r="O35" i="47"/>
  <c r="I35" i="47"/>
  <c r="D35" i="47"/>
  <c r="M35" i="47"/>
  <c r="H35" i="47"/>
  <c r="C35" i="47"/>
  <c r="L41" i="47"/>
  <c r="H41" i="47"/>
  <c r="D41" i="47"/>
  <c r="O41" i="47"/>
  <c r="J41" i="47"/>
  <c r="E41" i="47"/>
  <c r="N41" i="47"/>
  <c r="I41" i="47"/>
  <c r="C41" i="47"/>
  <c r="M41" i="47"/>
  <c r="G41" i="47"/>
  <c r="L65" i="47"/>
  <c r="H65" i="47"/>
  <c r="D65" i="47"/>
  <c r="O65" i="47"/>
  <c r="K65" i="47"/>
  <c r="G65" i="47"/>
  <c r="C65" i="47"/>
  <c r="N65" i="47"/>
  <c r="J65" i="47"/>
  <c r="F65" i="47"/>
  <c r="M65" i="47"/>
  <c r="I65" i="47"/>
  <c r="E65" i="47"/>
  <c r="H2" i="47"/>
  <c r="C3" i="47"/>
  <c r="I3" i="47"/>
  <c r="D5" i="47"/>
  <c r="I5" i="47"/>
  <c r="E6" i="47"/>
  <c r="L7" i="47"/>
  <c r="H7" i="47"/>
  <c r="D7" i="47"/>
  <c r="F7" i="47"/>
  <c r="K7" i="47"/>
  <c r="N9" i="47"/>
  <c r="J9" i="47"/>
  <c r="F9" i="47"/>
  <c r="G9" i="47"/>
  <c r="L9" i="47"/>
  <c r="H10" i="47"/>
  <c r="M10" i="47"/>
  <c r="E11" i="47"/>
  <c r="E13" i="47"/>
  <c r="E15" i="47"/>
  <c r="E17" i="47"/>
  <c r="E19" i="47"/>
  <c r="G35" i="47"/>
  <c r="F41" i="47"/>
  <c r="O2" i="47"/>
  <c r="K2" i="47"/>
  <c r="G2" i="47"/>
  <c r="C2" i="47"/>
  <c r="L2" i="47"/>
  <c r="I2" i="47"/>
  <c r="N2" i="47"/>
  <c r="O6" i="47"/>
  <c r="K6" i="47"/>
  <c r="G6" i="47"/>
  <c r="C6" i="47"/>
  <c r="L6" i="47"/>
  <c r="D10" i="47"/>
  <c r="I10" i="47"/>
  <c r="N10" i="47"/>
  <c r="N27" i="47"/>
  <c r="J27" i="47"/>
  <c r="F27" i="47"/>
  <c r="K27" i="47"/>
  <c r="E27" i="47"/>
  <c r="O27" i="47"/>
  <c r="I27" i="47"/>
  <c r="D27" i="47"/>
  <c r="M27" i="47"/>
  <c r="H27" i="47"/>
  <c r="C27" i="47"/>
  <c r="L33" i="47"/>
  <c r="H33" i="47"/>
  <c r="D33" i="47"/>
  <c r="O33" i="47"/>
  <c r="J33" i="47"/>
  <c r="E33" i="47"/>
  <c r="C33" i="47"/>
  <c r="N33" i="47"/>
  <c r="I33" i="47"/>
  <c r="M33" i="47"/>
  <c r="G33" i="47"/>
  <c r="L35" i="47"/>
  <c r="K41" i="47"/>
  <c r="N43" i="47"/>
  <c r="J43" i="47"/>
  <c r="F43" i="47"/>
  <c r="K43" i="47"/>
  <c r="E43" i="47"/>
  <c r="O43" i="47"/>
  <c r="I43" i="47"/>
  <c r="D43" i="47"/>
  <c r="M43" i="47"/>
  <c r="H43" i="47"/>
  <c r="C43" i="47"/>
  <c r="L49" i="47"/>
  <c r="H49" i="47"/>
  <c r="D49" i="47"/>
  <c r="N49" i="47"/>
  <c r="J49" i="47"/>
  <c r="F49" i="47"/>
  <c r="M49" i="47"/>
  <c r="E49" i="47"/>
  <c r="K49" i="47"/>
  <c r="C49" i="47"/>
  <c r="I49" i="47"/>
  <c r="F2" i="47"/>
  <c r="F10" i="47"/>
  <c r="D2" i="47"/>
  <c r="F6" i="47"/>
  <c r="E2" i="47"/>
  <c r="J2" i="47"/>
  <c r="L3" i="47"/>
  <c r="H3" i="47"/>
  <c r="D3" i="47"/>
  <c r="F3" i="47"/>
  <c r="K3" i="47"/>
  <c r="N5" i="47"/>
  <c r="J5" i="47"/>
  <c r="F5" i="47"/>
  <c r="G5" i="47"/>
  <c r="L5" i="47"/>
  <c r="H6" i="47"/>
  <c r="M6" i="47"/>
  <c r="E10" i="47"/>
  <c r="J10" i="47"/>
  <c r="L11" i="47"/>
  <c r="H11" i="47"/>
  <c r="D11" i="47"/>
  <c r="N11" i="47"/>
  <c r="J11" i="47"/>
  <c r="F11" i="47"/>
  <c r="I11" i="47"/>
  <c r="N13" i="47"/>
  <c r="J13" i="47"/>
  <c r="F13" i="47"/>
  <c r="L13" i="47"/>
  <c r="H13" i="47"/>
  <c r="D13" i="47"/>
  <c r="I13" i="47"/>
  <c r="L15" i="47"/>
  <c r="H15" i="47"/>
  <c r="D15" i="47"/>
  <c r="N15" i="47"/>
  <c r="J15" i="47"/>
  <c r="F15" i="47"/>
  <c r="I15" i="47"/>
  <c r="N17" i="47"/>
  <c r="J17" i="47"/>
  <c r="F17" i="47"/>
  <c r="L17" i="47"/>
  <c r="H17" i="47"/>
  <c r="D17" i="47"/>
  <c r="I17" i="47"/>
  <c r="L19" i="47"/>
  <c r="H19" i="47"/>
  <c r="D19" i="47"/>
  <c r="N19" i="47"/>
  <c r="J19" i="47"/>
  <c r="F19" i="47"/>
  <c r="I19" i="47"/>
  <c r="L23" i="47"/>
  <c r="H23" i="47"/>
  <c r="D23" i="47"/>
  <c r="O23" i="47"/>
  <c r="K23" i="47"/>
  <c r="G23" i="47"/>
  <c r="C23" i="47"/>
  <c r="N23" i="47"/>
  <c r="J23" i="47"/>
  <c r="F23" i="47"/>
  <c r="G27" i="47"/>
  <c r="F33" i="47"/>
  <c r="G43" i="47"/>
  <c r="G49" i="47"/>
  <c r="E14" i="47"/>
  <c r="I14" i="47"/>
  <c r="M14" i="47"/>
  <c r="E18" i="47"/>
  <c r="I18" i="47"/>
  <c r="M18" i="47"/>
  <c r="D21" i="47"/>
  <c r="H21" i="47"/>
  <c r="L21" i="47"/>
  <c r="E22" i="47"/>
  <c r="I22" i="47"/>
  <c r="M22" i="47"/>
  <c r="D25" i="47"/>
  <c r="H25" i="47"/>
  <c r="M25" i="47"/>
  <c r="E29" i="47"/>
  <c r="J29" i="47"/>
  <c r="O29" i="47"/>
  <c r="E31" i="47"/>
  <c r="O32" i="47"/>
  <c r="K32" i="47"/>
  <c r="G32" i="47"/>
  <c r="C32" i="47"/>
  <c r="F32" i="47"/>
  <c r="L32" i="47"/>
  <c r="E37" i="47"/>
  <c r="J37" i="47"/>
  <c r="E39" i="47"/>
  <c r="O40" i="47"/>
  <c r="K40" i="47"/>
  <c r="G40" i="47"/>
  <c r="C40" i="47"/>
  <c r="F40" i="47"/>
  <c r="L40" i="47"/>
  <c r="E45" i="47"/>
  <c r="J45" i="47"/>
  <c r="E47" i="47"/>
  <c r="O48" i="47"/>
  <c r="K48" i="47"/>
  <c r="G48" i="47"/>
  <c r="C48" i="47"/>
  <c r="F48" i="47"/>
  <c r="L48" i="47"/>
  <c r="N51" i="47"/>
  <c r="J51" i="47"/>
  <c r="F51" i="47"/>
  <c r="M51" i="47"/>
  <c r="L51" i="47"/>
  <c r="H51" i="47"/>
  <c r="D51" i="47"/>
  <c r="I51" i="47"/>
  <c r="L75" i="47"/>
  <c r="H75" i="47"/>
  <c r="D75" i="47"/>
  <c r="O75" i="47"/>
  <c r="K75" i="47"/>
  <c r="G75" i="47"/>
  <c r="C75" i="47"/>
  <c r="N75" i="47"/>
  <c r="F75" i="47"/>
  <c r="M75" i="47"/>
  <c r="E75" i="47"/>
  <c r="J75" i="47"/>
  <c r="E21" i="47"/>
  <c r="I21" i="47"/>
  <c r="M21" i="47"/>
  <c r="L37" i="47"/>
  <c r="H37" i="47"/>
  <c r="D37" i="47"/>
  <c r="F37" i="47"/>
  <c r="K37" i="47"/>
  <c r="N39" i="47"/>
  <c r="J39" i="47"/>
  <c r="F39" i="47"/>
  <c r="G39" i="47"/>
  <c r="L39" i="47"/>
  <c r="L45" i="47"/>
  <c r="H45" i="47"/>
  <c r="D45" i="47"/>
  <c r="F45" i="47"/>
  <c r="K45" i="47"/>
  <c r="N47" i="47"/>
  <c r="J47" i="47"/>
  <c r="F47" i="47"/>
  <c r="G47" i="47"/>
  <c r="L47" i="47"/>
  <c r="L57" i="47"/>
  <c r="H57" i="47"/>
  <c r="D57" i="47"/>
  <c r="O57" i="47"/>
  <c r="K57" i="47"/>
  <c r="G57" i="47"/>
  <c r="C57" i="47"/>
  <c r="N57" i="47"/>
  <c r="J57" i="47"/>
  <c r="F57" i="47"/>
  <c r="O67" i="47"/>
  <c r="K67" i="47"/>
  <c r="G67" i="47"/>
  <c r="C67" i="47"/>
  <c r="J67" i="47"/>
  <c r="E67" i="47"/>
  <c r="N67" i="47"/>
  <c r="I67" i="47"/>
  <c r="D67" i="47"/>
  <c r="M67" i="47"/>
  <c r="H67" i="47"/>
  <c r="L77" i="47"/>
  <c r="H77" i="47"/>
  <c r="D77" i="47"/>
  <c r="N77" i="47"/>
  <c r="I77" i="47"/>
  <c r="C77" i="47"/>
  <c r="M77" i="47"/>
  <c r="G77" i="47"/>
  <c r="J77" i="47"/>
  <c r="F77" i="47"/>
  <c r="O77" i="47"/>
  <c r="E77" i="47"/>
  <c r="O88" i="47"/>
  <c r="K88" i="47"/>
  <c r="G88" i="47"/>
  <c r="C88" i="47"/>
  <c r="J88" i="47"/>
  <c r="E88" i="47"/>
  <c r="N88" i="47"/>
  <c r="I88" i="47"/>
  <c r="D88" i="47"/>
  <c r="M88" i="47"/>
  <c r="H88" i="47"/>
  <c r="L88" i="47"/>
  <c r="F88" i="47"/>
  <c r="E25" i="47"/>
  <c r="I25" i="47"/>
  <c r="N25" i="47"/>
  <c r="L29" i="47"/>
  <c r="H29" i="47"/>
  <c r="D29" i="47"/>
  <c r="K29" i="47"/>
  <c r="N31" i="47"/>
  <c r="J31" i="47"/>
  <c r="F31" i="47"/>
  <c r="G31" i="47"/>
  <c r="L31" i="47"/>
  <c r="E4" i="47"/>
  <c r="I4" i="47"/>
  <c r="E8" i="47"/>
  <c r="I8" i="47"/>
  <c r="E12" i="47"/>
  <c r="I12" i="47"/>
  <c r="C14" i="47"/>
  <c r="G14" i="47"/>
  <c r="K14" i="47"/>
  <c r="E16" i="47"/>
  <c r="I16" i="47"/>
  <c r="C18" i="47"/>
  <c r="G18" i="47"/>
  <c r="K18" i="47"/>
  <c r="E20" i="47"/>
  <c r="I20" i="47"/>
  <c r="F21" i="47"/>
  <c r="J21" i="47"/>
  <c r="C22" i="47"/>
  <c r="G22" i="47"/>
  <c r="K22" i="47"/>
  <c r="E24" i="47"/>
  <c r="I24" i="47"/>
  <c r="F25" i="47"/>
  <c r="J25" i="47"/>
  <c r="O25" i="47"/>
  <c r="O28" i="47"/>
  <c r="K28" i="47"/>
  <c r="G28" i="47"/>
  <c r="C28" i="47"/>
  <c r="F28" i="47"/>
  <c r="L28" i="47"/>
  <c r="G29" i="47"/>
  <c r="M29" i="47"/>
  <c r="C31" i="47"/>
  <c r="H31" i="47"/>
  <c r="M31" i="47"/>
  <c r="D32" i="47"/>
  <c r="I32" i="47"/>
  <c r="N32" i="47"/>
  <c r="O36" i="47"/>
  <c r="K36" i="47"/>
  <c r="G36" i="47"/>
  <c r="C36" i="47"/>
  <c r="F36" i="47"/>
  <c r="L36" i="47"/>
  <c r="G37" i="47"/>
  <c r="M37" i="47"/>
  <c r="C39" i="47"/>
  <c r="H39" i="47"/>
  <c r="M39" i="47"/>
  <c r="D40" i="47"/>
  <c r="I40" i="47"/>
  <c r="N40" i="47"/>
  <c r="O44" i="47"/>
  <c r="K44" i="47"/>
  <c r="G44" i="47"/>
  <c r="C44" i="47"/>
  <c r="F44" i="47"/>
  <c r="L44" i="47"/>
  <c r="G45" i="47"/>
  <c r="M45" i="47"/>
  <c r="C47" i="47"/>
  <c r="H47" i="47"/>
  <c r="M47" i="47"/>
  <c r="D48" i="47"/>
  <c r="I48" i="47"/>
  <c r="N48" i="47"/>
  <c r="E51" i="47"/>
  <c r="O51" i="47"/>
  <c r="L53" i="47"/>
  <c r="H53" i="47"/>
  <c r="D53" i="47"/>
  <c r="O53" i="47"/>
  <c r="K53" i="47"/>
  <c r="G53" i="47"/>
  <c r="C53" i="47"/>
  <c r="N53" i="47"/>
  <c r="J53" i="47"/>
  <c r="F53" i="47"/>
  <c r="E57" i="47"/>
  <c r="L61" i="47"/>
  <c r="H61" i="47"/>
  <c r="D61" i="47"/>
  <c r="O61" i="47"/>
  <c r="K61" i="47"/>
  <c r="G61" i="47"/>
  <c r="C61" i="47"/>
  <c r="N61" i="47"/>
  <c r="J61" i="47"/>
  <c r="F61" i="47"/>
  <c r="F67" i="47"/>
  <c r="K77" i="47"/>
  <c r="E52" i="47"/>
  <c r="I52" i="47"/>
  <c r="M52" i="47"/>
  <c r="D55" i="47"/>
  <c r="H55" i="47"/>
  <c r="L55" i="47"/>
  <c r="E56" i="47"/>
  <c r="I56" i="47"/>
  <c r="M56" i="47"/>
  <c r="D59" i="47"/>
  <c r="H59" i="47"/>
  <c r="L59" i="47"/>
  <c r="E60" i="47"/>
  <c r="I60" i="47"/>
  <c r="M60" i="47"/>
  <c r="D63" i="47"/>
  <c r="H63" i="47"/>
  <c r="L63" i="47"/>
  <c r="E64" i="47"/>
  <c r="I64" i="47"/>
  <c r="M64" i="47"/>
  <c r="E71" i="47"/>
  <c r="L72" i="47"/>
  <c r="H72" i="47"/>
  <c r="D72" i="47"/>
  <c r="F72" i="47"/>
  <c r="K72" i="47"/>
  <c r="O74" i="47"/>
  <c r="K74" i="47"/>
  <c r="G74" i="47"/>
  <c r="C74" i="47"/>
  <c r="N74" i="47"/>
  <c r="J74" i="47"/>
  <c r="F74" i="47"/>
  <c r="I74" i="47"/>
  <c r="N79" i="47"/>
  <c r="J79" i="47"/>
  <c r="F79" i="47"/>
  <c r="O79" i="47"/>
  <c r="I79" i="47"/>
  <c r="D79" i="47"/>
  <c r="M79" i="47"/>
  <c r="H79" i="47"/>
  <c r="C79" i="47"/>
  <c r="L79" i="47"/>
  <c r="O96" i="47"/>
  <c r="K96" i="47"/>
  <c r="G96" i="47"/>
  <c r="C96" i="47"/>
  <c r="J96" i="47"/>
  <c r="E96" i="47"/>
  <c r="N96" i="47"/>
  <c r="I96" i="47"/>
  <c r="D96" i="47"/>
  <c r="M96" i="47"/>
  <c r="H96" i="47"/>
  <c r="E55" i="47"/>
  <c r="I55" i="47"/>
  <c r="M55" i="47"/>
  <c r="N56" i="47"/>
  <c r="E59" i="47"/>
  <c r="I59" i="47"/>
  <c r="M59" i="47"/>
  <c r="F60" i="47"/>
  <c r="J60" i="47"/>
  <c r="N60" i="47"/>
  <c r="E63" i="47"/>
  <c r="I63" i="47"/>
  <c r="M63" i="47"/>
  <c r="F64" i="47"/>
  <c r="J64" i="47"/>
  <c r="N64" i="47"/>
  <c r="O71" i="47"/>
  <c r="K71" i="47"/>
  <c r="G71" i="47"/>
  <c r="C71" i="47"/>
  <c r="F71" i="47"/>
  <c r="L71" i="47"/>
  <c r="G72" i="47"/>
  <c r="M72" i="47"/>
  <c r="D74" i="47"/>
  <c r="L74" i="47"/>
  <c r="E79" i="47"/>
  <c r="O80" i="47"/>
  <c r="K80" i="47"/>
  <c r="G80" i="47"/>
  <c r="C80" i="47"/>
  <c r="J80" i="47"/>
  <c r="E80" i="47"/>
  <c r="N80" i="47"/>
  <c r="I80" i="47"/>
  <c r="D80" i="47"/>
  <c r="L80" i="47"/>
  <c r="F96" i="47"/>
  <c r="E26" i="47"/>
  <c r="I26" i="47"/>
  <c r="E30" i="47"/>
  <c r="I30" i="47"/>
  <c r="E34" i="47"/>
  <c r="I34" i="47"/>
  <c r="E38" i="47"/>
  <c r="I38" i="47"/>
  <c r="E42" i="47"/>
  <c r="I42" i="47"/>
  <c r="E46" i="47"/>
  <c r="I46" i="47"/>
  <c r="E50" i="47"/>
  <c r="I50" i="47"/>
  <c r="C52" i="47"/>
  <c r="G52" i="47"/>
  <c r="K52" i="47"/>
  <c r="E54" i="47"/>
  <c r="I54" i="47"/>
  <c r="F55" i="47"/>
  <c r="J55" i="47"/>
  <c r="C56" i="47"/>
  <c r="G56" i="47"/>
  <c r="K56" i="47"/>
  <c r="E58" i="47"/>
  <c r="I58" i="47"/>
  <c r="F59" i="47"/>
  <c r="J59" i="47"/>
  <c r="C60" i="47"/>
  <c r="G60" i="47"/>
  <c r="K60" i="47"/>
  <c r="E62" i="47"/>
  <c r="I62" i="47"/>
  <c r="F63" i="47"/>
  <c r="J63" i="47"/>
  <c r="C64" i="47"/>
  <c r="G64" i="47"/>
  <c r="K64" i="47"/>
  <c r="N66" i="47"/>
  <c r="J66" i="47"/>
  <c r="E66" i="47"/>
  <c r="I66" i="47"/>
  <c r="O66" i="47"/>
  <c r="L68" i="47"/>
  <c r="H68" i="47"/>
  <c r="D68" i="47"/>
  <c r="F68" i="47"/>
  <c r="K68" i="47"/>
  <c r="N70" i="47"/>
  <c r="J70" i="47"/>
  <c r="F70" i="47"/>
  <c r="G70" i="47"/>
  <c r="L70" i="47"/>
  <c r="H71" i="47"/>
  <c r="M71" i="47"/>
  <c r="C72" i="47"/>
  <c r="I72" i="47"/>
  <c r="N72" i="47"/>
  <c r="E74" i="47"/>
  <c r="M74" i="47"/>
  <c r="G79" i="47"/>
  <c r="M80" i="47"/>
  <c r="L96" i="47"/>
  <c r="L85" i="47"/>
  <c r="H85" i="47"/>
  <c r="D85" i="47"/>
  <c r="F85" i="47"/>
  <c r="K85" i="47"/>
  <c r="N87" i="47"/>
  <c r="J87" i="47"/>
  <c r="F87" i="47"/>
  <c r="G87" i="47"/>
  <c r="L87" i="47"/>
  <c r="L93" i="47"/>
  <c r="H93" i="47"/>
  <c r="D93" i="47"/>
  <c r="F93" i="47"/>
  <c r="K93" i="47"/>
  <c r="N95" i="47"/>
  <c r="J95" i="47"/>
  <c r="F95" i="47"/>
  <c r="G95" i="47"/>
  <c r="L95" i="47"/>
  <c r="E69" i="47"/>
  <c r="I69" i="47"/>
  <c r="E73" i="47"/>
  <c r="I73" i="47"/>
  <c r="D76" i="47"/>
  <c r="H76" i="47"/>
  <c r="L76" i="47"/>
  <c r="E81" i="47"/>
  <c r="J81" i="47"/>
  <c r="E83" i="47"/>
  <c r="O84" i="47"/>
  <c r="K84" i="47"/>
  <c r="G84" i="47"/>
  <c r="C84" i="47"/>
  <c r="F84" i="47"/>
  <c r="L84" i="47"/>
  <c r="G85" i="47"/>
  <c r="M85" i="47"/>
  <c r="C87" i="47"/>
  <c r="H87" i="47"/>
  <c r="M87" i="47"/>
  <c r="E89" i="47"/>
  <c r="J89" i="47"/>
  <c r="E91" i="47"/>
  <c r="O92" i="47"/>
  <c r="K92" i="47"/>
  <c r="G92" i="47"/>
  <c r="C92" i="47"/>
  <c r="F92" i="47"/>
  <c r="L92" i="47"/>
  <c r="G93" i="47"/>
  <c r="M93" i="47"/>
  <c r="C95" i="47"/>
  <c r="H95" i="47"/>
  <c r="M95" i="47"/>
  <c r="E97" i="47"/>
  <c r="J97" i="47"/>
  <c r="E76" i="47"/>
  <c r="I76" i="47"/>
  <c r="M76" i="47"/>
  <c r="L81" i="47"/>
  <c r="H81" i="47"/>
  <c r="D81" i="47"/>
  <c r="F81" i="47"/>
  <c r="K81" i="47"/>
  <c r="N83" i="47"/>
  <c r="J83" i="47"/>
  <c r="F83" i="47"/>
  <c r="G83" i="47"/>
  <c r="L83" i="47"/>
  <c r="C85" i="47"/>
  <c r="I85" i="47"/>
  <c r="N85" i="47"/>
  <c r="D87" i="47"/>
  <c r="I87" i="47"/>
  <c r="O87" i="47"/>
  <c r="L89" i="47"/>
  <c r="H89" i="47"/>
  <c r="D89" i="47"/>
  <c r="F89" i="47"/>
  <c r="K89" i="47"/>
  <c r="N91" i="47"/>
  <c r="J91" i="47"/>
  <c r="F91" i="47"/>
  <c r="G91" i="47"/>
  <c r="L91" i="47"/>
  <c r="H92" i="47"/>
  <c r="M92" i="47"/>
  <c r="C93" i="47"/>
  <c r="I93" i="47"/>
  <c r="N93" i="47"/>
  <c r="D95" i="47"/>
  <c r="I95" i="47"/>
  <c r="O95" i="47"/>
  <c r="L97" i="47"/>
  <c r="H97" i="47"/>
  <c r="D97" i="47"/>
  <c r="F97" i="47"/>
  <c r="K97" i="47"/>
  <c r="D99" i="47"/>
  <c r="H99" i="47"/>
  <c r="L99" i="47"/>
  <c r="E100" i="47"/>
  <c r="I100" i="47"/>
  <c r="M100" i="47"/>
  <c r="E99" i="47"/>
  <c r="I99" i="47"/>
  <c r="M99" i="47"/>
  <c r="F100" i="47"/>
  <c r="J100" i="47"/>
  <c r="N100" i="47"/>
  <c r="E78" i="47"/>
  <c r="I78" i="47"/>
  <c r="E82" i="47"/>
  <c r="I82" i="47"/>
  <c r="E86" i="47"/>
  <c r="I86" i="47"/>
  <c r="E90" i="47"/>
  <c r="I90" i="47"/>
  <c r="E94" i="47"/>
  <c r="I94" i="47"/>
  <c r="E98" i="47"/>
  <c r="I98" i="47"/>
  <c r="F99" i="47"/>
  <c r="J99" i="47"/>
  <c r="C100" i="47"/>
  <c r="G100" i="47"/>
  <c r="K100" i="47"/>
  <c r="A100" i="46"/>
  <c r="D100" i="46" s="1"/>
  <c r="A99" i="46"/>
  <c r="F99" i="46" s="1"/>
  <c r="A98" i="46"/>
  <c r="L98" i="46" s="1"/>
  <c r="A97" i="46"/>
  <c r="D97" i="46" s="1"/>
  <c r="A96" i="46"/>
  <c r="D96" i="46" s="1"/>
  <c r="A95" i="46"/>
  <c r="D95" i="46" s="1"/>
  <c r="A94" i="46"/>
  <c r="D94" i="46" s="1"/>
  <c r="A93" i="46"/>
  <c r="G93" i="46" s="1"/>
  <c r="A92" i="46"/>
  <c r="D92" i="46" s="1"/>
  <c r="A91" i="46"/>
  <c r="C91" i="46" s="1"/>
  <c r="A90" i="46"/>
  <c r="C90" i="46" s="1"/>
  <c r="A89" i="46"/>
  <c r="D89" i="46" s="1"/>
  <c r="A88" i="46"/>
  <c r="N88" i="46" s="1"/>
  <c r="A87" i="46"/>
  <c r="C87" i="46" s="1"/>
  <c r="A86" i="46"/>
  <c r="C86" i="46" s="1"/>
  <c r="A85" i="46"/>
  <c r="K85" i="46" s="1"/>
  <c r="A84" i="46"/>
  <c r="J84" i="46" s="1"/>
  <c r="A83" i="46"/>
  <c r="C83" i="46" s="1"/>
  <c r="A82" i="46"/>
  <c r="L82" i="46" s="1"/>
  <c r="A81" i="46"/>
  <c r="K81" i="46" s="1"/>
  <c r="A80" i="46"/>
  <c r="C80" i="46" s="1"/>
  <c r="A79" i="46"/>
  <c r="C79" i="46" s="1"/>
  <c r="A78" i="46"/>
  <c r="L78" i="46" s="1"/>
  <c r="A77" i="46"/>
  <c r="G77" i="46" s="1"/>
  <c r="A76" i="46"/>
  <c r="N76" i="46" s="1"/>
  <c r="A75" i="46"/>
  <c r="M75" i="46" s="1"/>
  <c r="A74" i="46"/>
  <c r="C74" i="46" s="1"/>
  <c r="A73" i="46"/>
  <c r="O73" i="46" s="1"/>
  <c r="A72" i="46"/>
  <c r="N72" i="46" s="1"/>
  <c r="A71" i="46"/>
  <c r="C71" i="46" s="1"/>
  <c r="A70" i="46"/>
  <c r="H70" i="46" s="1"/>
  <c r="A69" i="46"/>
  <c r="O69" i="46" s="1"/>
  <c r="A68" i="46"/>
  <c r="C68" i="46" s="1"/>
  <c r="A67" i="46"/>
  <c r="E67" i="46" s="1"/>
  <c r="A66" i="46"/>
  <c r="L66" i="46" s="1"/>
  <c r="A65" i="46"/>
  <c r="O65" i="46" s="1"/>
  <c r="A64" i="46"/>
  <c r="C64" i="46" s="1"/>
  <c r="A63" i="46"/>
  <c r="M63" i="46" s="1"/>
  <c r="A62" i="46"/>
  <c r="L62" i="46" s="1"/>
  <c r="A61" i="46"/>
  <c r="C61" i="46" s="1"/>
  <c r="A60" i="46"/>
  <c r="N60" i="46" s="1"/>
  <c r="A59" i="46"/>
  <c r="M59" i="46" s="1"/>
  <c r="A58" i="46"/>
  <c r="L58" i="46" s="1"/>
  <c r="A57" i="46"/>
  <c r="G57" i="46" s="1"/>
  <c r="A56" i="46"/>
  <c r="J56" i="46" s="1"/>
  <c r="A55" i="46"/>
  <c r="I55" i="46" s="1"/>
  <c r="A54" i="46"/>
  <c r="C54" i="46" s="1"/>
  <c r="A53" i="46"/>
  <c r="K53" i="46" s="1"/>
  <c r="A52" i="46"/>
  <c r="F52" i="46" s="1"/>
  <c r="A51" i="46"/>
  <c r="C51" i="46" s="1"/>
  <c r="A50" i="46"/>
  <c r="C50" i="46" s="1"/>
  <c r="A49" i="46"/>
  <c r="C49" i="46" s="1"/>
  <c r="A48" i="46"/>
  <c r="K48" i="46" s="1"/>
  <c r="A47" i="46"/>
  <c r="N47" i="46" s="1"/>
  <c r="A46" i="46"/>
  <c r="C46" i="46" s="1"/>
  <c r="A45" i="46"/>
  <c r="L45" i="46" s="1"/>
  <c r="A44" i="46"/>
  <c r="C44" i="46" s="1"/>
  <c r="A43" i="46"/>
  <c r="C43" i="46" s="1"/>
  <c r="A42" i="46"/>
  <c r="C42" i="46" s="1"/>
  <c r="A41" i="46"/>
  <c r="C41" i="46" s="1"/>
  <c r="A40" i="46"/>
  <c r="C40" i="46" s="1"/>
  <c r="A39" i="46"/>
  <c r="C39" i="46" s="1"/>
  <c r="A38" i="46"/>
  <c r="O38" i="46" s="1"/>
  <c r="A37" i="46"/>
  <c r="C37" i="46" s="1"/>
  <c r="A36" i="46"/>
  <c r="C36" i="46" s="1"/>
  <c r="A35" i="46"/>
  <c r="C35" i="46" s="1"/>
  <c r="A34" i="46"/>
  <c r="C34" i="46" s="1"/>
  <c r="A33" i="46"/>
  <c r="C33" i="46" s="1"/>
  <c r="A32" i="46"/>
  <c r="C32" i="46" s="1"/>
  <c r="A31" i="46"/>
  <c r="C31" i="46" s="1"/>
  <c r="A30" i="46"/>
  <c r="G30" i="46" s="1"/>
  <c r="A29" i="46"/>
  <c r="C29" i="46" s="1"/>
  <c r="A28" i="46"/>
  <c r="M28" i="46" s="1"/>
  <c r="A27" i="46"/>
  <c r="H27" i="46" s="1"/>
  <c r="A26" i="46"/>
  <c r="C26" i="46" s="1"/>
  <c r="A25" i="46"/>
  <c r="C25" i="46" s="1"/>
  <c r="A24" i="46"/>
  <c r="C24" i="46" s="1"/>
  <c r="A23" i="46"/>
  <c r="C23" i="46" s="1"/>
  <c r="A22" i="46"/>
  <c r="O22" i="46" s="1"/>
  <c r="A21" i="46"/>
  <c r="C21" i="46" s="1"/>
  <c r="A20" i="46"/>
  <c r="C20" i="46" s="1"/>
  <c r="A19" i="46"/>
  <c r="C19" i="46" s="1"/>
  <c r="A18" i="46"/>
  <c r="C18" i="46" s="1"/>
  <c r="A17" i="46"/>
  <c r="C17" i="46" s="1"/>
  <c r="A16" i="46"/>
  <c r="C16" i="46" s="1"/>
  <c r="A15" i="46"/>
  <c r="C15" i="46" s="1"/>
  <c r="A14" i="46"/>
  <c r="C14" i="46" s="1"/>
  <c r="A13" i="46"/>
  <c r="J13" i="46" s="1"/>
  <c r="A12" i="46"/>
  <c r="C12" i="46" s="1"/>
  <c r="A11" i="46"/>
  <c r="C11" i="46" s="1"/>
  <c r="A10" i="46"/>
  <c r="C10" i="46" s="1"/>
  <c r="A9" i="46"/>
  <c r="C9" i="46" s="1"/>
  <c r="A8" i="46"/>
  <c r="C8" i="46" s="1"/>
  <c r="A7" i="46"/>
  <c r="L7" i="46" s="1"/>
  <c r="A6" i="46"/>
  <c r="C6" i="46" s="1"/>
  <c r="A5" i="46"/>
  <c r="C5" i="46" s="1"/>
  <c r="A4" i="46"/>
  <c r="C4" i="46" s="1"/>
  <c r="A3" i="46"/>
  <c r="C3" i="46" s="1"/>
  <c r="A2" i="46"/>
  <c r="C2" i="46" s="1"/>
  <c r="B31" i="49" l="1"/>
  <c r="B8" i="49"/>
  <c r="B29" i="49"/>
  <c r="B13" i="49"/>
  <c r="B5" i="49"/>
  <c r="B15" i="49"/>
  <c r="B14" i="48"/>
  <c r="B25" i="48"/>
  <c r="B15" i="48"/>
  <c r="B18" i="49"/>
  <c r="B17" i="47"/>
  <c r="B18" i="47"/>
  <c r="B21" i="47"/>
  <c r="B6" i="48"/>
  <c r="B17" i="49"/>
  <c r="B26" i="47"/>
  <c r="B2" i="48"/>
  <c r="B23" i="49"/>
  <c r="B13" i="48"/>
  <c r="B5" i="48"/>
  <c r="B98" i="47"/>
  <c r="B90" i="47"/>
  <c r="B82" i="47"/>
  <c r="B50" i="47"/>
  <c r="B69" i="48"/>
  <c r="B57" i="48"/>
  <c r="B41" i="48"/>
  <c r="B21" i="49"/>
  <c r="B53" i="49"/>
  <c r="B4" i="49"/>
  <c r="B86" i="48"/>
  <c r="B78" i="48"/>
  <c r="I99" i="46"/>
  <c r="B71" i="49"/>
  <c r="B46" i="49"/>
  <c r="B73" i="47"/>
  <c r="B54" i="47"/>
  <c r="B40" i="48"/>
  <c r="B39" i="48"/>
  <c r="B49" i="48"/>
  <c r="B77" i="48"/>
  <c r="B47" i="49"/>
  <c r="B39" i="49"/>
  <c r="B19" i="49"/>
  <c r="B23" i="48"/>
  <c r="M71" i="46"/>
  <c r="B95" i="48"/>
  <c r="B65" i="48"/>
  <c r="B74" i="48"/>
  <c r="B89" i="48"/>
  <c r="B68" i="48"/>
  <c r="B37" i="48"/>
  <c r="B11" i="48"/>
  <c r="B29" i="48"/>
  <c r="B16" i="48"/>
  <c r="B12" i="48"/>
  <c r="B8" i="48"/>
  <c r="B4" i="48"/>
  <c r="B96" i="49"/>
  <c r="B94" i="49"/>
  <c r="B86" i="49"/>
  <c r="B78" i="49"/>
  <c r="B95" i="49"/>
  <c r="B72" i="49"/>
  <c r="B70" i="49"/>
  <c r="B64" i="49"/>
  <c r="B57" i="49"/>
  <c r="B49" i="49"/>
  <c r="B36" i="49"/>
  <c r="B91" i="49"/>
  <c r="B28" i="49"/>
  <c r="B12" i="49"/>
  <c r="B6" i="49"/>
  <c r="B16" i="49"/>
  <c r="B26" i="49"/>
  <c r="B22" i="49"/>
  <c r="B28" i="48"/>
  <c r="B25" i="49"/>
  <c r="B14" i="49"/>
  <c r="B94" i="47"/>
  <c r="B86" i="47"/>
  <c r="B78" i="47"/>
  <c r="B24" i="47"/>
  <c r="B16" i="47"/>
  <c r="B7" i="47"/>
  <c r="B94" i="48"/>
  <c r="B90" i="48"/>
  <c r="B82" i="48"/>
  <c r="B98" i="48"/>
  <c r="B91" i="48"/>
  <c r="B79" i="48"/>
  <c r="B71" i="48"/>
  <c r="B61" i="48"/>
  <c r="B53" i="48"/>
  <c r="B45" i="48"/>
  <c r="B85" i="48"/>
  <c r="B52" i="48"/>
  <c r="B32" i="48"/>
  <c r="B7" i="48"/>
  <c r="B26" i="48"/>
  <c r="B85" i="49"/>
  <c r="B88" i="49"/>
  <c r="B87" i="49"/>
  <c r="B80" i="49"/>
  <c r="B79" i="49"/>
  <c r="B75" i="49"/>
  <c r="B67" i="49"/>
  <c r="B62" i="49"/>
  <c r="B43" i="49"/>
  <c r="B27" i="49"/>
  <c r="B30" i="49"/>
  <c r="B10" i="48"/>
  <c r="B44" i="48"/>
  <c r="B42" i="48"/>
  <c r="B56" i="47"/>
  <c r="B42" i="47"/>
  <c r="B34" i="47"/>
  <c r="B99" i="48"/>
  <c r="B59" i="48"/>
  <c r="B46" i="48"/>
  <c r="B58" i="48"/>
  <c r="B22" i="48"/>
  <c r="B19" i="48"/>
  <c r="B3" i="48"/>
  <c r="B21" i="48"/>
  <c r="B18" i="48"/>
  <c r="B30" i="48"/>
  <c r="B90" i="49"/>
  <c r="B82" i="49"/>
  <c r="B99" i="49"/>
  <c r="B61" i="49"/>
  <c r="B34" i="49"/>
  <c r="B52" i="49"/>
  <c r="B20" i="49"/>
  <c r="B7" i="49"/>
  <c r="B3" i="49"/>
  <c r="B66" i="49"/>
  <c r="B24" i="49"/>
  <c r="B11" i="49"/>
  <c r="B10" i="49"/>
  <c r="B20" i="48"/>
  <c r="B27" i="48"/>
  <c r="B62" i="47"/>
  <c r="B20" i="47"/>
  <c r="B8" i="47"/>
  <c r="B46" i="47"/>
  <c r="B38" i="47"/>
  <c r="B30" i="47"/>
  <c r="B11" i="47"/>
  <c r="B15" i="47"/>
  <c r="B12" i="47"/>
  <c r="B4" i="47"/>
  <c r="B22" i="47"/>
  <c r="B83" i="47"/>
  <c r="B70" i="47"/>
  <c r="B28" i="47"/>
  <c r="B29" i="47"/>
  <c r="B31" i="47"/>
  <c r="B45" i="47"/>
  <c r="B3" i="47"/>
  <c r="B91" i="47"/>
  <c r="B19" i="47"/>
  <c r="B99" i="47"/>
  <c r="B68" i="47"/>
  <c r="B63" i="47"/>
  <c r="B55" i="47"/>
  <c r="B6" i="47"/>
  <c r="B5" i="47"/>
  <c r="B10" i="47"/>
  <c r="B13" i="47"/>
  <c r="B25" i="47"/>
  <c r="B59" i="47"/>
  <c r="B47" i="47"/>
  <c r="B14" i="47"/>
  <c r="B51" i="47"/>
  <c r="B27" i="47"/>
  <c r="B57" i="47"/>
  <c r="B23" i="47"/>
  <c r="B37" i="47"/>
  <c r="B2" i="47"/>
  <c r="B73" i="49"/>
  <c r="B33" i="49"/>
  <c r="B100" i="49"/>
  <c r="B98" i="49"/>
  <c r="B97" i="49"/>
  <c r="B93" i="49"/>
  <c r="B89" i="49"/>
  <c r="B81" i="49"/>
  <c r="B65" i="49"/>
  <c r="B59" i="49"/>
  <c r="B40" i="49"/>
  <c r="B38" i="49"/>
  <c r="B32" i="49"/>
  <c r="B63" i="49"/>
  <c r="B68" i="49"/>
  <c r="B55" i="49"/>
  <c r="B56" i="49"/>
  <c r="B48" i="49"/>
  <c r="B45" i="49"/>
  <c r="B37" i="49"/>
  <c r="B84" i="49"/>
  <c r="B69" i="49"/>
  <c r="B54" i="49"/>
  <c r="B44" i="49"/>
  <c r="B42" i="49"/>
  <c r="B60" i="49"/>
  <c r="B50" i="49"/>
  <c r="B35" i="49"/>
  <c r="B76" i="49"/>
  <c r="B92" i="49"/>
  <c r="B77" i="49"/>
  <c r="B83" i="49"/>
  <c r="B51" i="49"/>
  <c r="B74" i="49"/>
  <c r="B58" i="49"/>
  <c r="B41" i="49"/>
  <c r="B97" i="48"/>
  <c r="B75" i="48"/>
  <c r="B73" i="48"/>
  <c r="B67" i="48"/>
  <c r="B88" i="48"/>
  <c r="B83" i="48"/>
  <c r="B54" i="48"/>
  <c r="B43" i="48"/>
  <c r="B70" i="48"/>
  <c r="B62" i="48"/>
  <c r="B60" i="48"/>
  <c r="B35" i="48"/>
  <c r="B66" i="48"/>
  <c r="B50" i="48"/>
  <c r="B33" i="48"/>
  <c r="B93" i="48"/>
  <c r="B87" i="48"/>
  <c r="B63" i="48"/>
  <c r="B100" i="48"/>
  <c r="B96" i="48"/>
  <c r="B80" i="48"/>
  <c r="B51" i="48"/>
  <c r="B36" i="48"/>
  <c r="B81" i="48"/>
  <c r="B76" i="48"/>
  <c r="B48" i="48"/>
  <c r="B72" i="48"/>
  <c r="B56" i="48"/>
  <c r="B84" i="48"/>
  <c r="B92" i="48"/>
  <c r="B64" i="48"/>
  <c r="B55" i="48"/>
  <c r="B38" i="48"/>
  <c r="B47" i="48"/>
  <c r="B34" i="48"/>
  <c r="B71" i="47"/>
  <c r="B88" i="47"/>
  <c r="B65" i="47"/>
  <c r="B89" i="47"/>
  <c r="B85" i="47"/>
  <c r="B81" i="47"/>
  <c r="B87" i="47"/>
  <c r="B66" i="47"/>
  <c r="B60" i="47"/>
  <c r="B58" i="47"/>
  <c r="B80" i="47"/>
  <c r="B74" i="47"/>
  <c r="B44" i="47"/>
  <c r="B67" i="47"/>
  <c r="B48" i="47"/>
  <c r="B49" i="47"/>
  <c r="B33" i="47"/>
  <c r="B100" i="47"/>
  <c r="B84" i="47"/>
  <c r="B72" i="47"/>
  <c r="B64" i="47"/>
  <c r="B61" i="47"/>
  <c r="B53" i="47"/>
  <c r="B39" i="47"/>
  <c r="B40" i="47"/>
  <c r="B92" i="47"/>
  <c r="B79" i="47"/>
  <c r="B75" i="47"/>
  <c r="B35" i="47"/>
  <c r="B97" i="47"/>
  <c r="B93" i="47"/>
  <c r="B95" i="47"/>
  <c r="B76" i="47"/>
  <c r="B69" i="47"/>
  <c r="B52" i="47"/>
  <c r="B96" i="47"/>
  <c r="B36" i="47"/>
  <c r="B77" i="47"/>
  <c r="B32" i="47"/>
  <c r="B43" i="47"/>
  <c r="B41" i="47"/>
  <c r="C82" i="46"/>
  <c r="F96" i="46"/>
  <c r="E63" i="46"/>
  <c r="C94" i="46"/>
  <c r="C78" i="46"/>
  <c r="C62" i="46"/>
  <c r="C30" i="46"/>
  <c r="L94" i="46"/>
  <c r="H54" i="46"/>
  <c r="C58" i="46"/>
  <c r="C98" i="46"/>
  <c r="C66" i="46"/>
  <c r="N100" i="46"/>
  <c r="J92" i="46"/>
  <c r="D99" i="46"/>
  <c r="C70" i="46"/>
  <c r="C38" i="46"/>
  <c r="C22" i="46"/>
  <c r="J100" i="46"/>
  <c r="E99" i="46"/>
  <c r="G97" i="46"/>
  <c r="M95" i="46"/>
  <c r="H94" i="46"/>
  <c r="F92" i="46"/>
  <c r="M87" i="46"/>
  <c r="J80" i="46"/>
  <c r="F60" i="46"/>
  <c r="N52" i="46"/>
  <c r="N41" i="46"/>
  <c r="C97" i="46"/>
  <c r="C93" i="46"/>
  <c r="C89" i="46"/>
  <c r="C85" i="46"/>
  <c r="C81" i="46"/>
  <c r="C77" i="46"/>
  <c r="C73" i="46"/>
  <c r="C69" i="46"/>
  <c r="C65" i="46"/>
  <c r="C57" i="46"/>
  <c r="C53" i="46"/>
  <c r="C45" i="46"/>
  <c r="C13" i="46"/>
  <c r="K97" i="46"/>
  <c r="G89" i="46"/>
  <c r="F100" i="46"/>
  <c r="N96" i="46"/>
  <c r="I95" i="46"/>
  <c r="K93" i="46"/>
  <c r="O89" i="46"/>
  <c r="N84" i="46"/>
  <c r="F76" i="46"/>
  <c r="N68" i="46"/>
  <c r="I51" i="46"/>
  <c r="E36" i="46"/>
  <c r="C100" i="46"/>
  <c r="C96" i="46"/>
  <c r="C92" i="46"/>
  <c r="C88" i="46"/>
  <c r="C84" i="46"/>
  <c r="C76" i="46"/>
  <c r="C72" i="46"/>
  <c r="C60" i="46"/>
  <c r="C56" i="46"/>
  <c r="C52" i="46"/>
  <c r="C48" i="46"/>
  <c r="C28" i="46"/>
  <c r="O81" i="46"/>
  <c r="M99" i="46"/>
  <c r="O97" i="46"/>
  <c r="J96" i="46"/>
  <c r="E95" i="46"/>
  <c r="N92" i="46"/>
  <c r="K89" i="46"/>
  <c r="I83" i="46"/>
  <c r="G73" i="46"/>
  <c r="M55" i="46"/>
  <c r="C99" i="46"/>
  <c r="C95" i="46"/>
  <c r="C75" i="46"/>
  <c r="C67" i="46"/>
  <c r="C63" i="46"/>
  <c r="C59" i="46"/>
  <c r="C55" i="46"/>
  <c r="C47" i="46"/>
  <c r="C27" i="46"/>
  <c r="C7" i="46"/>
  <c r="G5" i="46"/>
  <c r="K5" i="46"/>
  <c r="O5" i="46"/>
  <c r="D5" i="46"/>
  <c r="H5" i="46"/>
  <c r="L5" i="46"/>
  <c r="E5" i="46"/>
  <c r="I5" i="46"/>
  <c r="M5" i="46"/>
  <c r="F5" i="46"/>
  <c r="J5" i="46"/>
  <c r="N5" i="46"/>
  <c r="H14" i="46"/>
  <c r="L14" i="46"/>
  <c r="E14" i="46"/>
  <c r="I14" i="46"/>
  <c r="M14" i="46"/>
  <c r="D14" i="46"/>
  <c r="F14" i="46"/>
  <c r="J14" i="46"/>
  <c r="N14" i="46"/>
  <c r="G14" i="46"/>
  <c r="K14" i="46"/>
  <c r="O14" i="46"/>
  <c r="D24" i="46"/>
  <c r="F24" i="46"/>
  <c r="J24" i="46"/>
  <c r="N24" i="46"/>
  <c r="G24" i="46"/>
  <c r="K24" i="46"/>
  <c r="O24" i="46"/>
  <c r="H24" i="46"/>
  <c r="L24" i="46"/>
  <c r="M24" i="46"/>
  <c r="E24" i="46"/>
  <c r="D33" i="46"/>
  <c r="G33" i="46"/>
  <c r="K33" i="46"/>
  <c r="O33" i="46"/>
  <c r="H33" i="46"/>
  <c r="L33" i="46"/>
  <c r="E33" i="46"/>
  <c r="I33" i="46"/>
  <c r="M33" i="46"/>
  <c r="J33" i="46"/>
  <c r="N33" i="46"/>
  <c r="D40" i="46"/>
  <c r="F40" i="46"/>
  <c r="J40" i="46"/>
  <c r="N40" i="46"/>
  <c r="G40" i="46"/>
  <c r="K40" i="46"/>
  <c r="O40" i="46"/>
  <c r="H40" i="46"/>
  <c r="L40" i="46"/>
  <c r="M40" i="46"/>
  <c r="E40" i="46"/>
  <c r="D49" i="46"/>
  <c r="G49" i="46"/>
  <c r="K49" i="46"/>
  <c r="O49" i="46"/>
  <c r="E49" i="46"/>
  <c r="I49" i="46"/>
  <c r="M49" i="46"/>
  <c r="J49" i="46"/>
  <c r="L49" i="46"/>
  <c r="F49" i="46"/>
  <c r="N49" i="46"/>
  <c r="D61" i="46"/>
  <c r="H61" i="46"/>
  <c r="L61" i="46"/>
  <c r="E61" i="46"/>
  <c r="I61" i="46"/>
  <c r="M61" i="46"/>
  <c r="F61" i="46"/>
  <c r="J61" i="46"/>
  <c r="N61" i="46"/>
  <c r="D64" i="46"/>
  <c r="G64" i="46"/>
  <c r="K64" i="46"/>
  <c r="O64" i="46"/>
  <c r="H64" i="46"/>
  <c r="L64" i="46"/>
  <c r="E64" i="46"/>
  <c r="I64" i="46"/>
  <c r="M64" i="46"/>
  <c r="D74" i="46"/>
  <c r="E74" i="46"/>
  <c r="I74" i="46"/>
  <c r="M74" i="46"/>
  <c r="F74" i="46"/>
  <c r="J74" i="46"/>
  <c r="N74" i="46"/>
  <c r="G74" i="46"/>
  <c r="K74" i="46"/>
  <c r="O74" i="46"/>
  <c r="D79" i="46"/>
  <c r="F79" i="46"/>
  <c r="J79" i="46"/>
  <c r="N79" i="46"/>
  <c r="G79" i="46"/>
  <c r="K79" i="46"/>
  <c r="O79" i="46"/>
  <c r="H79" i="46"/>
  <c r="L79" i="46"/>
  <c r="D90" i="46"/>
  <c r="E90" i="46"/>
  <c r="I90" i="46"/>
  <c r="M90" i="46"/>
  <c r="F90" i="46"/>
  <c r="J90" i="46"/>
  <c r="N90" i="46"/>
  <c r="G90" i="46"/>
  <c r="K90" i="46"/>
  <c r="O90" i="46"/>
  <c r="L74" i="46"/>
  <c r="I67" i="46"/>
  <c r="I24" i="46"/>
  <c r="E3" i="46"/>
  <c r="I3" i="46"/>
  <c r="M3" i="46"/>
  <c r="F3" i="46"/>
  <c r="J3" i="46"/>
  <c r="N3" i="46"/>
  <c r="G3" i="46"/>
  <c r="K3" i="46"/>
  <c r="O3" i="46"/>
  <c r="L3" i="46"/>
  <c r="H3" i="46"/>
  <c r="D3" i="46"/>
  <c r="H6" i="46"/>
  <c r="L6" i="46"/>
  <c r="E6" i="46"/>
  <c r="I6" i="46"/>
  <c r="M6" i="46"/>
  <c r="D6" i="46"/>
  <c r="F6" i="46"/>
  <c r="J6" i="46"/>
  <c r="N6" i="46"/>
  <c r="K6" i="46"/>
  <c r="O6" i="46"/>
  <c r="G6" i="46"/>
  <c r="E15" i="46"/>
  <c r="I15" i="46"/>
  <c r="M15" i="46"/>
  <c r="F15" i="46"/>
  <c r="J15" i="46"/>
  <c r="N15" i="46"/>
  <c r="G15" i="46"/>
  <c r="K15" i="46"/>
  <c r="O15" i="46"/>
  <c r="H15" i="46"/>
  <c r="L15" i="46"/>
  <c r="D15" i="46"/>
  <c r="H18" i="46"/>
  <c r="L18" i="46"/>
  <c r="E18" i="46"/>
  <c r="I18" i="46"/>
  <c r="D18" i="46"/>
  <c r="F18" i="46"/>
  <c r="J18" i="46"/>
  <c r="N18" i="46"/>
  <c r="G18" i="46"/>
  <c r="K18" i="46"/>
  <c r="M18" i="46"/>
  <c r="D21" i="46"/>
  <c r="E21" i="46"/>
  <c r="G21" i="46"/>
  <c r="K21" i="46"/>
  <c r="O21" i="46"/>
  <c r="H21" i="46"/>
  <c r="L21" i="46"/>
  <c r="I21" i="46"/>
  <c r="M21" i="46"/>
  <c r="N21" i="46"/>
  <c r="F21" i="46"/>
  <c r="E31" i="46"/>
  <c r="I31" i="46"/>
  <c r="M31" i="46"/>
  <c r="F31" i="46"/>
  <c r="J31" i="46"/>
  <c r="N31" i="46"/>
  <c r="D31" i="46"/>
  <c r="G31" i="46"/>
  <c r="K31" i="46"/>
  <c r="O31" i="46"/>
  <c r="H31" i="46"/>
  <c r="D34" i="46"/>
  <c r="H34" i="46"/>
  <c r="L34" i="46"/>
  <c r="E34" i="46"/>
  <c r="I34" i="46"/>
  <c r="M34" i="46"/>
  <c r="F34" i="46"/>
  <c r="J34" i="46"/>
  <c r="N34" i="46"/>
  <c r="O34" i="46"/>
  <c r="G34" i="46"/>
  <c r="D41" i="46"/>
  <c r="G41" i="46"/>
  <c r="K41" i="46"/>
  <c r="O41" i="46"/>
  <c r="H41" i="46"/>
  <c r="L41" i="46"/>
  <c r="E41" i="46"/>
  <c r="I41" i="46"/>
  <c r="M41" i="46"/>
  <c r="F41" i="46"/>
  <c r="J41" i="46"/>
  <c r="D44" i="46"/>
  <c r="F44" i="46"/>
  <c r="J44" i="46"/>
  <c r="N44" i="46"/>
  <c r="H44" i="46"/>
  <c r="L44" i="46"/>
  <c r="I44" i="46"/>
  <c r="K44" i="46"/>
  <c r="E44" i="46"/>
  <c r="M44" i="46"/>
  <c r="D46" i="46"/>
  <c r="H46" i="46"/>
  <c r="L46" i="46"/>
  <c r="F46" i="46"/>
  <c r="J46" i="46"/>
  <c r="N46" i="46"/>
  <c r="K46" i="46"/>
  <c r="E46" i="46"/>
  <c r="M46" i="46"/>
  <c r="G46" i="46"/>
  <c r="O46" i="46"/>
  <c r="D50" i="46"/>
  <c r="H50" i="46"/>
  <c r="L50" i="46"/>
  <c r="F50" i="46"/>
  <c r="J50" i="46"/>
  <c r="N50" i="46"/>
  <c r="G50" i="46"/>
  <c r="O50" i="46"/>
  <c r="I50" i="46"/>
  <c r="K50" i="46"/>
  <c r="D54" i="46"/>
  <c r="E54" i="46"/>
  <c r="I54" i="46"/>
  <c r="M54" i="46"/>
  <c r="F54" i="46"/>
  <c r="J54" i="46"/>
  <c r="N54" i="46"/>
  <c r="G54" i="46"/>
  <c r="K54" i="46"/>
  <c r="O54" i="46"/>
  <c r="D58" i="46"/>
  <c r="E58" i="46"/>
  <c r="I58" i="46"/>
  <c r="M58" i="46"/>
  <c r="F58" i="46"/>
  <c r="J58" i="46"/>
  <c r="N58" i="46"/>
  <c r="G58" i="46"/>
  <c r="K58" i="46"/>
  <c r="O58" i="46"/>
  <c r="D65" i="46"/>
  <c r="H65" i="46"/>
  <c r="L65" i="46"/>
  <c r="E65" i="46"/>
  <c r="I65" i="46"/>
  <c r="M65" i="46"/>
  <c r="F65" i="46"/>
  <c r="J65" i="46"/>
  <c r="N65" i="46"/>
  <c r="D68" i="46"/>
  <c r="G68" i="46"/>
  <c r="K68" i="46"/>
  <c r="O68" i="46"/>
  <c r="H68" i="46"/>
  <c r="L68" i="46"/>
  <c r="E68" i="46"/>
  <c r="I68" i="46"/>
  <c r="M68" i="46"/>
  <c r="D71" i="46"/>
  <c r="F71" i="46"/>
  <c r="J71" i="46"/>
  <c r="N71" i="46"/>
  <c r="G71" i="46"/>
  <c r="K71" i="46"/>
  <c r="O71" i="46"/>
  <c r="H71" i="46"/>
  <c r="L71" i="46"/>
  <c r="D80" i="46"/>
  <c r="G80" i="46"/>
  <c r="K80" i="46"/>
  <c r="O80" i="46"/>
  <c r="H80" i="46"/>
  <c r="L80" i="46"/>
  <c r="E80" i="46"/>
  <c r="I80" i="46"/>
  <c r="M80" i="46"/>
  <c r="F83" i="46"/>
  <c r="J83" i="46"/>
  <c r="N83" i="46"/>
  <c r="G83" i="46"/>
  <c r="K83" i="46"/>
  <c r="O83" i="46"/>
  <c r="D83" i="46"/>
  <c r="H83" i="46"/>
  <c r="L83" i="46"/>
  <c r="D87" i="46"/>
  <c r="F87" i="46"/>
  <c r="J87" i="46"/>
  <c r="N87" i="46"/>
  <c r="G87" i="46"/>
  <c r="K87" i="46"/>
  <c r="O87" i="46"/>
  <c r="H87" i="46"/>
  <c r="L87" i="46"/>
  <c r="D91" i="46"/>
  <c r="F91" i="46"/>
  <c r="J91" i="46"/>
  <c r="N91" i="46"/>
  <c r="G91" i="46"/>
  <c r="K91" i="46"/>
  <c r="O91" i="46"/>
  <c r="H91" i="46"/>
  <c r="L91" i="46"/>
  <c r="D98" i="46"/>
  <c r="E98" i="46"/>
  <c r="I98" i="46"/>
  <c r="M98" i="46"/>
  <c r="F98" i="46"/>
  <c r="J98" i="46"/>
  <c r="N98" i="46"/>
  <c r="G98" i="46"/>
  <c r="K98" i="46"/>
  <c r="O98" i="46"/>
  <c r="M91" i="46"/>
  <c r="H90" i="46"/>
  <c r="I87" i="46"/>
  <c r="O85" i="46"/>
  <c r="E83" i="46"/>
  <c r="F80" i="46"/>
  <c r="H74" i="46"/>
  <c r="I71" i="46"/>
  <c r="J68" i="46"/>
  <c r="K65" i="46"/>
  <c r="F64" i="46"/>
  <c r="G61" i="46"/>
  <c r="H58" i="46"/>
  <c r="N56" i="46"/>
  <c r="O53" i="46"/>
  <c r="J52" i="46"/>
  <c r="M50" i="46"/>
  <c r="O44" i="46"/>
  <c r="I40" i="46"/>
  <c r="K34" i="46"/>
  <c r="D8" i="46"/>
  <c r="F8" i="46"/>
  <c r="J8" i="46"/>
  <c r="N8" i="46"/>
  <c r="G8" i="46"/>
  <c r="K8" i="46"/>
  <c r="O8" i="46"/>
  <c r="H8" i="46"/>
  <c r="L8" i="46"/>
  <c r="E8" i="46"/>
  <c r="I8" i="46"/>
  <c r="M8" i="46"/>
  <c r="G17" i="46"/>
  <c r="K17" i="46"/>
  <c r="O17" i="46"/>
  <c r="D17" i="46"/>
  <c r="H17" i="46"/>
  <c r="L17" i="46"/>
  <c r="E17" i="46"/>
  <c r="I17" i="46"/>
  <c r="M17" i="46"/>
  <c r="F17" i="46"/>
  <c r="J17" i="46"/>
  <c r="N17" i="46"/>
  <c r="D30" i="46"/>
  <c r="H30" i="46"/>
  <c r="L30" i="46"/>
  <c r="E30" i="46"/>
  <c r="I30" i="46"/>
  <c r="M30" i="46"/>
  <c r="F30" i="46"/>
  <c r="J30" i="46"/>
  <c r="N30" i="46"/>
  <c r="K30" i="46"/>
  <c r="O30" i="46"/>
  <c r="D57" i="46"/>
  <c r="H57" i="46"/>
  <c r="L57" i="46"/>
  <c r="E57" i="46"/>
  <c r="I57" i="46"/>
  <c r="M57" i="46"/>
  <c r="F57" i="46"/>
  <c r="J57" i="46"/>
  <c r="N57" i="46"/>
  <c r="F67" i="46"/>
  <c r="J67" i="46"/>
  <c r="N67" i="46"/>
  <c r="D67" i="46"/>
  <c r="G67" i="46"/>
  <c r="K67" i="46"/>
  <c r="O67" i="46"/>
  <c r="H67" i="46"/>
  <c r="L67" i="46"/>
  <c r="D77" i="46"/>
  <c r="H77" i="46"/>
  <c r="L77" i="46"/>
  <c r="E77" i="46"/>
  <c r="I77" i="46"/>
  <c r="M77" i="46"/>
  <c r="F77" i="46"/>
  <c r="J77" i="46"/>
  <c r="N77" i="46"/>
  <c r="D86" i="46"/>
  <c r="E86" i="46"/>
  <c r="I86" i="46"/>
  <c r="M86" i="46"/>
  <c r="F86" i="46"/>
  <c r="J86" i="46"/>
  <c r="N86" i="46"/>
  <c r="G86" i="46"/>
  <c r="K86" i="46"/>
  <c r="O86" i="46"/>
  <c r="L90" i="46"/>
  <c r="H86" i="46"/>
  <c r="E79" i="46"/>
  <c r="K77" i="46"/>
  <c r="J64" i="46"/>
  <c r="K61" i="46"/>
  <c r="G9" i="46"/>
  <c r="K9" i="46"/>
  <c r="O9" i="46"/>
  <c r="D9" i="46"/>
  <c r="H9" i="46"/>
  <c r="L9" i="46"/>
  <c r="E9" i="46"/>
  <c r="I9" i="46"/>
  <c r="B9" i="46" s="1"/>
  <c r="M9" i="46"/>
  <c r="J9" i="46"/>
  <c r="N9" i="46"/>
  <c r="F9" i="46"/>
  <c r="E19" i="46"/>
  <c r="I19" i="46"/>
  <c r="M19" i="46"/>
  <c r="G19" i="46"/>
  <c r="K19" i="46"/>
  <c r="O19" i="46"/>
  <c r="F19" i="46"/>
  <c r="N19" i="46"/>
  <c r="H19" i="46"/>
  <c r="J19" i="46"/>
  <c r="L19" i="46"/>
  <c r="D19" i="46"/>
  <c r="D28" i="46"/>
  <c r="F28" i="46"/>
  <c r="J28" i="46"/>
  <c r="N28" i="46"/>
  <c r="G28" i="46"/>
  <c r="K28" i="46"/>
  <c r="O28" i="46"/>
  <c r="H28" i="46"/>
  <c r="L28" i="46"/>
  <c r="E28" i="46"/>
  <c r="I28" i="46"/>
  <c r="E35" i="46"/>
  <c r="I35" i="46"/>
  <c r="M35" i="46"/>
  <c r="F35" i="46"/>
  <c r="J35" i="46"/>
  <c r="N35" i="46"/>
  <c r="G35" i="46"/>
  <c r="K35" i="46"/>
  <c r="O35" i="46"/>
  <c r="H35" i="46"/>
  <c r="L35" i="46"/>
  <c r="E47" i="46"/>
  <c r="I47" i="46"/>
  <c r="M47" i="46"/>
  <c r="D47" i="46"/>
  <c r="G47" i="46"/>
  <c r="K47" i="46"/>
  <c r="O47" i="46"/>
  <c r="H47" i="46"/>
  <c r="J47" i="46"/>
  <c r="L47" i="46"/>
  <c r="E51" i="46"/>
  <c r="G51" i="46"/>
  <c r="D51" i="46"/>
  <c r="J51" i="46"/>
  <c r="N51" i="46"/>
  <c r="F51" i="46"/>
  <c r="K51" i="46"/>
  <c r="O51" i="46"/>
  <c r="H51" i="46"/>
  <c r="L51" i="46"/>
  <c r="D55" i="46"/>
  <c r="F55" i="46"/>
  <c r="J55" i="46"/>
  <c r="N55" i="46"/>
  <c r="G55" i="46"/>
  <c r="K55" i="46"/>
  <c r="O55" i="46"/>
  <c r="H55" i="46"/>
  <c r="L55" i="46"/>
  <c r="D59" i="46"/>
  <c r="F59" i="46"/>
  <c r="J59" i="46"/>
  <c r="N59" i="46"/>
  <c r="G59" i="46"/>
  <c r="K59" i="46"/>
  <c r="O59" i="46"/>
  <c r="H59" i="46"/>
  <c r="L59" i="46"/>
  <c r="D62" i="46"/>
  <c r="E62" i="46"/>
  <c r="I62" i="46"/>
  <c r="M62" i="46"/>
  <c r="F62" i="46"/>
  <c r="J62" i="46"/>
  <c r="N62" i="46"/>
  <c r="G62" i="46"/>
  <c r="K62" i="46"/>
  <c r="O62" i="46"/>
  <c r="D69" i="46"/>
  <c r="H69" i="46"/>
  <c r="L69" i="46"/>
  <c r="E69" i="46"/>
  <c r="I69" i="46"/>
  <c r="M69" i="46"/>
  <c r="F69" i="46"/>
  <c r="J69" i="46"/>
  <c r="N69" i="46"/>
  <c r="D72" i="46"/>
  <c r="G72" i="46"/>
  <c r="K72" i="46"/>
  <c r="O72" i="46"/>
  <c r="H72" i="46"/>
  <c r="L72" i="46"/>
  <c r="E72" i="46"/>
  <c r="I72" i="46"/>
  <c r="M72" i="46"/>
  <c r="D75" i="46"/>
  <c r="F75" i="46"/>
  <c r="J75" i="46"/>
  <c r="N75" i="46"/>
  <c r="G75" i="46"/>
  <c r="K75" i="46"/>
  <c r="O75" i="46"/>
  <c r="H75" i="46"/>
  <c r="L75" i="46"/>
  <c r="D78" i="46"/>
  <c r="E78" i="46"/>
  <c r="I78" i="46"/>
  <c r="M78" i="46"/>
  <c r="F78" i="46"/>
  <c r="J78" i="46"/>
  <c r="N78" i="46"/>
  <c r="G78" i="46"/>
  <c r="K78" i="46"/>
  <c r="O78" i="46"/>
  <c r="D81" i="46"/>
  <c r="H81" i="46"/>
  <c r="L81" i="46"/>
  <c r="E81" i="46"/>
  <c r="I81" i="46"/>
  <c r="M81" i="46"/>
  <c r="F81" i="46"/>
  <c r="J81" i="46"/>
  <c r="N81" i="46"/>
  <c r="D84" i="46"/>
  <c r="G84" i="46"/>
  <c r="K84" i="46"/>
  <c r="O84" i="46"/>
  <c r="H84" i="46"/>
  <c r="L84" i="46"/>
  <c r="E84" i="46"/>
  <c r="I84" i="46"/>
  <c r="M84" i="46"/>
  <c r="D88" i="46"/>
  <c r="G88" i="46"/>
  <c r="K88" i="46"/>
  <c r="O88" i="46"/>
  <c r="H88" i="46"/>
  <c r="L88" i="46"/>
  <c r="E88" i="46"/>
  <c r="I88" i="46"/>
  <c r="M88" i="46"/>
  <c r="I91" i="46"/>
  <c r="J88" i="46"/>
  <c r="E87" i="46"/>
  <c r="F84" i="46"/>
  <c r="G81" i="46"/>
  <c r="M79" i="46"/>
  <c r="H78" i="46"/>
  <c r="I75" i="46"/>
  <c r="J72" i="46"/>
  <c r="E71" i="46"/>
  <c r="K69" i="46"/>
  <c r="F68" i="46"/>
  <c r="G65" i="46"/>
  <c r="H62" i="46"/>
  <c r="I59" i="46"/>
  <c r="O57" i="46"/>
  <c r="E55" i="46"/>
  <c r="E50" i="46"/>
  <c r="F47" i="46"/>
  <c r="G44" i="46"/>
  <c r="F33" i="46"/>
  <c r="J21" i="46"/>
  <c r="H2" i="46"/>
  <c r="L2" i="46"/>
  <c r="E2" i="46"/>
  <c r="I2" i="46"/>
  <c r="M2" i="46"/>
  <c r="D2" i="46"/>
  <c r="F2" i="46"/>
  <c r="J2" i="46"/>
  <c r="N2" i="46"/>
  <c r="G2" i="46"/>
  <c r="K2" i="46"/>
  <c r="O2" i="46"/>
  <c r="E11" i="46"/>
  <c r="I11" i="46"/>
  <c r="M11" i="46"/>
  <c r="F11" i="46"/>
  <c r="J11" i="46"/>
  <c r="N11" i="46"/>
  <c r="G11" i="46"/>
  <c r="K11" i="46"/>
  <c r="O11" i="46"/>
  <c r="D11" i="46"/>
  <c r="H11" i="46"/>
  <c r="L11" i="46"/>
  <c r="D20" i="46"/>
  <c r="F20" i="46"/>
  <c r="J20" i="46"/>
  <c r="N20" i="46"/>
  <c r="H20" i="46"/>
  <c r="L20" i="46"/>
  <c r="K20" i="46"/>
  <c r="E20" i="46"/>
  <c r="M20" i="46"/>
  <c r="G20" i="46"/>
  <c r="O20" i="46"/>
  <c r="I20" i="46"/>
  <c r="E27" i="46"/>
  <c r="I27" i="46"/>
  <c r="M27" i="46"/>
  <c r="D27" i="46"/>
  <c r="F27" i="46"/>
  <c r="J27" i="46"/>
  <c r="N27" i="46"/>
  <c r="G27" i="46"/>
  <c r="K27" i="46"/>
  <c r="O27" i="46"/>
  <c r="L27" i="46"/>
  <c r="D37" i="46"/>
  <c r="G37" i="46"/>
  <c r="K37" i="46"/>
  <c r="O37" i="46"/>
  <c r="H37" i="46"/>
  <c r="L37" i="46"/>
  <c r="E37" i="46"/>
  <c r="I37" i="46"/>
  <c r="M37" i="46"/>
  <c r="N37" i="46"/>
  <c r="F37" i="46"/>
  <c r="E43" i="46"/>
  <c r="I43" i="46"/>
  <c r="M43" i="46"/>
  <c r="D43" i="46"/>
  <c r="F43" i="46"/>
  <c r="J43" i="46"/>
  <c r="G43" i="46"/>
  <c r="K43" i="46"/>
  <c r="O43" i="46"/>
  <c r="L43" i="46"/>
  <c r="N43" i="46"/>
  <c r="D53" i="46"/>
  <c r="H53" i="46"/>
  <c r="L53" i="46"/>
  <c r="E53" i="46"/>
  <c r="I53" i="46"/>
  <c r="M53" i="46"/>
  <c r="F53" i="46"/>
  <c r="J53" i="46"/>
  <c r="N53" i="46"/>
  <c r="E7" i="46"/>
  <c r="I7" i="46"/>
  <c r="M7" i="46"/>
  <c r="F7" i="46"/>
  <c r="J7" i="46"/>
  <c r="N7" i="46"/>
  <c r="G7" i="46"/>
  <c r="K7" i="46"/>
  <c r="O7" i="46"/>
  <c r="D7" i="46"/>
  <c r="H7" i="46"/>
  <c r="D12" i="46"/>
  <c r="F12" i="46"/>
  <c r="J12" i="46"/>
  <c r="N12" i="46"/>
  <c r="G12" i="46"/>
  <c r="K12" i="46"/>
  <c r="O12" i="46"/>
  <c r="H12" i="46"/>
  <c r="L12" i="46"/>
  <c r="I12" i="46"/>
  <c r="M12" i="46"/>
  <c r="E12" i="46"/>
  <c r="D16" i="46"/>
  <c r="F16" i="46"/>
  <c r="J16" i="46"/>
  <c r="N16" i="46"/>
  <c r="G16" i="46"/>
  <c r="K16" i="46"/>
  <c r="O16" i="46"/>
  <c r="H16" i="46"/>
  <c r="L16" i="46"/>
  <c r="M16" i="46"/>
  <c r="E16" i="46"/>
  <c r="I16" i="46"/>
  <c r="D22" i="46"/>
  <c r="H22" i="46"/>
  <c r="L22" i="46"/>
  <c r="E22" i="46"/>
  <c r="I22" i="46"/>
  <c r="M22" i="46"/>
  <c r="F22" i="46"/>
  <c r="J22" i="46"/>
  <c r="N22" i="46"/>
  <c r="G22" i="46"/>
  <c r="K22" i="46"/>
  <c r="D25" i="46"/>
  <c r="G25" i="46"/>
  <c r="K25" i="46"/>
  <c r="O25" i="46"/>
  <c r="H25" i="46"/>
  <c r="L25" i="46"/>
  <c r="E25" i="46"/>
  <c r="I25" i="46"/>
  <c r="M25" i="46"/>
  <c r="F25" i="46"/>
  <c r="J25" i="46"/>
  <c r="D32" i="46"/>
  <c r="F32" i="46"/>
  <c r="J32" i="46"/>
  <c r="N32" i="46"/>
  <c r="G32" i="46"/>
  <c r="K32" i="46"/>
  <c r="O32" i="46"/>
  <c r="H32" i="46"/>
  <c r="L32" i="46"/>
  <c r="E32" i="46"/>
  <c r="I32" i="46"/>
  <c r="M32" i="46"/>
  <c r="D38" i="46"/>
  <c r="H38" i="46"/>
  <c r="L38" i="46"/>
  <c r="E38" i="46"/>
  <c r="I38" i="46"/>
  <c r="M38" i="46"/>
  <c r="F38" i="46"/>
  <c r="J38" i="46"/>
  <c r="N38" i="46"/>
  <c r="G38" i="46"/>
  <c r="K38" i="46"/>
  <c r="D4" i="46"/>
  <c r="F4" i="46"/>
  <c r="J4" i="46"/>
  <c r="N4" i="46"/>
  <c r="G4" i="46"/>
  <c r="K4" i="46"/>
  <c r="O4" i="46"/>
  <c r="H4" i="46"/>
  <c r="L4" i="46"/>
  <c r="E4" i="46"/>
  <c r="I4" i="46"/>
  <c r="M4" i="46"/>
  <c r="H10" i="46"/>
  <c r="L10" i="46"/>
  <c r="E10" i="46"/>
  <c r="I10" i="46"/>
  <c r="M10" i="46"/>
  <c r="D10" i="46"/>
  <c r="F10" i="46"/>
  <c r="J10" i="46"/>
  <c r="N10" i="46"/>
  <c r="O10" i="46"/>
  <c r="G10" i="46"/>
  <c r="K10" i="46"/>
  <c r="G13" i="46"/>
  <c r="K13" i="46"/>
  <c r="O13" i="46"/>
  <c r="D13" i="46"/>
  <c r="H13" i="46"/>
  <c r="L13" i="46"/>
  <c r="E13" i="46"/>
  <c r="I13" i="46"/>
  <c r="M13" i="46"/>
  <c r="N13" i="46"/>
  <c r="F13" i="46"/>
  <c r="D23" i="46"/>
  <c r="E23" i="46"/>
  <c r="I23" i="46"/>
  <c r="M23" i="46"/>
  <c r="F23" i="46"/>
  <c r="J23" i="46"/>
  <c r="N23" i="46"/>
  <c r="G23" i="46"/>
  <c r="K23" i="46"/>
  <c r="O23" i="46"/>
  <c r="H23" i="46"/>
  <c r="L23" i="46"/>
  <c r="D26" i="46"/>
  <c r="H26" i="46"/>
  <c r="L26" i="46"/>
  <c r="E26" i="46"/>
  <c r="I26" i="46"/>
  <c r="M26" i="46"/>
  <c r="F26" i="46"/>
  <c r="J26" i="46"/>
  <c r="N26" i="46"/>
  <c r="G26" i="46"/>
  <c r="K26" i="46"/>
  <c r="O26" i="46"/>
  <c r="D29" i="46"/>
  <c r="G29" i="46"/>
  <c r="K29" i="46"/>
  <c r="O29" i="46"/>
  <c r="H29" i="46"/>
  <c r="L29" i="46"/>
  <c r="E29" i="46"/>
  <c r="I29" i="46"/>
  <c r="M29" i="46"/>
  <c r="F29" i="46"/>
  <c r="J29" i="46"/>
  <c r="N29" i="46"/>
  <c r="D36" i="46"/>
  <c r="F36" i="46"/>
  <c r="J36" i="46"/>
  <c r="N36" i="46"/>
  <c r="G36" i="46"/>
  <c r="K36" i="46"/>
  <c r="O36" i="46"/>
  <c r="H36" i="46"/>
  <c r="L36" i="46"/>
  <c r="I36" i="46"/>
  <c r="M36" i="46"/>
  <c r="D39" i="46"/>
  <c r="E39" i="46"/>
  <c r="I39" i="46"/>
  <c r="M39" i="46"/>
  <c r="F39" i="46"/>
  <c r="J39" i="46"/>
  <c r="N39" i="46"/>
  <c r="G39" i="46"/>
  <c r="K39" i="46"/>
  <c r="O39" i="46"/>
  <c r="H39" i="46"/>
  <c r="L39" i="46"/>
  <c r="D42" i="46"/>
  <c r="H42" i="46"/>
  <c r="L42" i="46"/>
  <c r="E42" i="46"/>
  <c r="I42" i="46"/>
  <c r="M42" i="46"/>
  <c r="F42" i="46"/>
  <c r="J42" i="46"/>
  <c r="N42" i="46"/>
  <c r="G42" i="46"/>
  <c r="K42" i="46"/>
  <c r="O42" i="46"/>
  <c r="D45" i="46"/>
  <c r="G45" i="46"/>
  <c r="K45" i="46"/>
  <c r="O45" i="46"/>
  <c r="E45" i="46"/>
  <c r="I45" i="46"/>
  <c r="M45" i="46"/>
  <c r="F45" i="46"/>
  <c r="N45" i="46"/>
  <c r="H45" i="46"/>
  <c r="J45" i="46"/>
  <c r="D48" i="46"/>
  <c r="F48" i="46"/>
  <c r="J48" i="46"/>
  <c r="N48" i="46"/>
  <c r="H48" i="46"/>
  <c r="L48" i="46"/>
  <c r="E48" i="46"/>
  <c r="M48" i="46"/>
  <c r="G48" i="46"/>
  <c r="O48" i="46"/>
  <c r="I48" i="46"/>
  <c r="D52" i="46"/>
  <c r="G52" i="46"/>
  <c r="K52" i="46"/>
  <c r="O52" i="46"/>
  <c r="H52" i="46"/>
  <c r="L52" i="46"/>
  <c r="E52" i="46"/>
  <c r="I52" i="46"/>
  <c r="M52" i="46"/>
  <c r="D56" i="46"/>
  <c r="G56" i="46"/>
  <c r="K56" i="46"/>
  <c r="O56" i="46"/>
  <c r="H56" i="46"/>
  <c r="L56" i="46"/>
  <c r="E56" i="46"/>
  <c r="I56" i="46"/>
  <c r="M56" i="46"/>
  <c r="D60" i="46"/>
  <c r="G60" i="46"/>
  <c r="K60" i="46"/>
  <c r="O60" i="46"/>
  <c r="H60" i="46"/>
  <c r="L60" i="46"/>
  <c r="E60" i="46"/>
  <c r="I60" i="46"/>
  <c r="M60" i="46"/>
  <c r="D63" i="46"/>
  <c r="F63" i="46"/>
  <c r="J63" i="46"/>
  <c r="N63" i="46"/>
  <c r="G63" i="46"/>
  <c r="K63" i="46"/>
  <c r="O63" i="46"/>
  <c r="H63" i="46"/>
  <c r="L63" i="46"/>
  <c r="D66" i="46"/>
  <c r="E66" i="46"/>
  <c r="I66" i="46"/>
  <c r="M66" i="46"/>
  <c r="F66" i="46"/>
  <c r="J66" i="46"/>
  <c r="N66" i="46"/>
  <c r="G66" i="46"/>
  <c r="K66" i="46"/>
  <c r="O66" i="46"/>
  <c r="D70" i="46"/>
  <c r="E70" i="46"/>
  <c r="I70" i="46"/>
  <c r="M70" i="46"/>
  <c r="F70" i="46"/>
  <c r="J70" i="46"/>
  <c r="N70" i="46"/>
  <c r="G70" i="46"/>
  <c r="K70" i="46"/>
  <c r="O70" i="46"/>
  <c r="D73" i="46"/>
  <c r="H73" i="46"/>
  <c r="L73" i="46"/>
  <c r="E73" i="46"/>
  <c r="I73" i="46"/>
  <c r="M73" i="46"/>
  <c r="F73" i="46"/>
  <c r="J73" i="46"/>
  <c r="N73" i="46"/>
  <c r="D76" i="46"/>
  <c r="G76" i="46"/>
  <c r="K76" i="46"/>
  <c r="O76" i="46"/>
  <c r="H76" i="46"/>
  <c r="L76" i="46"/>
  <c r="E76" i="46"/>
  <c r="I76" i="46"/>
  <c r="M76" i="46"/>
  <c r="D82" i="46"/>
  <c r="E82" i="46"/>
  <c r="I82" i="46"/>
  <c r="M82" i="46"/>
  <c r="F82" i="46"/>
  <c r="J82" i="46"/>
  <c r="N82" i="46"/>
  <c r="G82" i="46"/>
  <c r="K82" i="46"/>
  <c r="O82" i="46"/>
  <c r="D85" i="46"/>
  <c r="H85" i="46"/>
  <c r="L85" i="46"/>
  <c r="E85" i="46"/>
  <c r="I85" i="46"/>
  <c r="M85" i="46"/>
  <c r="F85" i="46"/>
  <c r="J85" i="46"/>
  <c r="N85" i="46"/>
  <c r="D93" i="46"/>
  <c r="H93" i="46"/>
  <c r="L93" i="46"/>
  <c r="E93" i="46"/>
  <c r="I93" i="46"/>
  <c r="M93" i="46"/>
  <c r="F93" i="46"/>
  <c r="J93" i="46"/>
  <c r="N93" i="46"/>
  <c r="H98" i="46"/>
  <c r="O93" i="46"/>
  <c r="E91" i="46"/>
  <c r="F88" i="46"/>
  <c r="L86" i="46"/>
  <c r="G85" i="46"/>
  <c r="M83" i="46"/>
  <c r="H82" i="46"/>
  <c r="N80" i="46"/>
  <c r="I79" i="46"/>
  <c r="O77" i="46"/>
  <c r="J76" i="46"/>
  <c r="E75" i="46"/>
  <c r="K73" i="46"/>
  <c r="F72" i="46"/>
  <c r="L70" i="46"/>
  <c r="G69" i="46"/>
  <c r="M67" i="46"/>
  <c r="H66" i="46"/>
  <c r="N64" i="46"/>
  <c r="I63" i="46"/>
  <c r="O61" i="46"/>
  <c r="J60" i="46"/>
  <c r="E59" i="46"/>
  <c r="K57" i="46"/>
  <c r="F56" i="46"/>
  <c r="L54" i="46"/>
  <c r="G53" i="46"/>
  <c r="M51" i="46"/>
  <c r="H49" i="46"/>
  <c r="I46" i="46"/>
  <c r="H43" i="46"/>
  <c r="J37" i="46"/>
  <c r="L31" i="46"/>
  <c r="N25" i="46"/>
  <c r="O18" i="46"/>
  <c r="D35" i="46"/>
  <c r="M100" i="46"/>
  <c r="I100" i="46"/>
  <c r="E100" i="46"/>
  <c r="L99" i="46"/>
  <c r="H99" i="46"/>
  <c r="N97" i="46"/>
  <c r="J97" i="46"/>
  <c r="F97" i="46"/>
  <c r="M96" i="46"/>
  <c r="I96" i="46"/>
  <c r="E96" i="46"/>
  <c r="L95" i="46"/>
  <c r="H95" i="46"/>
  <c r="O94" i="46"/>
  <c r="K94" i="46"/>
  <c r="G94" i="46"/>
  <c r="M92" i="46"/>
  <c r="I92" i="46"/>
  <c r="E92" i="46"/>
  <c r="N89" i="46"/>
  <c r="J89" i="46"/>
  <c r="F89" i="46"/>
  <c r="L100" i="46"/>
  <c r="H100" i="46"/>
  <c r="O99" i="46"/>
  <c r="K99" i="46"/>
  <c r="G99" i="46"/>
  <c r="M97" i="46"/>
  <c r="I97" i="46"/>
  <c r="E97" i="46"/>
  <c r="L96" i="46"/>
  <c r="H96" i="46"/>
  <c r="O95" i="46"/>
  <c r="K95" i="46"/>
  <c r="G95" i="46"/>
  <c r="N94" i="46"/>
  <c r="J94" i="46"/>
  <c r="F94" i="46"/>
  <c r="L92" i="46"/>
  <c r="H92" i="46"/>
  <c r="M89" i="46"/>
  <c r="I89" i="46"/>
  <c r="E89" i="46"/>
  <c r="O100" i="46"/>
  <c r="K100" i="46"/>
  <c r="G100" i="46"/>
  <c r="N99" i="46"/>
  <c r="J99" i="46"/>
  <c r="L97" i="46"/>
  <c r="H97" i="46"/>
  <c r="O96" i="46"/>
  <c r="K96" i="46"/>
  <c r="G96" i="46"/>
  <c r="N95" i="46"/>
  <c r="J95" i="46"/>
  <c r="F95" i="46"/>
  <c r="M94" i="46"/>
  <c r="I94" i="46"/>
  <c r="E94" i="46"/>
  <c r="O92" i="46"/>
  <c r="K92" i="46"/>
  <c r="G92" i="46"/>
  <c r="L89" i="46"/>
  <c r="H89" i="46"/>
  <c r="B27" i="46" l="1"/>
  <c r="B11" i="46"/>
  <c r="B57" i="46"/>
  <c r="B41" i="46"/>
  <c r="N42" i="20" s="1"/>
  <c r="B21" i="46"/>
  <c r="B49" i="46"/>
  <c r="B19" i="46"/>
  <c r="B3" i="46"/>
  <c r="B8" i="46"/>
  <c r="B25" i="46"/>
  <c r="B7" i="46"/>
  <c r="B24" i="46"/>
  <c r="B16" i="46"/>
  <c r="B6" i="46"/>
  <c r="B29" i="46"/>
  <c r="B13" i="46"/>
  <c r="B10" i="46"/>
  <c r="B5" i="46"/>
  <c r="B26" i="46"/>
  <c r="B4" i="46"/>
  <c r="B31" i="46"/>
  <c r="B14" i="46"/>
  <c r="B99" i="46"/>
  <c r="B94" i="46"/>
  <c r="B86" i="46"/>
  <c r="B78" i="46"/>
  <c r="B75" i="46"/>
  <c r="B73" i="46"/>
  <c r="B69" i="46"/>
  <c r="B65" i="46"/>
  <c r="B61" i="46"/>
  <c r="B53" i="46"/>
  <c r="B45" i="46"/>
  <c r="B37" i="46"/>
  <c r="N30" i="20" s="1"/>
  <c r="B17" i="46"/>
  <c r="B2" i="46"/>
  <c r="B20" i="46"/>
  <c r="B12" i="46"/>
  <c r="B23" i="46"/>
  <c r="B70" i="46"/>
  <c r="B40" i="46"/>
  <c r="N37" i="20" s="1"/>
  <c r="B30" i="46"/>
  <c r="B22" i="46"/>
  <c r="N11" i="20" s="1"/>
  <c r="B18" i="46"/>
  <c r="B28" i="46"/>
  <c r="B15" i="46"/>
  <c r="B92" i="46"/>
  <c r="B47" i="46"/>
  <c r="B43" i="46"/>
  <c r="N38" i="20" s="1"/>
  <c r="B33" i="46"/>
  <c r="N35" i="20" s="1"/>
  <c r="B85" i="46"/>
  <c r="B77" i="46"/>
  <c r="B93" i="46"/>
  <c r="B62" i="46"/>
  <c r="B59" i="46"/>
  <c r="B36" i="46"/>
  <c r="N23" i="20" s="1"/>
  <c r="B74" i="46"/>
  <c r="B66" i="46"/>
  <c r="B32" i="46"/>
  <c r="N28" i="20" s="1"/>
  <c r="B56" i="46"/>
  <c r="B83" i="46"/>
  <c r="B91" i="46"/>
  <c r="B44" i="46"/>
  <c r="N6" i="20" s="1"/>
  <c r="B54" i="46"/>
  <c r="B87" i="46"/>
  <c r="B88" i="46"/>
  <c r="B64" i="46"/>
  <c r="B50" i="46"/>
  <c r="B71" i="46"/>
  <c r="B52" i="46"/>
  <c r="B38" i="46"/>
  <c r="N43" i="20" s="1"/>
  <c r="B60" i="46"/>
  <c r="B34" i="46"/>
  <c r="N29" i="20" s="1"/>
  <c r="B46" i="46"/>
  <c r="B81" i="46"/>
  <c r="B100" i="46"/>
  <c r="B98" i="46"/>
  <c r="B90" i="46"/>
  <c r="B82" i="46"/>
  <c r="B84" i="46"/>
  <c r="B58" i="46"/>
  <c r="B97" i="46"/>
  <c r="B68" i="46"/>
  <c r="B89" i="46"/>
  <c r="B35" i="46"/>
  <c r="N34" i="20" s="1"/>
  <c r="B63" i="46"/>
  <c r="B67" i="46"/>
  <c r="B95" i="46"/>
  <c r="B79" i="46"/>
  <c r="B96" i="46"/>
  <c r="B80" i="46"/>
  <c r="B55" i="46"/>
  <c r="B76" i="46"/>
  <c r="B72" i="46"/>
  <c r="B51" i="46"/>
  <c r="B48" i="46"/>
  <c r="B39" i="46"/>
  <c r="N31" i="20" s="1"/>
  <c r="B42" i="46"/>
  <c r="N33" i="20" s="1"/>
  <c r="C45" i="20"/>
  <c r="D45" i="20"/>
  <c r="E45" i="20"/>
  <c r="F45" i="20"/>
  <c r="G45" i="20"/>
  <c r="H45" i="20"/>
  <c r="I45" i="20"/>
  <c r="J45" i="20"/>
  <c r="M45" i="20"/>
  <c r="M5" i="20"/>
  <c r="C5" i="20"/>
  <c r="D5" i="20"/>
  <c r="E5" i="20"/>
  <c r="F5" i="20"/>
  <c r="G5" i="20"/>
  <c r="H5" i="20"/>
  <c r="I5" i="20"/>
  <c r="J5" i="20"/>
  <c r="C13" i="20"/>
  <c r="D13" i="20"/>
  <c r="E13" i="20"/>
  <c r="F13" i="20"/>
  <c r="G13" i="20"/>
  <c r="H13" i="20"/>
  <c r="I13" i="20"/>
  <c r="J13" i="20"/>
  <c r="M13" i="20"/>
  <c r="C19" i="20"/>
  <c r="D19" i="20"/>
  <c r="E19" i="20"/>
  <c r="F19" i="20"/>
  <c r="G19" i="20"/>
  <c r="H19" i="20"/>
  <c r="I19" i="20"/>
  <c r="J19" i="20"/>
  <c r="M19" i="20"/>
  <c r="C27" i="20"/>
  <c r="D27" i="20"/>
  <c r="E27" i="20"/>
  <c r="F27" i="20"/>
  <c r="G27" i="20"/>
  <c r="H27" i="20"/>
  <c r="I27" i="20"/>
  <c r="J27" i="20"/>
  <c r="M27" i="20"/>
  <c r="C15" i="20"/>
  <c r="D15" i="20"/>
  <c r="E15" i="20"/>
  <c r="F15" i="20"/>
  <c r="G15" i="20"/>
  <c r="H15" i="20"/>
  <c r="I15" i="20"/>
  <c r="J15" i="20"/>
  <c r="M15" i="20"/>
  <c r="B11" i="31"/>
  <c r="B19" i="20"/>
  <c r="O19" i="20"/>
  <c r="P19" i="20"/>
  <c r="Q19" i="20"/>
  <c r="B10" i="20"/>
  <c r="C10" i="20"/>
  <c r="D10" i="20"/>
  <c r="E10" i="20"/>
  <c r="F10" i="20"/>
  <c r="G10" i="20"/>
  <c r="H10" i="20"/>
  <c r="I10" i="20"/>
  <c r="J10" i="20"/>
  <c r="M10" i="20"/>
  <c r="O10" i="20"/>
  <c r="P10" i="20"/>
  <c r="Q10" i="20"/>
  <c r="B25" i="20"/>
  <c r="C25" i="20"/>
  <c r="D25" i="20"/>
  <c r="E25" i="20"/>
  <c r="F25" i="20"/>
  <c r="G25" i="20"/>
  <c r="H25" i="20"/>
  <c r="I25" i="20"/>
  <c r="J25" i="20"/>
  <c r="M25" i="20"/>
  <c r="O25" i="20"/>
  <c r="P25" i="20"/>
  <c r="Q25" i="20"/>
  <c r="B8" i="20"/>
  <c r="C8" i="20"/>
  <c r="D8" i="20"/>
  <c r="E8" i="20"/>
  <c r="F8" i="20"/>
  <c r="G8" i="20"/>
  <c r="H8" i="20"/>
  <c r="I8" i="20"/>
  <c r="J8" i="20"/>
  <c r="M8" i="20"/>
  <c r="O8" i="20"/>
  <c r="P8" i="20"/>
  <c r="Q8" i="20"/>
  <c r="Q41" i="20"/>
  <c r="Q16" i="20"/>
  <c r="Q21" i="20"/>
  <c r="Q39" i="20"/>
  <c r="Q4" i="20"/>
  <c r="Q22" i="20"/>
  <c r="Q46" i="20"/>
  <c r="Q40" i="20"/>
  <c r="Q44" i="20"/>
  <c r="Q5" i="20"/>
  <c r="Q13" i="20"/>
  <c r="Q14" i="20"/>
  <c r="Q32" i="20"/>
  <c r="Q11" i="20"/>
  <c r="Q15" i="20"/>
  <c r="Q45" i="20"/>
  <c r="Q9" i="20"/>
  <c r="Q18" i="20"/>
  <c r="Q17" i="20"/>
  <c r="Q12" i="20"/>
  <c r="Q20" i="20"/>
  <c r="Q7" i="20"/>
  <c r="Q36" i="20"/>
  <c r="Q27" i="20"/>
  <c r="Q24" i="20"/>
  <c r="Q26" i="20"/>
  <c r="P41" i="20"/>
  <c r="P16" i="20"/>
  <c r="P21" i="20"/>
  <c r="P39" i="20"/>
  <c r="P4" i="20"/>
  <c r="P22" i="20"/>
  <c r="P46" i="20"/>
  <c r="P40" i="20"/>
  <c r="P44" i="20"/>
  <c r="P5" i="20"/>
  <c r="P13" i="20"/>
  <c r="P14" i="20"/>
  <c r="P32" i="20"/>
  <c r="P11" i="20"/>
  <c r="P15" i="20"/>
  <c r="P45" i="20"/>
  <c r="P9" i="20"/>
  <c r="P18" i="20"/>
  <c r="P17" i="20"/>
  <c r="P12" i="20"/>
  <c r="P20" i="20"/>
  <c r="P7" i="20"/>
  <c r="P36" i="20"/>
  <c r="P27" i="20"/>
  <c r="P24" i="20"/>
  <c r="P26" i="20"/>
  <c r="O26" i="20"/>
  <c r="O32" i="20"/>
  <c r="O45" i="20"/>
  <c r="O14" i="20"/>
  <c r="O5" i="20"/>
  <c r="O21" i="20"/>
  <c r="O4" i="20"/>
  <c r="O40" i="20"/>
  <c r="O16" i="20"/>
  <c r="O44" i="20"/>
  <c r="O41" i="20"/>
  <c r="O39" i="20"/>
  <c r="O46" i="20"/>
  <c r="O12" i="20"/>
  <c r="O11" i="20"/>
  <c r="O20" i="20"/>
  <c r="O13" i="20"/>
  <c r="O15" i="20"/>
  <c r="O9" i="20"/>
  <c r="O7" i="20"/>
  <c r="O36" i="20"/>
  <c r="O22" i="20"/>
  <c r="O24" i="20"/>
  <c r="O17" i="20"/>
  <c r="O18" i="20"/>
  <c r="O27" i="20"/>
  <c r="Q2" i="18"/>
  <c r="Z2" i="18"/>
  <c r="X2" i="18"/>
  <c r="V2" i="18"/>
  <c r="B17" i="20"/>
  <c r="C17" i="20"/>
  <c r="D17" i="20"/>
  <c r="E17" i="20"/>
  <c r="F17" i="20"/>
  <c r="G17" i="20"/>
  <c r="H17" i="20"/>
  <c r="I17" i="20"/>
  <c r="J17" i="20"/>
  <c r="M17" i="20"/>
  <c r="B11" i="20"/>
  <c r="C11" i="20"/>
  <c r="D11" i="20"/>
  <c r="E11" i="20"/>
  <c r="F11" i="20"/>
  <c r="G11" i="20"/>
  <c r="H11" i="20"/>
  <c r="I11" i="20"/>
  <c r="J11" i="20"/>
  <c r="M11" i="20"/>
  <c r="B27" i="20"/>
  <c r="M9" i="20"/>
  <c r="B5" i="20"/>
  <c r="B7" i="20"/>
  <c r="C7" i="20"/>
  <c r="D7" i="20"/>
  <c r="E7" i="20"/>
  <c r="F7" i="20"/>
  <c r="G7" i="20"/>
  <c r="H7" i="20"/>
  <c r="I7" i="20"/>
  <c r="J7" i="20"/>
  <c r="M7" i="20"/>
  <c r="B18" i="20"/>
  <c r="C18" i="20"/>
  <c r="D18" i="20"/>
  <c r="E18" i="20"/>
  <c r="F18" i="20"/>
  <c r="G18" i="20"/>
  <c r="H18" i="20"/>
  <c r="I18" i="20"/>
  <c r="J18" i="20"/>
  <c r="M18" i="20"/>
  <c r="Q18" i="18"/>
  <c r="AD18" i="18" s="1"/>
  <c r="Q28" i="18"/>
  <c r="Q8" i="18"/>
  <c r="B28" i="18"/>
  <c r="B18" i="18"/>
  <c r="B8" i="18"/>
  <c r="E15" i="18" s="1"/>
  <c r="E7" i="35"/>
  <c r="E6" i="35"/>
  <c r="E5" i="35"/>
  <c r="E4" i="35"/>
  <c r="D7" i="35"/>
  <c r="D6" i="35"/>
  <c r="D5" i="35"/>
  <c r="D4" i="35"/>
  <c r="M4" i="20"/>
  <c r="M21" i="20"/>
  <c r="M32" i="20"/>
  <c r="M20" i="20"/>
  <c r="M46" i="20"/>
  <c r="M24" i="20"/>
  <c r="M40" i="20"/>
  <c r="M12" i="20"/>
  <c r="M26" i="20"/>
  <c r="M16" i="20"/>
  <c r="M22" i="20"/>
  <c r="M44" i="20"/>
  <c r="M41" i="20"/>
  <c r="M36" i="20"/>
  <c r="M39" i="20"/>
  <c r="M14" i="20"/>
  <c r="B45" i="20"/>
  <c r="B12" i="20"/>
  <c r="B40" i="20"/>
  <c r="B24" i="20"/>
  <c r="B41" i="20"/>
  <c r="B9" i="20"/>
  <c r="B16" i="20"/>
  <c r="B44" i="20"/>
  <c r="B46" i="20"/>
  <c r="B22" i="20"/>
  <c r="B39" i="20"/>
  <c r="B36" i="20"/>
  <c r="B26" i="20"/>
  <c r="B14" i="20"/>
  <c r="B15" i="20"/>
  <c r="B4" i="20"/>
  <c r="B21" i="20"/>
  <c r="B32" i="20"/>
  <c r="B20" i="20"/>
  <c r="B13" i="20"/>
  <c r="J16" i="20"/>
  <c r="J40" i="20"/>
  <c r="J9" i="20"/>
  <c r="J36" i="20"/>
  <c r="J39" i="20"/>
  <c r="J41" i="20"/>
  <c r="J26" i="20"/>
  <c r="J14" i="20"/>
  <c r="J22" i="20"/>
  <c r="J4" i="20"/>
  <c r="J24" i="20"/>
  <c r="J46" i="20"/>
  <c r="J44" i="20"/>
  <c r="J21" i="20"/>
  <c r="J32" i="20"/>
  <c r="J20" i="20"/>
  <c r="J12" i="20"/>
  <c r="I12" i="20"/>
  <c r="I16" i="20"/>
  <c r="I40" i="20"/>
  <c r="I9" i="20"/>
  <c r="I36" i="20"/>
  <c r="I39" i="20"/>
  <c r="I41" i="20"/>
  <c r="I26" i="20"/>
  <c r="I14" i="20"/>
  <c r="I22" i="20"/>
  <c r="I4" i="20"/>
  <c r="I24" i="20"/>
  <c r="I46" i="20"/>
  <c r="I44" i="20"/>
  <c r="I21" i="20"/>
  <c r="I32" i="20"/>
  <c r="I20" i="20"/>
  <c r="H12" i="20"/>
  <c r="H16" i="20"/>
  <c r="H40" i="20"/>
  <c r="H9" i="20"/>
  <c r="H36" i="20"/>
  <c r="H39" i="20"/>
  <c r="H41" i="20"/>
  <c r="H26" i="20"/>
  <c r="H14" i="20"/>
  <c r="H22" i="20"/>
  <c r="H4" i="20"/>
  <c r="H24" i="20"/>
  <c r="H46" i="20"/>
  <c r="H44" i="20"/>
  <c r="H21" i="20"/>
  <c r="H32" i="20"/>
  <c r="H20" i="20"/>
  <c r="G12" i="20"/>
  <c r="G16" i="20"/>
  <c r="G40" i="20"/>
  <c r="G9" i="20"/>
  <c r="G36" i="20"/>
  <c r="G39" i="20"/>
  <c r="G41" i="20"/>
  <c r="G26" i="20"/>
  <c r="G14" i="20"/>
  <c r="G22" i="20"/>
  <c r="G4" i="20"/>
  <c r="G24" i="20"/>
  <c r="G46" i="20"/>
  <c r="G44" i="20"/>
  <c r="G21" i="20"/>
  <c r="G32" i="20"/>
  <c r="G20" i="20"/>
  <c r="F12" i="20"/>
  <c r="F16" i="20"/>
  <c r="F40" i="20"/>
  <c r="F9" i="20"/>
  <c r="F36" i="20"/>
  <c r="F39" i="20"/>
  <c r="F41" i="20"/>
  <c r="F26" i="20"/>
  <c r="F14" i="20"/>
  <c r="F22" i="20"/>
  <c r="F4" i="20"/>
  <c r="F24" i="20"/>
  <c r="F46" i="20"/>
  <c r="F44" i="20"/>
  <c r="F21" i="20"/>
  <c r="F32" i="20"/>
  <c r="F20" i="20"/>
  <c r="E12" i="20"/>
  <c r="E16" i="20"/>
  <c r="E40" i="20"/>
  <c r="E9" i="20"/>
  <c r="E36" i="20"/>
  <c r="E39" i="20"/>
  <c r="E41" i="20"/>
  <c r="E26" i="20"/>
  <c r="E14" i="20"/>
  <c r="E22" i="20"/>
  <c r="E4" i="20"/>
  <c r="E24" i="20"/>
  <c r="E46" i="20"/>
  <c r="E44" i="20"/>
  <c r="E21" i="20"/>
  <c r="E32" i="20"/>
  <c r="E20" i="20"/>
  <c r="D12" i="20"/>
  <c r="D16" i="20"/>
  <c r="D40" i="20"/>
  <c r="D9" i="20"/>
  <c r="D36" i="20"/>
  <c r="D39" i="20"/>
  <c r="D41" i="20"/>
  <c r="D26" i="20"/>
  <c r="D14" i="20"/>
  <c r="D22" i="20"/>
  <c r="D4" i="20"/>
  <c r="D24" i="20"/>
  <c r="D46" i="20"/>
  <c r="D44" i="20"/>
  <c r="D21" i="20"/>
  <c r="D32" i="20"/>
  <c r="D20" i="20"/>
  <c r="C12" i="20"/>
  <c r="C40" i="20"/>
  <c r="C9" i="20"/>
  <c r="C36" i="20"/>
  <c r="C39" i="20"/>
  <c r="C41" i="20"/>
  <c r="C16" i="20"/>
  <c r="C26" i="20"/>
  <c r="C14" i="20"/>
  <c r="C22" i="20"/>
  <c r="C4" i="20"/>
  <c r="C24" i="20"/>
  <c r="C46" i="20"/>
  <c r="C44" i="20"/>
  <c r="C21" i="20"/>
  <c r="C32" i="20"/>
  <c r="C20" i="20"/>
  <c r="B9" i="19"/>
  <c r="B8" i="19"/>
  <c r="F6" i="11"/>
  <c r="I6" i="18" s="1"/>
  <c r="G6" i="11"/>
  <c r="J6" i="18" s="1"/>
  <c r="H6" i="11"/>
  <c r="K6" i="18" s="1"/>
  <c r="E6" i="11"/>
  <c r="H6" i="18" s="1"/>
  <c r="F5" i="11"/>
  <c r="G5" i="11"/>
  <c r="H5" i="11"/>
  <c r="E5" i="11"/>
  <c r="C4" i="11"/>
  <c r="D4" i="11"/>
  <c r="E4" i="11"/>
  <c r="H5" i="18" s="1"/>
  <c r="F4" i="11"/>
  <c r="I5" i="18" s="1"/>
  <c r="G4" i="11"/>
  <c r="J5" i="18" s="1"/>
  <c r="H4" i="11"/>
  <c r="K5" i="18" s="1"/>
  <c r="I4" i="11"/>
  <c r="C3" i="11"/>
  <c r="D3" i="11"/>
  <c r="E3" i="11"/>
  <c r="H4" i="18" s="1"/>
  <c r="F3" i="11"/>
  <c r="I4" i="18" s="1"/>
  <c r="G3" i="11"/>
  <c r="J4" i="18" s="1"/>
  <c r="H3" i="11"/>
  <c r="K4" i="18" s="1"/>
  <c r="I3" i="11"/>
  <c r="C2" i="11"/>
  <c r="F3" i="18" s="1"/>
  <c r="D2" i="11"/>
  <c r="G3" i="18" s="1"/>
  <c r="E2" i="11"/>
  <c r="H3" i="18" s="1"/>
  <c r="F2" i="11"/>
  <c r="I3" i="18" s="1"/>
  <c r="G2" i="11"/>
  <c r="J3" i="18" s="1"/>
  <c r="H2" i="11"/>
  <c r="K3" i="18" s="1"/>
  <c r="I2" i="11"/>
  <c r="L3" i="18" s="1"/>
  <c r="B4" i="11"/>
  <c r="B3" i="11"/>
  <c r="B2" i="11"/>
  <c r="E3" i="18" s="1"/>
  <c r="M4" i="19"/>
  <c r="L4" i="19"/>
  <c r="K4" i="19"/>
  <c r="J4" i="19"/>
  <c r="H4" i="19"/>
  <c r="G4" i="19"/>
  <c r="F4" i="19"/>
  <c r="E4" i="19"/>
  <c r="E1" i="12"/>
  <c r="E8" i="12"/>
  <c r="E15" i="12"/>
  <c r="E23" i="12"/>
  <c r="E30" i="12"/>
  <c r="E38" i="12"/>
  <c r="E2" i="12"/>
  <c r="E3" i="12"/>
  <c r="E4" i="12"/>
  <c r="E9" i="12"/>
  <c r="E10" i="12"/>
  <c r="E11" i="12"/>
  <c r="E16" i="12"/>
  <c r="E17" i="12"/>
  <c r="E18" i="12"/>
  <c r="E19" i="12"/>
  <c r="E24" i="12"/>
  <c r="E25" i="12"/>
  <c r="E26" i="12"/>
  <c r="E31" i="12"/>
  <c r="E32" i="12"/>
  <c r="E33" i="12"/>
  <c r="E34" i="12"/>
  <c r="E39" i="12"/>
  <c r="E40" i="12"/>
  <c r="E41" i="12"/>
  <c r="D4" i="12"/>
  <c r="D9" i="12"/>
  <c r="D10" i="12"/>
  <c r="D11" i="12"/>
  <c r="D16" i="12"/>
  <c r="D17" i="12"/>
  <c r="D18" i="12"/>
  <c r="D19" i="12"/>
  <c r="D24" i="12"/>
  <c r="D25" i="12"/>
  <c r="D26" i="12"/>
  <c r="D31" i="12"/>
  <c r="D32" i="12"/>
  <c r="D33" i="12"/>
  <c r="D34" i="12"/>
  <c r="D39" i="12"/>
  <c r="D40" i="12"/>
  <c r="D41" i="12"/>
  <c r="D3" i="12"/>
  <c r="D2" i="12"/>
  <c r="F10" i="19"/>
  <c r="H19" i="19"/>
  <c r="N8" i="20" l="1"/>
  <c r="N10" i="20"/>
  <c r="N19" i="20"/>
  <c r="N45" i="20"/>
  <c r="N7" i="20"/>
  <c r="N13" i="20"/>
  <c r="N5" i="20"/>
  <c r="N15" i="20"/>
  <c r="N21" i="20"/>
  <c r="N22" i="20"/>
  <c r="N44" i="20"/>
  <c r="N40" i="20"/>
  <c r="N24" i="20"/>
  <c r="N25" i="20"/>
  <c r="N14" i="20"/>
  <c r="N27" i="20"/>
  <c r="N26" i="20"/>
  <c r="N16" i="20"/>
  <c r="N9" i="20"/>
  <c r="N4" i="20"/>
  <c r="N36" i="20"/>
  <c r="N41" i="20"/>
  <c r="N32" i="20"/>
  <c r="N12" i="20"/>
  <c r="N17" i="20"/>
  <c r="N46" i="20"/>
  <c r="N20" i="20"/>
  <c r="N18" i="20"/>
  <c r="N39" i="20"/>
  <c r="R4" i="19"/>
  <c r="T4" i="19"/>
  <c r="Q4" i="19"/>
  <c r="K4" i="20"/>
  <c r="K26" i="20"/>
  <c r="P4" i="19"/>
  <c r="M24" i="19"/>
  <c r="K24" i="19"/>
  <c r="G24" i="19"/>
  <c r="I24" i="19"/>
  <c r="E24" i="19"/>
  <c r="K16" i="20"/>
  <c r="K40" i="20"/>
  <c r="C21" i="18"/>
  <c r="L25" i="18"/>
  <c r="C20" i="18"/>
  <c r="G18" i="18"/>
  <c r="K18" i="18"/>
  <c r="R11" i="18"/>
  <c r="Z16" i="18"/>
  <c r="Z8" i="18"/>
  <c r="V15" i="18"/>
  <c r="U15" i="18"/>
  <c r="R10" i="18"/>
  <c r="J15" i="18"/>
  <c r="L8" i="18"/>
  <c r="J24" i="19"/>
  <c r="K45" i="20"/>
  <c r="K41" i="20"/>
  <c r="K19" i="20"/>
  <c r="W26" i="18"/>
  <c r="Y36" i="18"/>
  <c r="W25" i="18"/>
  <c r="Z36" i="18"/>
  <c r="X26" i="18"/>
  <c r="V18" i="18"/>
  <c r="AA25" i="18"/>
  <c r="R20" i="18"/>
  <c r="Z18" i="18"/>
  <c r="U25" i="18"/>
  <c r="R21" i="18"/>
  <c r="X25" i="18"/>
  <c r="Y25" i="18"/>
  <c r="V25" i="18"/>
  <c r="T25" i="18"/>
  <c r="W36" i="18"/>
  <c r="Z26" i="18"/>
  <c r="AA18" i="18"/>
  <c r="X36" i="18"/>
  <c r="Y26" i="18"/>
  <c r="Z25" i="18"/>
  <c r="Z35" i="18"/>
  <c r="X35" i="18"/>
  <c r="Y35" i="18"/>
  <c r="R30" i="18"/>
  <c r="Z28" i="18"/>
  <c r="AA35" i="18"/>
  <c r="AA28" i="18"/>
  <c r="N36" i="18"/>
  <c r="H36" i="18"/>
  <c r="C30" i="18"/>
  <c r="K28" i="18"/>
  <c r="K36" i="18"/>
  <c r="L28" i="18"/>
  <c r="J36" i="18"/>
  <c r="C31" i="18"/>
  <c r="I36" i="18"/>
  <c r="O28" i="18"/>
  <c r="G28" i="18"/>
  <c r="K5" i="20"/>
  <c r="J16" i="18"/>
  <c r="G15" i="18"/>
  <c r="K15" i="18"/>
  <c r="C11" i="18"/>
  <c r="K25" i="20"/>
  <c r="G8" i="18"/>
  <c r="AA15" i="18"/>
  <c r="K39" i="20"/>
  <c r="F24" i="19"/>
  <c r="H24" i="19"/>
  <c r="O24" i="19"/>
  <c r="N24" i="19"/>
  <c r="V8" i="18"/>
  <c r="F15" i="18"/>
  <c r="L15" i="18"/>
  <c r="I16" i="18"/>
  <c r="AA8" i="18"/>
  <c r="X16" i="18"/>
  <c r="X15" i="18"/>
  <c r="K12" i="20"/>
  <c r="K21" i="20"/>
  <c r="K7" i="20"/>
  <c r="L24" i="19"/>
  <c r="P24" i="19"/>
  <c r="K8" i="18"/>
  <c r="L18" i="18"/>
  <c r="AD8" i="18"/>
  <c r="I15" i="18"/>
  <c r="C10" i="18"/>
  <c r="O8" i="18"/>
  <c r="Y15" i="18"/>
  <c r="Z15" i="18"/>
  <c r="K32" i="20"/>
  <c r="K46" i="20"/>
  <c r="K24" i="20"/>
  <c r="K14" i="20"/>
  <c r="K9" i="20"/>
  <c r="K44" i="20"/>
  <c r="K3" i="11"/>
  <c r="L4" i="11"/>
  <c r="K17" i="20"/>
  <c r="K27" i="20"/>
  <c r="K11" i="20"/>
  <c r="K8" i="20"/>
  <c r="K10" i="20"/>
  <c r="K15" i="20"/>
  <c r="K13" i="20"/>
  <c r="K18" i="20"/>
  <c r="K20" i="20"/>
  <c r="K22" i="20"/>
  <c r="K36" i="20"/>
  <c r="K2" i="11"/>
  <c r="L3" i="11"/>
  <c r="M4" i="11"/>
  <c r="U35" i="18"/>
  <c r="I26" i="18"/>
  <c r="W35" i="18"/>
  <c r="K26" i="18"/>
  <c r="T35" i="18"/>
  <c r="W16" i="18"/>
  <c r="H26" i="18"/>
  <c r="Y16" i="18"/>
  <c r="R31" i="18"/>
  <c r="N16" i="18"/>
  <c r="K25" i="18"/>
  <c r="I25" i="18"/>
  <c r="H25" i="18"/>
  <c r="J25" i="18"/>
  <c r="V35" i="18"/>
  <c r="AC36" i="18"/>
  <c r="V28" i="18"/>
  <c r="H15" i="18"/>
  <c r="H16" i="18"/>
  <c r="K16" i="18"/>
  <c r="O18" i="18"/>
  <c r="AD28" i="18"/>
  <c r="G25" i="18"/>
  <c r="W15" i="18"/>
  <c r="E25" i="18"/>
  <c r="T15" i="18"/>
  <c r="F25" i="18"/>
  <c r="J26" i="18"/>
  <c r="K4" i="11"/>
  <c r="M2" i="11"/>
  <c r="N26" i="18"/>
  <c r="AC16" i="18"/>
  <c r="L2" i="11"/>
  <c r="M3" i="11"/>
  <c r="AC26" i="18"/>
  <c r="L23" i="19"/>
  <c r="G23" i="19"/>
  <c r="O23" i="19"/>
  <c r="H23" i="19"/>
  <c r="M23" i="19"/>
  <c r="P23" i="19"/>
  <c r="K23" i="19"/>
  <c r="I23" i="19"/>
  <c r="F23" i="19"/>
  <c r="J23" i="19"/>
  <c r="N23" i="19"/>
  <c r="E23" i="19"/>
  <c r="G22" i="19"/>
  <c r="O22" i="19"/>
  <c r="L21" i="19"/>
  <c r="E18" i="19"/>
  <c r="L22" i="19"/>
  <c r="E22" i="19"/>
  <c r="O19" i="19"/>
  <c r="O17" i="19"/>
  <c r="O20" i="19"/>
  <c r="P18" i="19"/>
  <c r="E21" i="19"/>
  <c r="G21" i="19"/>
  <c r="N19" i="19"/>
  <c r="I17" i="19"/>
  <c r="F19" i="19"/>
  <c r="K17" i="19"/>
  <c r="H21" i="19"/>
  <c r="N17" i="19"/>
  <c r="K16" i="19"/>
  <c r="G14" i="19"/>
  <c r="H12" i="19"/>
  <c r="K13" i="19"/>
  <c r="O10" i="19"/>
  <c r="P15" i="19"/>
  <c r="Z12" i="18"/>
  <c r="F15" i="19"/>
  <c r="O15" i="19"/>
  <c r="J14" i="19"/>
  <c r="K14" i="19"/>
  <c r="M11" i="19"/>
  <c r="F16" i="19"/>
  <c r="N10" i="19"/>
  <c r="L11" i="19"/>
  <c r="M16" i="19"/>
  <c r="P12" i="19"/>
  <c r="J13" i="19"/>
  <c r="P13" i="19"/>
  <c r="G13" i="19"/>
  <c r="N13" i="19"/>
  <c r="F20" i="19"/>
  <c r="G20" i="19"/>
  <c r="P19" i="19"/>
  <c r="K18" i="19"/>
  <c r="K21" i="19"/>
  <c r="M19" i="19"/>
  <c r="P17" i="19"/>
  <c r="I22" i="19"/>
  <c r="F17" i="19"/>
  <c r="F11" i="19"/>
  <c r="J16" i="19"/>
  <c r="N14" i="19"/>
  <c r="L13" i="19"/>
  <c r="I13" i="19"/>
  <c r="J15" i="19"/>
  <c r="J10" i="19"/>
  <c r="H16" i="19"/>
  <c r="E16" i="19"/>
  <c r="N12" i="19"/>
  <c r="J22" i="19"/>
  <c r="I21" i="19"/>
  <c r="L19" i="19"/>
  <c r="M22" i="19"/>
  <c r="N20" i="19"/>
  <c r="K19" i="19"/>
  <c r="L20" i="19"/>
  <c r="P21" i="19"/>
  <c r="P16" i="19"/>
  <c r="G16" i="19"/>
  <c r="M12" i="19"/>
  <c r="O14" i="19"/>
  <c r="H14" i="19"/>
  <c r="G15" i="19"/>
  <c r="M13" i="19"/>
  <c r="L15" i="19"/>
  <c r="N15" i="19"/>
  <c r="P11" i="19"/>
  <c r="E13" i="19"/>
  <c r="O21" i="19"/>
  <c r="N21" i="19"/>
  <c r="J19" i="19"/>
  <c r="F22" i="19"/>
  <c r="J21" i="19"/>
  <c r="M20" i="19"/>
  <c r="J18" i="19"/>
  <c r="J17" i="19"/>
  <c r="I18" i="19"/>
  <c r="K22" i="19"/>
  <c r="H22" i="19"/>
  <c r="P20" i="19"/>
  <c r="M17" i="19"/>
  <c r="G17" i="19"/>
  <c r="E17" i="19"/>
  <c r="F21" i="19"/>
  <c r="I20" i="19"/>
  <c r="G18" i="19"/>
  <c r="E12" i="19"/>
  <c r="N11" i="19"/>
  <c r="L12" i="19"/>
  <c r="M15" i="19"/>
  <c r="K12" i="19"/>
  <c r="P10" i="19"/>
  <c r="I16" i="19"/>
  <c r="E14" i="19"/>
  <c r="F14" i="19"/>
  <c r="G11" i="19"/>
  <c r="L16" i="19"/>
  <c r="G10" i="19"/>
  <c r="N16" i="19"/>
  <c r="E15" i="19"/>
  <c r="O11" i="19"/>
  <c r="O13" i="19"/>
  <c r="I12" i="19"/>
  <c r="O12" i="19"/>
  <c r="L14" i="19"/>
  <c r="O16" i="19"/>
  <c r="F13" i="19"/>
  <c r="P22" i="19"/>
  <c r="I19" i="19"/>
  <c r="H20" i="19"/>
  <c r="L17" i="19"/>
  <c r="H17" i="19"/>
  <c r="K20" i="19"/>
  <c r="L18" i="19"/>
  <c r="F18" i="19"/>
  <c r="M21" i="19"/>
  <c r="H13" i="19"/>
  <c r="F12" i="19"/>
  <c r="J11" i="19"/>
  <c r="E11" i="19"/>
  <c r="H15" i="19"/>
  <c r="P14" i="19"/>
  <c r="K10" i="19"/>
  <c r="I14" i="19"/>
  <c r="H10" i="19"/>
  <c r="J12" i="19"/>
  <c r="Y33" i="18"/>
  <c r="J20" i="19"/>
  <c r="G19" i="19"/>
  <c r="N22" i="19"/>
  <c r="H18" i="19"/>
  <c r="M18" i="19"/>
  <c r="E20" i="19"/>
  <c r="N18" i="19"/>
  <c r="O18" i="19"/>
  <c r="E19" i="19"/>
  <c r="I11" i="19"/>
  <c r="E10" i="19"/>
  <c r="L10" i="19"/>
  <c r="K15" i="19"/>
  <c r="I15" i="19"/>
  <c r="H11" i="19"/>
  <c r="I10" i="19"/>
  <c r="G12" i="19"/>
  <c r="M14" i="19"/>
  <c r="K11" i="19"/>
  <c r="M10" i="19"/>
  <c r="O4" i="19" l="1"/>
  <c r="J4" i="11"/>
  <c r="J3" i="11"/>
  <c r="J2" i="11"/>
  <c r="O16" i="18"/>
  <c r="AD36" i="18"/>
  <c r="O36" i="18"/>
  <c r="AD16" i="18"/>
  <c r="AD26" i="18"/>
  <c r="O26" i="18"/>
  <c r="N5" i="18"/>
  <c r="M25" i="19"/>
  <c r="H25" i="19"/>
  <c r="K25" i="19"/>
  <c r="F25" i="19"/>
  <c r="I26" i="19"/>
  <c r="J26" i="19"/>
  <c r="J25" i="19"/>
  <c r="G25" i="19"/>
  <c r="L26" i="19"/>
  <c r="L25" i="19"/>
  <c r="K26" i="19"/>
  <c r="I25" i="19"/>
  <c r="N4" i="18"/>
  <c r="N14" i="18"/>
  <c r="L24" i="20" l="1"/>
  <c r="L32" i="20"/>
  <c r="L19" i="20"/>
  <c r="L36" i="20"/>
  <c r="L20" i="20"/>
  <c r="L15" i="20"/>
  <c r="L22" i="20"/>
  <c r="L16" i="20"/>
  <c r="L39" i="20"/>
  <c r="L45" i="20"/>
  <c r="L7" i="20"/>
  <c r="L44" i="20"/>
  <c r="L40" i="20"/>
  <c r="L18" i="20"/>
  <c r="L13" i="20"/>
  <c r="L46" i="20"/>
  <c r="L8" i="20"/>
  <c r="L41" i="20"/>
  <c r="L10" i="20"/>
  <c r="L12" i="20"/>
  <c r="L25" i="20"/>
  <c r="L9" i="20"/>
  <c r="L26" i="20"/>
  <c r="L4" i="20"/>
  <c r="L5" i="20"/>
  <c r="L27" i="20"/>
  <c r="L11" i="20"/>
  <c r="L17" i="20"/>
  <c r="L21" i="20"/>
  <c r="L14" i="20"/>
  <c r="AB36" i="18" l="1"/>
  <c r="AB16" i="18"/>
  <c r="S4" i="19"/>
  <c r="M26" i="18"/>
  <c r="M16" i="18"/>
  <c r="AB26" i="18"/>
  <c r="M36" i="18"/>
  <c r="M5" i="18"/>
  <c r="M4" i="18"/>
  <c r="Z22" i="18"/>
  <c r="E34" i="18"/>
  <c r="G23" i="18"/>
  <c r="U24" i="18"/>
  <c r="Z32" i="18"/>
  <c r="AB22" i="18"/>
  <c r="Y23" i="18"/>
  <c r="K23" i="18"/>
  <c r="M24" i="18"/>
  <c r="E32" i="18"/>
  <c r="T32" i="18"/>
  <c r="W33" i="18"/>
  <c r="J32" i="18"/>
  <c r="K24" i="18"/>
  <c r="S14" i="18"/>
  <c r="N24" i="18"/>
  <c r="V23" i="18"/>
  <c r="J34" i="18"/>
  <c r="AB13" i="18"/>
  <c r="W24" i="18"/>
  <c r="M34" i="18"/>
  <c r="U23" i="18"/>
  <c r="L33" i="18"/>
  <c r="H13" i="18"/>
  <c r="S24" i="18"/>
  <c r="X24" i="18"/>
  <c r="X22" i="18"/>
  <c r="U14" i="18"/>
  <c r="W32" i="18"/>
  <c r="W13" i="18"/>
  <c r="I14" i="18"/>
  <c r="O24" i="18"/>
  <c r="Z23" i="18"/>
  <c r="D22" i="18"/>
  <c r="T24" i="18"/>
  <c r="I32" i="18"/>
  <c r="F34" i="18"/>
  <c r="E24" i="18"/>
  <c r="K32" i="18"/>
  <c r="T33" i="18"/>
  <c r="S12" i="18"/>
  <c r="X32" i="18"/>
  <c r="H12" i="18"/>
  <c r="J33" i="18"/>
  <c r="L24" i="18"/>
  <c r="V34" i="18"/>
  <c r="V12" i="18"/>
  <c r="AB24" i="18"/>
  <c r="AC34" i="18"/>
  <c r="F12" i="18"/>
  <c r="K34" i="18"/>
  <c r="K22" i="18"/>
  <c r="Z24" i="18"/>
  <c r="T23" i="18"/>
  <c r="S34" i="18"/>
  <c r="AC24" i="18"/>
  <c r="V32" i="18"/>
  <c r="M12" i="18"/>
  <c r="W14" i="18"/>
  <c r="Y24" i="18"/>
  <c r="W12" i="18"/>
  <c r="I12" i="18"/>
  <c r="O14" i="18"/>
  <c r="M23" i="18"/>
  <c r="J14" i="18"/>
  <c r="AA13" i="18"/>
  <c r="AD12" i="18"/>
  <c r="D23" i="18"/>
  <c r="Z33" i="18"/>
  <c r="V22" i="18"/>
  <c r="D32" i="18"/>
  <c r="I34" i="18"/>
  <c r="S13" i="18"/>
  <c r="L14" i="18"/>
  <c r="I13" i="18"/>
  <c r="G13" i="18"/>
  <c r="N33" i="18"/>
  <c r="X14" i="18"/>
  <c r="X23" i="18"/>
  <c r="D34" i="18"/>
  <c r="M14" i="18"/>
  <c r="D24" i="18"/>
  <c r="S23" i="18"/>
  <c r="AA12" i="18"/>
  <c r="L13" i="18"/>
  <c r="T14" i="18"/>
  <c r="D14" i="18"/>
  <c r="M13" i="18"/>
  <c r="T22" i="18"/>
  <c r="AB23" i="18"/>
  <c r="G14" i="18"/>
  <c r="H14" i="18"/>
  <c r="AC32" i="18"/>
  <c r="T34" i="18"/>
  <c r="T12" i="18"/>
  <c r="E14" i="18"/>
  <c r="AB33" i="18"/>
  <c r="AD32" i="18"/>
  <c r="E13" i="18"/>
  <c r="M22" i="18"/>
  <c r="O13" i="18"/>
  <c r="E22" i="18"/>
  <c r="Y12" i="18"/>
  <c r="AD33" i="18"/>
  <c r="U12" i="18"/>
  <c r="AA32" i="18"/>
  <c r="X33" i="18"/>
  <c r="AC13" i="18"/>
  <c r="D12" i="18"/>
  <c r="U33" i="18"/>
  <c r="G22" i="18"/>
  <c r="AD23" i="18"/>
  <c r="G12" i="18"/>
  <c r="K13" i="18"/>
  <c r="J12" i="18"/>
  <c r="X12" i="18"/>
  <c r="D33" i="18"/>
  <c r="O12" i="18"/>
  <c r="AD24" i="18"/>
  <c r="G24" i="18"/>
  <c r="H34" i="18"/>
  <c r="V33" i="18"/>
  <c r="G34" i="18"/>
  <c r="M33" i="18"/>
  <c r="G33" i="18"/>
  <c r="O33" i="18"/>
  <c r="M32" i="18"/>
  <c r="Y13" i="18"/>
  <c r="AB12" i="18"/>
  <c r="L23" i="18"/>
  <c r="AC22" i="18"/>
  <c r="U34" i="18"/>
  <c r="N23" i="18"/>
  <c r="Y32" i="18"/>
  <c r="AD14" i="18"/>
  <c r="AB34" i="18"/>
  <c r="Z14" i="18"/>
  <c r="V13" i="18"/>
  <c r="F22" i="18"/>
  <c r="N22" i="18"/>
  <c r="K12" i="18"/>
  <c r="AA34" i="18"/>
  <c r="G32" i="18"/>
  <c r="AA23" i="18"/>
  <c r="W22" i="18"/>
  <c r="Y34" i="18"/>
  <c r="L12" i="18"/>
  <c r="N12" i="18"/>
  <c r="X13" i="18"/>
  <c r="AA24" i="18"/>
  <c r="E33" i="18"/>
  <c r="F24" i="18"/>
  <c r="L34" i="18"/>
  <c r="H33" i="18"/>
  <c r="F33" i="18"/>
  <c r="AD13" i="18"/>
  <c r="J22" i="18"/>
  <c r="AB32" i="18"/>
  <c r="F32" i="18"/>
  <c r="AD22" i="18"/>
  <c r="F13" i="18"/>
  <c r="P24" i="18"/>
  <c r="L32" i="18"/>
  <c r="AC23" i="18"/>
  <c r="N13" i="18"/>
  <c r="AB14" i="18"/>
  <c r="I22" i="18"/>
  <c r="Y22" i="18"/>
  <c r="J23" i="18"/>
  <c r="O34" i="18"/>
  <c r="I33" i="18"/>
  <c r="O22" i="18"/>
  <c r="X34" i="18"/>
  <c r="H23" i="18"/>
  <c r="W34" i="18"/>
  <c r="H24" i="18"/>
  <c r="U13" i="18"/>
  <c r="S33" i="18"/>
  <c r="AC12" i="18"/>
  <c r="V24" i="18"/>
  <c r="J13" i="18"/>
  <c r="F23" i="18"/>
  <c r="AA33" i="18"/>
  <c r="O23" i="18"/>
  <c r="N34" i="18"/>
  <c r="S32" i="18"/>
  <c r="K14" i="18"/>
  <c r="AC14" i="18"/>
  <c r="AA22" i="18"/>
  <c r="V14" i="18"/>
  <c r="AD34" i="18"/>
  <c r="H22" i="18"/>
  <c r="I24" i="18"/>
  <c r="Z34" i="18"/>
  <c r="E12" i="18"/>
  <c r="K33" i="18"/>
  <c r="S22" i="18"/>
  <c r="L22" i="18"/>
  <c r="AA14" i="18"/>
  <c r="W23" i="18"/>
  <c r="U22" i="18"/>
  <c r="D13" i="18"/>
  <c r="E23" i="18"/>
  <c r="AC33" i="18"/>
  <c r="J24" i="18"/>
  <c r="N32" i="18"/>
  <c r="O32" i="18"/>
  <c r="Y14" i="18"/>
  <c r="T13" i="18"/>
  <c r="Z13" i="18"/>
  <c r="I23" i="18"/>
  <c r="U32" i="18"/>
  <c r="F14" i="18"/>
  <c r="H32" i="18"/>
  <c r="F35" i="18" l="1"/>
  <c r="I35" i="18"/>
  <c r="G35" i="18"/>
  <c r="H35" i="18"/>
  <c r="L35" i="18"/>
  <c r="J35" i="18"/>
  <c r="E35" i="18"/>
  <c r="K35" i="18"/>
</calcChain>
</file>

<file path=xl/connections.xml><?xml version="1.0" encoding="utf-8"?>
<connections xmlns="http://schemas.openxmlformats.org/spreadsheetml/2006/main">
  <connection id="1" keepAlive="1" name="Query - EventSchedule" description="Connection to the 'EventSchedule' query in the workbook." type="5" refreshedVersion="6" background="1" saveData="1">
    <dbPr connection="Provider=Microsoft.Mashup.OleDb.1;Data Source=$Workbook$;Location=EventSchedule;Extended Properties=&quot;&quot;" command="SELECT * FROM [EventSchedule]"/>
  </connection>
  <connection id="2" keepAlive="1" name="Query - EventTeam" description="Connection to the 'EventTeam' query in the workbook." type="5" refreshedVersion="6" background="1">
    <dbPr connection="Provider=Microsoft.Mashup.OleDb.1;Data Source=$Workbook$;Location=EventTeam;Extended Properties=&quot;&quot;" command="SELECT * FROM [EventTeam]"/>
  </connection>
  <connection id="3" keepAlive="1" name="Query - FRCranking" description="Connection to the 'FRCranking' query in the workbook." type="5" refreshedVersion="6" background="1">
    <dbPr connection="Provider=Microsoft.Mashup.OleDb.1;Data Source=$Workbook$;Location=FRCranking;Extended Properties=&quot;&quot;" command="SELECT * FROM [FRCranking]"/>
  </connection>
  <connection id="4" keepAlive="1" name="Query - MatchScoutingRaw" description="Connection to the 'MatchScoutingRaw' query in the workbook." type="5" refreshedVersion="6" background="1" saveData="1">
    <dbPr connection="Provider=Microsoft.Mashup.OleDb.1;Data Source=$Workbook$;Location=MatchScoutingRaw;Extended Properties=&quot;&quot;" command="SELECT * FROM [MatchScoutingRaw]"/>
  </connection>
  <connection id="5" keepAlive="1" name="Query - OPR" description="Connection to the 'OPR' query in the workbook." type="5" refreshedVersion="6" background="1">
    <dbPr connection="Provider=Microsoft.Mashup.OleDb.1;Data Source=$Workbook$;Location=OPR;Extended Properties=&quot;&quot;" command="SELECT * FROM [OPR]"/>
  </connection>
  <connection id="6" keepAlive="1" name="Query - PitScoutingRaw" description="Connection to the 'PitScoutingRaw' query in the workbook." type="5" refreshedVersion="6" background="1" saveData="1">
    <dbPr connection="Provider=Microsoft.Mashup.OleDb.1;Data Source=$Workbook$;Location=PitScoutingRaw;Extended Properties=&quot;&quot;" command="SELECT * FROM [PitScoutingRaw]"/>
  </connection>
</connections>
</file>

<file path=xl/sharedStrings.xml><?xml version="1.0" encoding="utf-8"?>
<sst xmlns="http://schemas.openxmlformats.org/spreadsheetml/2006/main" count="20045" uniqueCount="6925">
  <si>
    <t>Timestamp</t>
  </si>
  <si>
    <t>Team#</t>
  </si>
  <si>
    <t>Match#</t>
  </si>
  <si>
    <t>AutoBaseline?</t>
  </si>
  <si>
    <t>AutoSwitch?</t>
  </si>
  <si>
    <t>AutoScale</t>
  </si>
  <si>
    <t xml:space="preserve"># of cubes for the scale </t>
  </si>
  <si>
    <t xml:space="preserve"># of cubes for the exchange zone </t>
  </si>
  <si>
    <t>Did the robot get the 30 points for climbing?</t>
  </si>
  <si>
    <t>How did the robot climb</t>
  </si>
  <si>
    <t xml:space="preserve">PowerUp used </t>
  </si>
  <si>
    <t>Comment</t>
  </si>
  <si>
    <t>Climb on own</t>
  </si>
  <si>
    <t>Switch</t>
  </si>
  <si>
    <t>Scale</t>
  </si>
  <si>
    <t>Pick up on own</t>
  </si>
  <si>
    <t>MatchNumber</t>
  </si>
  <si>
    <t>Autonomous</t>
  </si>
  <si>
    <t>TeleOp</t>
  </si>
  <si>
    <t>Baseline</t>
  </si>
  <si>
    <t>ScaleCubes</t>
  </si>
  <si>
    <t>PowerUpCubes</t>
  </si>
  <si>
    <t>Climb_Method</t>
  </si>
  <si>
    <t>PowerUp</t>
  </si>
  <si>
    <t>Max</t>
  </si>
  <si>
    <t>Min</t>
  </si>
  <si>
    <t>Red1</t>
  </si>
  <si>
    <t>Red2</t>
  </si>
  <si>
    <t>Red3</t>
  </si>
  <si>
    <t>Blue1</t>
  </si>
  <si>
    <t>Blue2</t>
  </si>
  <si>
    <t>Blue3</t>
  </si>
  <si>
    <t>TeamNumber</t>
  </si>
  <si>
    <t>Name</t>
  </si>
  <si>
    <t>City</t>
  </si>
  <si>
    <t>State</t>
  </si>
  <si>
    <t>Country</t>
  </si>
  <si>
    <t>The Juggernauts</t>
  </si>
  <si>
    <t>Pontiac</t>
  </si>
  <si>
    <t>Michigan</t>
  </si>
  <si>
    <t>USA</t>
  </si>
  <si>
    <t>Team 4 ELEMENT</t>
  </si>
  <si>
    <t>Van Nuys</t>
  </si>
  <si>
    <t>California</t>
  </si>
  <si>
    <t>Paly Robotics</t>
  </si>
  <si>
    <t>Palo Alto</t>
  </si>
  <si>
    <t>MORT</t>
  </si>
  <si>
    <t>Flanders</t>
  </si>
  <si>
    <t>New Jersey</t>
  </si>
  <si>
    <t>Bomb Squad</t>
  </si>
  <si>
    <t>Mountain Home</t>
  </si>
  <si>
    <t>Arkansas</t>
  </si>
  <si>
    <t>The Rocketeers</t>
  </si>
  <si>
    <t>Clifton Park</t>
  </si>
  <si>
    <t>New York</t>
  </si>
  <si>
    <t>ComBBAT</t>
  </si>
  <si>
    <t>Titusville</t>
  </si>
  <si>
    <t>Florida</t>
  </si>
  <si>
    <t>PNTA Pilgrim Nuclear Technology Alliance</t>
  </si>
  <si>
    <t>Plymouth</t>
  </si>
  <si>
    <t>Massachusetts</t>
  </si>
  <si>
    <t>Raider Robotix</t>
  </si>
  <si>
    <t>North Brunswick</t>
  </si>
  <si>
    <t>Team RUSH</t>
  </si>
  <si>
    <t>Clarkston</t>
  </si>
  <si>
    <t>Pierson Whalers</t>
  </si>
  <si>
    <t>Sag Harbor</t>
  </si>
  <si>
    <t>Prime Movers</t>
  </si>
  <si>
    <t>Jenks</t>
  </si>
  <si>
    <t>Oklahoma</t>
  </si>
  <si>
    <t>Killer Bees</t>
  </si>
  <si>
    <t>Auburn Hills</t>
  </si>
  <si>
    <t>Rockets</t>
  </si>
  <si>
    <t>Athens</t>
  </si>
  <si>
    <t>Alabama</t>
  </si>
  <si>
    <t>RoboWarriors</t>
  </si>
  <si>
    <t>Warren</t>
  </si>
  <si>
    <t>TechnoKats Robotics Team</t>
  </si>
  <si>
    <t>Kokomo</t>
  </si>
  <si>
    <t>Indiana</t>
  </si>
  <si>
    <t>Delphi E.L.I.T.E.</t>
  </si>
  <si>
    <t>Ohio</t>
  </si>
  <si>
    <t>The Wings of Fire</t>
  </si>
  <si>
    <t>R.O.B.B.E.</t>
  </si>
  <si>
    <t>Bound Brook</t>
  </si>
  <si>
    <t>The Riot Crew</t>
  </si>
  <si>
    <t>South Portland</t>
  </si>
  <si>
    <t>Maine</t>
  </si>
  <si>
    <t>RamTech</t>
  </si>
  <si>
    <t>Miami</t>
  </si>
  <si>
    <t>Bionic Bulldogs</t>
  </si>
  <si>
    <t>Kingman</t>
  </si>
  <si>
    <t>Arizona</t>
  </si>
  <si>
    <t>The Intimidators</t>
  </si>
  <si>
    <t>Upton</t>
  </si>
  <si>
    <t>McDowell Robotics Team 63</t>
  </si>
  <si>
    <t>Erie</t>
  </si>
  <si>
    <t>Pennsylvania</t>
  </si>
  <si>
    <t>Grizzly Robotics</t>
  </si>
  <si>
    <t>Ypsilanti</t>
  </si>
  <si>
    <t>The HOT Team</t>
  </si>
  <si>
    <t>Highland</t>
  </si>
  <si>
    <t>Truck Town Thunder</t>
  </si>
  <si>
    <t>Ortonville</t>
  </si>
  <si>
    <t>HYPER</t>
  </si>
  <si>
    <t>Quincy</t>
  </si>
  <si>
    <t>More Martians</t>
  </si>
  <si>
    <t>Goodrich</t>
  </si>
  <si>
    <t>Team Hammond</t>
  </si>
  <si>
    <t>Hammond</t>
  </si>
  <si>
    <t>Team C.H.A.O.S.</t>
  </si>
  <si>
    <t>Holland</t>
  </si>
  <si>
    <t>RoboRaiders</t>
  </si>
  <si>
    <t>Hillsborough</t>
  </si>
  <si>
    <t>AIR STRIKE</t>
  </si>
  <si>
    <t>Newport</t>
  </si>
  <si>
    <t>Rhode Island</t>
  </si>
  <si>
    <t>Team Krunch</t>
  </si>
  <si>
    <t xml:space="preserve">Tarpon Springs </t>
  </si>
  <si>
    <t>MetalHeads</t>
  </si>
  <si>
    <t>Freeport</t>
  </si>
  <si>
    <t>Illinois</t>
  </si>
  <si>
    <t>B.O.B. (Built on Brains)</t>
  </si>
  <si>
    <t>Zeeland</t>
  </si>
  <si>
    <t>Team Resistance</t>
  </si>
  <si>
    <t>Jacksonville</t>
  </si>
  <si>
    <t>Diablo</t>
  </si>
  <si>
    <t>Mount Holly</t>
  </si>
  <si>
    <t>TJ(Squared)</t>
  </si>
  <si>
    <t>Bridgewater</t>
  </si>
  <si>
    <t>NEW Apple Corps</t>
  </si>
  <si>
    <t>Appleton</t>
  </si>
  <si>
    <t>Wisconsin</t>
  </si>
  <si>
    <t>The  Ninetyfouriors</t>
  </si>
  <si>
    <t>Southfield</t>
  </si>
  <si>
    <t>Grasshoppers</t>
  </si>
  <si>
    <t>White River Junction</t>
  </si>
  <si>
    <t>Vermont</t>
  </si>
  <si>
    <t>Bionic Beef</t>
  </si>
  <si>
    <t>Cambridge</t>
  </si>
  <si>
    <t>The WildHats</t>
  </si>
  <si>
    <t>Woodside</t>
  </si>
  <si>
    <t>Striker</t>
  </si>
  <si>
    <t>Chicago</t>
  </si>
  <si>
    <t>The Gearheads</t>
  </si>
  <si>
    <t>Somerville</t>
  </si>
  <si>
    <t>Cybersonics</t>
  </si>
  <si>
    <t>Kintnersville</t>
  </si>
  <si>
    <t>Team R.O.B.O.T.I.C.S.</t>
  </si>
  <si>
    <t>SigmaC@T Robotics Team</t>
  </si>
  <si>
    <t>Fort Lauderdale</t>
  </si>
  <si>
    <t>WildStang</t>
  </si>
  <si>
    <t>Arlington Heights</t>
  </si>
  <si>
    <t>Eagle Strike</t>
  </si>
  <si>
    <t>Los Altos</t>
  </si>
  <si>
    <t>MVRT</t>
  </si>
  <si>
    <t>Cupertino</t>
  </si>
  <si>
    <t>Epsilon Delta</t>
  </si>
  <si>
    <t>Herndon</t>
  </si>
  <si>
    <t>Virginia</t>
  </si>
  <si>
    <t>The Steel Dragons</t>
  </si>
  <si>
    <t>Pittsburgh</t>
  </si>
  <si>
    <t>Robonauts</t>
  </si>
  <si>
    <t>League City</t>
  </si>
  <si>
    <t>Texas</t>
  </si>
  <si>
    <t>Cleveland's Team</t>
  </si>
  <si>
    <t>Cleveland</t>
  </si>
  <si>
    <t>Rhode Warriors</t>
  </si>
  <si>
    <t>Middletown</t>
  </si>
  <si>
    <t>NASA Knights</t>
  </si>
  <si>
    <t>Hampton</t>
  </si>
  <si>
    <t>Team - Cosmos</t>
  </si>
  <si>
    <t>Hamtramck</t>
  </si>
  <si>
    <t>NUTRONs</t>
  </si>
  <si>
    <t>Boston</t>
  </si>
  <si>
    <t>Gael Force</t>
  </si>
  <si>
    <t>Clinton</t>
  </si>
  <si>
    <t>The Botcats</t>
  </si>
  <si>
    <t>Grandview Heights</t>
  </si>
  <si>
    <t>C.H.A.O.S.</t>
  </si>
  <si>
    <t>Manchester</t>
  </si>
  <si>
    <t>New Hampshire</t>
  </si>
  <si>
    <t>B.E.R.T.</t>
  </si>
  <si>
    <t>Standish</t>
  </si>
  <si>
    <t>Penn Robotics</t>
  </si>
  <si>
    <t>Mishawaka</t>
  </si>
  <si>
    <t>Killer Kardinals</t>
  </si>
  <si>
    <t>Plainfield</t>
  </si>
  <si>
    <t>Entropy</t>
  </si>
  <si>
    <t>Amherst</t>
  </si>
  <si>
    <t>WOBOT</t>
  </si>
  <si>
    <t>The R.O.C.K</t>
  </si>
  <si>
    <t>Cincinnati</t>
  </si>
  <si>
    <t>T-Rx</t>
  </si>
  <si>
    <t>Norwich</t>
  </si>
  <si>
    <t>Robowranglers</t>
  </si>
  <si>
    <t>Greenville</t>
  </si>
  <si>
    <t>Tough Techs</t>
  </si>
  <si>
    <t>Nashua</t>
  </si>
  <si>
    <t>The Technonuts</t>
  </si>
  <si>
    <t>Berlin</t>
  </si>
  <si>
    <t>Connecticut</t>
  </si>
  <si>
    <t xml:space="preserve">RPM  - Robotics Plus Mayhem </t>
  </si>
  <si>
    <t>Fairview</t>
  </si>
  <si>
    <t>AZTECHS</t>
  </si>
  <si>
    <t>Marlborough</t>
  </si>
  <si>
    <t>Alpine Robotics</t>
  </si>
  <si>
    <t>Fort Collins</t>
  </si>
  <si>
    <t>Colorado</t>
  </si>
  <si>
    <t>Chop Shop</t>
  </si>
  <si>
    <t>Merrimack</t>
  </si>
  <si>
    <t>Children of the Corn</t>
  </si>
  <si>
    <t>Iowa City</t>
  </si>
  <si>
    <t>Iowa</t>
  </si>
  <si>
    <t>Cheese Curd Herd</t>
  </si>
  <si>
    <t>Platteville</t>
  </si>
  <si>
    <t>Northern Force</t>
  </si>
  <si>
    <t>Gorham</t>
  </si>
  <si>
    <t>RAGE Robotics</t>
  </si>
  <si>
    <t>Tolland</t>
  </si>
  <si>
    <t>Arctic Warriors</t>
  </si>
  <si>
    <t>Liverpool</t>
  </si>
  <si>
    <t>Buzz Robotics</t>
  </si>
  <si>
    <t>Enfield</t>
  </si>
  <si>
    <t>Aces High</t>
  </si>
  <si>
    <t>Windsor Locks</t>
  </si>
  <si>
    <t>Bobcat Robotics</t>
  </si>
  <si>
    <t>South Windsor</t>
  </si>
  <si>
    <t>The 2nd Law Enforcers</t>
  </si>
  <si>
    <t>Farmington</t>
  </si>
  <si>
    <t>Children of the Swamp</t>
  </si>
  <si>
    <t>West Palm Beach</t>
  </si>
  <si>
    <t>S.P.A.M.</t>
  </si>
  <si>
    <t>Stuart</t>
  </si>
  <si>
    <t>Birds Of Prey</t>
  </si>
  <si>
    <t>Hartford</t>
  </si>
  <si>
    <t>Blizzard</t>
  </si>
  <si>
    <t>Toronto</t>
  </si>
  <si>
    <t>Ontario</t>
  </si>
  <si>
    <t>Canada</t>
  </si>
  <si>
    <t>Gompei and the H.E.R.D.</t>
  </si>
  <si>
    <t>Worcester</t>
  </si>
  <si>
    <t>X-CATS</t>
  </si>
  <si>
    <t>Rochester</t>
  </si>
  <si>
    <t>GRT</t>
  </si>
  <si>
    <t>MORT Beta</t>
  </si>
  <si>
    <t>CyberKnights</t>
  </si>
  <si>
    <t>Southington</t>
  </si>
  <si>
    <t>Deep Blue</t>
  </si>
  <si>
    <t>Belmont</t>
  </si>
  <si>
    <t>The FEDS</t>
  </si>
  <si>
    <t>SOUPer BOTS</t>
  </si>
  <si>
    <t>Sicklerville</t>
  </si>
  <si>
    <t>Eastern Robotic Vikings</t>
  </si>
  <si>
    <t>Voorhees</t>
  </si>
  <si>
    <t>METALCRAFTERS</t>
  </si>
  <si>
    <t>Hawthorne</t>
  </si>
  <si>
    <t>The Dirty Birds</t>
  </si>
  <si>
    <t>Keene</t>
  </si>
  <si>
    <t>More RoboDawgs</t>
  </si>
  <si>
    <t>Grandville</t>
  </si>
  <si>
    <t>ThunderChickens</t>
  </si>
  <si>
    <t>Sterling Heights</t>
  </si>
  <si>
    <t>Team Impact</t>
  </si>
  <si>
    <t>Washington</t>
  </si>
  <si>
    <t>Tigertrons</t>
  </si>
  <si>
    <t>Tunkhannock</t>
  </si>
  <si>
    <t>Xtreme Heat</t>
  </si>
  <si>
    <t>Wanaque</t>
  </si>
  <si>
    <t>The Tribe</t>
  </si>
  <si>
    <t>Piscataway</t>
  </si>
  <si>
    <t>TechFire</t>
  </si>
  <si>
    <t>York</t>
  </si>
  <si>
    <t>Hammerheads</t>
  </si>
  <si>
    <t>Troy</t>
  </si>
  <si>
    <t>GUS Robotics</t>
  </si>
  <si>
    <t>Meriden</t>
  </si>
  <si>
    <t>Division By Zero</t>
  </si>
  <si>
    <t>Potsdam</t>
  </si>
  <si>
    <t>Gaelhawks</t>
  </si>
  <si>
    <t>Shelton</t>
  </si>
  <si>
    <t>High Voltage</t>
  </si>
  <si>
    <t>Pasadena</t>
  </si>
  <si>
    <t>The Pink Team</t>
  </si>
  <si>
    <t>Melbourne</t>
  </si>
  <si>
    <t>Cyber Blue</t>
  </si>
  <si>
    <t>Indianapolis</t>
  </si>
  <si>
    <t>Techno-Ticks</t>
  </si>
  <si>
    <t>Old Lyme</t>
  </si>
  <si>
    <t>Black Magic Robotics</t>
  </si>
  <si>
    <t>Watertown</t>
  </si>
  <si>
    <t>Crusaders</t>
  </si>
  <si>
    <t>TEMPEST</t>
  </si>
  <si>
    <t>Monroe</t>
  </si>
  <si>
    <t>RoboDawgs 3D</t>
  </si>
  <si>
    <t>Adambots</t>
  </si>
  <si>
    <t>Overclocked</t>
  </si>
  <si>
    <t>Da Bears</t>
  </si>
  <si>
    <t>Berkley</t>
  </si>
  <si>
    <t>The Dynamos</t>
  </si>
  <si>
    <t>Colonie</t>
  </si>
  <si>
    <t>Mills Robotics Team</t>
  </si>
  <si>
    <t>Millbrae</t>
  </si>
  <si>
    <t>The Cheesy Poofs</t>
  </si>
  <si>
    <t>San Jose</t>
  </si>
  <si>
    <t>Robo-Rams</t>
  </si>
  <si>
    <t>Sachem Aftershock</t>
  </si>
  <si>
    <t>Ronkonkoma</t>
  </si>
  <si>
    <t>CooneyTech</t>
  </si>
  <si>
    <t>Oconomowoc</t>
  </si>
  <si>
    <t>Mechanical Marauders</t>
  </si>
  <si>
    <t>Bay Shore</t>
  </si>
  <si>
    <t>Cyber-Crusaders</t>
  </si>
  <si>
    <t>Lansdale</t>
  </si>
  <si>
    <t>Tech Fusion</t>
  </si>
  <si>
    <t>Maumee</t>
  </si>
  <si>
    <t>TnT</t>
  </si>
  <si>
    <t>Taylor</t>
  </si>
  <si>
    <t>The GreenVillains</t>
  </si>
  <si>
    <t>South Carolina</t>
  </si>
  <si>
    <t>The Generals</t>
  </si>
  <si>
    <t>Floyd</t>
  </si>
  <si>
    <t>Mastic Beach</t>
  </si>
  <si>
    <t>The RoboDawgs</t>
  </si>
  <si>
    <t>CIA - Creativity In Action</t>
  </si>
  <si>
    <t>PantherTech</t>
  </si>
  <si>
    <t>Russiaville</t>
  </si>
  <si>
    <t>Team S.P.I.K.E.</t>
  </si>
  <si>
    <t>Pennington</t>
  </si>
  <si>
    <t>Beach Cities Robotics</t>
  </si>
  <si>
    <t>Redondo Beach</t>
  </si>
  <si>
    <t>Grizzly Robotics Team</t>
  </si>
  <si>
    <t>Granite Bay</t>
  </si>
  <si>
    <t>Northern Knights</t>
  </si>
  <si>
    <t>MontrÃ©al</t>
  </si>
  <si>
    <t>QuÃ©bec</t>
  </si>
  <si>
    <t>Valkyrie Robotics</t>
  </si>
  <si>
    <t>The Dragons</t>
  </si>
  <si>
    <t>Lake Orion</t>
  </si>
  <si>
    <t>The T.E.S.T. Team</t>
  </si>
  <si>
    <t>The Monsters</t>
  </si>
  <si>
    <t>Walled Lake</t>
  </si>
  <si>
    <t>The Bionic Zebras</t>
  </si>
  <si>
    <t>Wayne</t>
  </si>
  <si>
    <t>The Megatron Oracles</t>
  </si>
  <si>
    <t>Flint</t>
  </si>
  <si>
    <t>LUNATECS</t>
  </si>
  <si>
    <t>Penns Grove</t>
  </si>
  <si>
    <t>Big Bad Bob</t>
  </si>
  <si>
    <t>Alton</t>
  </si>
  <si>
    <t>RoboLancers</t>
  </si>
  <si>
    <t>Philadelphia</t>
  </si>
  <si>
    <t>Team F.I.R.E.</t>
  </si>
  <si>
    <t>Lights Out</t>
  </si>
  <si>
    <t>Mohawks</t>
  </si>
  <si>
    <t>Medford</t>
  </si>
  <si>
    <t>The Beach Bots</t>
  </si>
  <si>
    <t>Hermosa Beach</t>
  </si>
  <si>
    <t>MEGALODONS</t>
  </si>
  <si>
    <t>Brooklyn</t>
  </si>
  <si>
    <t>TechKnights</t>
  </si>
  <si>
    <t>Skillz Tech Gear Botz</t>
  </si>
  <si>
    <t>Hard Working Hard Hats</t>
  </si>
  <si>
    <t>Logan</t>
  </si>
  <si>
    <t>West Virginia</t>
  </si>
  <si>
    <t>Kilroy Robotics</t>
  </si>
  <si>
    <t>Stafford</t>
  </si>
  <si>
    <t>G.R.R. (Greater Rochester Robotics)</t>
  </si>
  <si>
    <t>Churchville</t>
  </si>
  <si>
    <t>Miss Daisy</t>
  </si>
  <si>
    <t>Ambler</t>
  </si>
  <si>
    <t>Burning Magnetos</t>
  </si>
  <si>
    <t>North Charleston</t>
  </si>
  <si>
    <t>Metal-In-Motion</t>
  </si>
  <si>
    <t>Seneca</t>
  </si>
  <si>
    <t>RoboHawks</t>
  </si>
  <si>
    <t>Chesterfield</t>
  </si>
  <si>
    <t>Norwell Robotics</t>
  </si>
  <si>
    <t>Norwell</t>
  </si>
  <si>
    <t>The Green Machine</t>
  </si>
  <si>
    <t>Carle Place</t>
  </si>
  <si>
    <t>POBots</t>
  </si>
  <si>
    <t>Plainview</t>
  </si>
  <si>
    <t>G-House Pirates</t>
  </si>
  <si>
    <t>Robotic Eagles</t>
  </si>
  <si>
    <t>Hauppauge</t>
  </si>
  <si>
    <t>Hawaiian Kids</t>
  </si>
  <si>
    <t>Waialua</t>
  </si>
  <si>
    <t>Hawaii</t>
  </si>
  <si>
    <t>The Revolution</t>
  </si>
  <si>
    <t>Tacoma</t>
  </si>
  <si>
    <t>Team Fusion</t>
  </si>
  <si>
    <t>Gulfport</t>
  </si>
  <si>
    <t>Mississippi</t>
  </si>
  <si>
    <t>Miracle Workerz</t>
  </si>
  <si>
    <t>Wilmington</t>
  </si>
  <si>
    <t>Delaware</t>
  </si>
  <si>
    <t>Team Kika Mana</t>
  </si>
  <si>
    <t>Honolulu</t>
  </si>
  <si>
    <t>High Voltage Robotics</t>
  </si>
  <si>
    <t>Cyber Warriors</t>
  </si>
  <si>
    <t>Staten Island</t>
  </si>
  <si>
    <t>The Circuit Stompers</t>
  </si>
  <si>
    <t>Newfane</t>
  </si>
  <si>
    <t>RoboCats</t>
  </si>
  <si>
    <t>Girard</t>
  </si>
  <si>
    <t>Brazilian Machine</t>
  </si>
  <si>
    <t>Porto Alegre</t>
  </si>
  <si>
    <t>Rio Grande do Sul</t>
  </si>
  <si>
    <t>Brazil</t>
  </si>
  <si>
    <t>Sparky 384</t>
  </si>
  <si>
    <t>Henrico</t>
  </si>
  <si>
    <t>Team Voltage</t>
  </si>
  <si>
    <t>2 Train Robotics</t>
  </si>
  <si>
    <t>Bronx</t>
  </si>
  <si>
    <t>Eagle Robotics</t>
  </si>
  <si>
    <t>Lancaster</t>
  </si>
  <si>
    <t>Copperhead Robotics</t>
  </si>
  <si>
    <t>Christiansburg</t>
  </si>
  <si>
    <t>Purple Haze</t>
  </si>
  <si>
    <t>Austin</t>
  </si>
  <si>
    <t>Mech Tech Dragons</t>
  </si>
  <si>
    <t>Richmond</t>
  </si>
  <si>
    <t>Simple Machines</t>
  </si>
  <si>
    <t>Wyncote</t>
  </si>
  <si>
    <t>Firebirds</t>
  </si>
  <si>
    <t>Flourtown</t>
  </si>
  <si>
    <t>Robodogs</t>
  </si>
  <si>
    <t>Raleigh</t>
  </si>
  <si>
    <t>North Carolina</t>
  </si>
  <si>
    <t>DEVIL DOGS</t>
  </si>
  <si>
    <t>Houston</t>
  </si>
  <si>
    <t>Redstone Robotics</t>
  </si>
  <si>
    <t>Huntsville</t>
  </si>
  <si>
    <t>Team Roboto</t>
  </si>
  <si>
    <t>Anderson</t>
  </si>
  <si>
    <t>The Blair Robot Project</t>
  </si>
  <si>
    <t>Silver Spring</t>
  </si>
  <si>
    <t>Maryland</t>
  </si>
  <si>
    <t>The Cat Attack</t>
  </si>
  <si>
    <t>Rockem Sockem Robotics</t>
  </si>
  <si>
    <t>Clinton Township</t>
  </si>
  <si>
    <t>Siege Robotics</t>
  </si>
  <si>
    <t>Vicksburg</t>
  </si>
  <si>
    <t>âš™ï¸ Grease Monkeys âš™ï¸</t>
  </si>
  <si>
    <t>San Antonio</t>
  </si>
  <si>
    <t>Westside Boiler Invasion</t>
  </si>
  <si>
    <t>West Lafayette</t>
  </si>
  <si>
    <t>The Colonials</t>
  </si>
  <si>
    <t>Shrewsbury</t>
  </si>
  <si>
    <t>Aftershock</t>
  </si>
  <si>
    <t>Las Guerrillas</t>
  </si>
  <si>
    <t>Bloomfield Hills</t>
  </si>
  <si>
    <t>Roboforce</t>
  </si>
  <si>
    <t>Havertown</t>
  </si>
  <si>
    <t>Positronic Panthers</t>
  </si>
  <si>
    <t>Wallingford</t>
  </si>
  <si>
    <t>Team XBot</t>
  </si>
  <si>
    <t>Seattle</t>
  </si>
  <si>
    <t>Titan Robotics Club</t>
  </si>
  <si>
    <t>Bellevue</t>
  </si>
  <si>
    <t>Martians</t>
  </si>
  <si>
    <t>Royals</t>
  </si>
  <si>
    <t>Port Jefferson</t>
  </si>
  <si>
    <t>The Cobra Commanders</t>
  </si>
  <si>
    <t>Glendale</t>
  </si>
  <si>
    <t>The PowerKnights</t>
  </si>
  <si>
    <t>Frog Force</t>
  </si>
  <si>
    <t>Novi</t>
  </si>
  <si>
    <t>Red Storm</t>
  </si>
  <si>
    <t>Bedford</t>
  </si>
  <si>
    <t>Miller Place Robotics</t>
  </si>
  <si>
    <t>Miller Place</t>
  </si>
  <si>
    <t>ROBO WIZARDS</t>
  </si>
  <si>
    <t>Swartdogs</t>
  </si>
  <si>
    <t>Cedar Falls</t>
  </si>
  <si>
    <t>Red Dragons</t>
  </si>
  <si>
    <t>Massapequa</t>
  </si>
  <si>
    <t>The PSIcotics</t>
  </si>
  <si>
    <t>Lindenhurst</t>
  </si>
  <si>
    <t>Charger Robotics</t>
  </si>
  <si>
    <t>Sussex</t>
  </si>
  <si>
    <t>Dragon Slayers</t>
  </si>
  <si>
    <t>Arab</t>
  </si>
  <si>
    <t>Titan Robotics</t>
  </si>
  <si>
    <t xml:space="preserve">TALON 540 </t>
  </si>
  <si>
    <t>ROBO-DAWGS</t>
  </si>
  <si>
    <t>Levittown</t>
  </si>
  <si>
    <t>Falcon Engineering And Robotics</t>
  </si>
  <si>
    <t>Fayetteville</t>
  </si>
  <si>
    <t>Tennessee</t>
  </si>
  <si>
    <t>Robostangs</t>
  </si>
  <si>
    <t>Northville</t>
  </si>
  <si>
    <t>The Bluegrease Crew</t>
  </si>
  <si>
    <t>Ft. Thomas</t>
  </si>
  <si>
    <t>Kentucky</t>
  </si>
  <si>
    <t>Montclair Robotics</t>
  </si>
  <si>
    <t>Montclair</t>
  </si>
  <si>
    <t>Elm City Robo Squad</t>
  </si>
  <si>
    <t>New Haven</t>
  </si>
  <si>
    <t>Longwood Robotics</t>
  </si>
  <si>
    <t>Middle Island</t>
  </si>
  <si>
    <t>Nerds of the North</t>
  </si>
  <si>
    <t>Anchorage</t>
  </si>
  <si>
    <t>Alaska</t>
  </si>
  <si>
    <t>Rambots</t>
  </si>
  <si>
    <t>Westbury</t>
  </si>
  <si>
    <t>Team Paragon</t>
  </si>
  <si>
    <t>Windsor</t>
  </si>
  <si>
    <t>Mech Warriors</t>
  </si>
  <si>
    <t>R-cubed  - Red Raider Robotics</t>
  </si>
  <si>
    <t>Fairport</t>
  </si>
  <si>
    <t>Viking Robotics</t>
  </si>
  <si>
    <t>Studio City</t>
  </si>
  <si>
    <t>Blazing Bulldogs</t>
  </si>
  <si>
    <t>Cyber Penguins</t>
  </si>
  <si>
    <t>Tehachapi</t>
  </si>
  <si>
    <t>Hedgehogs</t>
  </si>
  <si>
    <t>Falkon Robotics</t>
  </si>
  <si>
    <t>La Crescenta</t>
  </si>
  <si>
    <t>Chahta Warriors</t>
  </si>
  <si>
    <t>Choctaw</t>
  </si>
  <si>
    <t>The Wolverines</t>
  </si>
  <si>
    <t>Los Angeles</t>
  </si>
  <si>
    <t>Robodox</t>
  </si>
  <si>
    <t>Granada Hills</t>
  </si>
  <si>
    <t>BayBots</t>
  </si>
  <si>
    <t>Hampton Bays</t>
  </si>
  <si>
    <t>Quixilver</t>
  </si>
  <si>
    <t>Cyber Eagles</t>
  </si>
  <si>
    <t>Coyotes</t>
  </si>
  <si>
    <t>North York</t>
  </si>
  <si>
    <t>Saxons</t>
  </si>
  <si>
    <t>McLean</t>
  </si>
  <si>
    <t>Chantilly Robotics</t>
  </si>
  <si>
    <t>Chantilly</t>
  </si>
  <si>
    <t>Night Hawks</t>
  </si>
  <si>
    <t>Alexandria</t>
  </si>
  <si>
    <t>Enginerds</t>
  </si>
  <si>
    <t>Cavalier Robotics</t>
  </si>
  <si>
    <t>Charlottesville</t>
  </si>
  <si>
    <t>Warbots</t>
  </si>
  <si>
    <t>Vienna</t>
  </si>
  <si>
    <t>Cougar Robotics</t>
  </si>
  <si>
    <t>CRyptonite</t>
  </si>
  <si>
    <t>Katy</t>
  </si>
  <si>
    <t>Code Red Robotics</t>
  </si>
  <si>
    <t>Ithaca</t>
  </si>
  <si>
    <t>Robo Elite</t>
  </si>
  <si>
    <t>Jamaica</t>
  </si>
  <si>
    <t xml:space="preserve">Cyberwolves </t>
  </si>
  <si>
    <t>Killeen</t>
  </si>
  <si>
    <t>QC ELITE - Flaming Squirrels</t>
  </si>
  <si>
    <t>Blue Grass</t>
  </si>
  <si>
    <t>M-SET Fish</t>
  </si>
  <si>
    <t>Saratoga</t>
  </si>
  <si>
    <t>NOSIDE</t>
  </si>
  <si>
    <t>Rocky Mountain Robotics</t>
  </si>
  <si>
    <t>USAF Academy</t>
  </si>
  <si>
    <t>Whitinsville</t>
  </si>
  <si>
    <t>The Apes of Wrath</t>
  </si>
  <si>
    <t>Homestead Robotics</t>
  </si>
  <si>
    <t>Murphy's Outlaws</t>
  </si>
  <si>
    <t>Columbus</t>
  </si>
  <si>
    <t>Bovine Intervention</t>
  </si>
  <si>
    <t>Walkersville</t>
  </si>
  <si>
    <t>The Nerd Herd</t>
  </si>
  <si>
    <t>Carson</t>
  </si>
  <si>
    <t>Project 691</t>
  </si>
  <si>
    <t>Valencia</t>
  </si>
  <si>
    <t>The Fembots</t>
  </si>
  <si>
    <t>Sacramento</t>
  </si>
  <si>
    <t>StuyPulse</t>
  </si>
  <si>
    <t>FIRST Responders</t>
  </si>
  <si>
    <t>Beachwood</t>
  </si>
  <si>
    <t>Circuit Breakers</t>
  </si>
  <si>
    <t>Hamilton Microbots</t>
  </si>
  <si>
    <t>Chandler</t>
  </si>
  <si>
    <t>RoboVikes</t>
  </si>
  <si>
    <t>Fairfield</t>
  </si>
  <si>
    <t>Bagel Bytes</t>
  </si>
  <si>
    <t>Culver City</t>
  </si>
  <si>
    <t>Team Phoenix</t>
  </si>
  <si>
    <t>Saginaw</t>
  </si>
  <si>
    <t>Cyberhawks</t>
  </si>
  <si>
    <t>Hartland</t>
  </si>
  <si>
    <t>Hatters Robotics</t>
  </si>
  <si>
    <t>Horsham</t>
  </si>
  <si>
    <t>Femme Tech Fatale</t>
  </si>
  <si>
    <t>Bryn Mawr</t>
  </si>
  <si>
    <t>Panthera</t>
  </si>
  <si>
    <t>Newark</t>
  </si>
  <si>
    <t>Who'sCTEKS</t>
  </si>
  <si>
    <t>Falls Village</t>
  </si>
  <si>
    <t>Technobots</t>
  </si>
  <si>
    <t>Shark Attack</t>
  </si>
  <si>
    <t>Gearheads</t>
  </si>
  <si>
    <t>Flight Crew</t>
  </si>
  <si>
    <t>Middlesex</t>
  </si>
  <si>
    <t>barn2robotics</t>
  </si>
  <si>
    <t>Portola Valley</t>
  </si>
  <si>
    <t>High Desert Droids</t>
  </si>
  <si>
    <t>Bend</t>
  </si>
  <si>
    <t>Oregon</t>
  </si>
  <si>
    <t>M-A Bears</t>
  </si>
  <si>
    <t>Atherton</t>
  </si>
  <si>
    <t>SWAT</t>
  </si>
  <si>
    <t>Oakville</t>
  </si>
  <si>
    <t>Sabre Bytes Robotics 772 - Sandwich Secondary School</t>
  </si>
  <si>
    <t>Kingsville CavalGears</t>
  </si>
  <si>
    <t>Kingsville</t>
  </si>
  <si>
    <t>Kinetic Knights</t>
  </si>
  <si>
    <t>Kincardine</t>
  </si>
  <si>
    <t>Horsepower</t>
  </si>
  <si>
    <t>Merritt Island</t>
  </si>
  <si>
    <t>The Brooklyn Blacksmiths</t>
  </si>
  <si>
    <t>The Mechanical Bulls</t>
  </si>
  <si>
    <t>Smithtown</t>
  </si>
  <si>
    <t>Cardinals</t>
  </si>
  <si>
    <t>The Midnight Mechanics</t>
  </si>
  <si>
    <t>La Jolla</t>
  </si>
  <si>
    <t>Advanced Power</t>
  </si>
  <si>
    <t>Allen Park</t>
  </si>
  <si>
    <t>Anomaly</t>
  </si>
  <si>
    <t>Steel Armadillos</t>
  </si>
  <si>
    <t>Digital Goats</t>
  </si>
  <si>
    <t>The RatPack</t>
  </si>
  <si>
    <t>Ann Arbor</t>
  </si>
  <si>
    <t>Oscar</t>
  </si>
  <si>
    <t>Roswell</t>
  </si>
  <si>
    <t>Georgia</t>
  </si>
  <si>
    <t>SparTechs</t>
  </si>
  <si>
    <t>Center Valley</t>
  </si>
  <si>
    <t>The Sting</t>
  </si>
  <si>
    <t>Beverly Hills</t>
  </si>
  <si>
    <t>The RoboBees</t>
  </si>
  <si>
    <t>Hollywood</t>
  </si>
  <si>
    <t>Rosie Robotics</t>
  </si>
  <si>
    <t>Agawam</t>
  </si>
  <si>
    <t>The BioMechs</t>
  </si>
  <si>
    <t>Falcon Robotics</t>
  </si>
  <si>
    <t>Phoenix</t>
  </si>
  <si>
    <t>The Funky Monkeys</t>
  </si>
  <si>
    <t>PHRED</t>
  </si>
  <si>
    <t>Philomath</t>
  </si>
  <si>
    <t>ROBOHUSKIES</t>
  </si>
  <si>
    <t>San Pedro</t>
  </si>
  <si>
    <t>The Athenian Robotics Collective</t>
  </si>
  <si>
    <t>Danville</t>
  </si>
  <si>
    <t>Iron Bears</t>
  </si>
  <si>
    <t>Etobicoke</t>
  </si>
  <si>
    <t>Superior Roboworks</t>
  </si>
  <si>
    <t>Houghton</t>
  </si>
  <si>
    <t>Demons</t>
  </si>
  <si>
    <t>Wyoming</t>
  </si>
  <si>
    <t>Lightning Robotics</t>
  </si>
  <si>
    <t>Canton</t>
  </si>
  <si>
    <t>WARP7</t>
  </si>
  <si>
    <t>Absolute Value</t>
  </si>
  <si>
    <t>Arcadia</t>
  </si>
  <si>
    <t>TechHOUNDS</t>
  </si>
  <si>
    <t>Carmel</t>
  </si>
  <si>
    <t xml:space="preserve">TEAM  R. I. C. E.  </t>
  </si>
  <si>
    <t>Southold</t>
  </si>
  <si>
    <t>Robotechs</t>
  </si>
  <si>
    <t>West Islip</t>
  </si>
  <si>
    <t>Thunder Robotics</t>
  </si>
  <si>
    <t>Northwood</t>
  </si>
  <si>
    <t>North Dakota</t>
  </si>
  <si>
    <t>North Star</t>
  </si>
  <si>
    <t>Cando</t>
  </si>
  <si>
    <t>Mechanical Mules</t>
  </si>
  <si>
    <t>Malverne</t>
  </si>
  <si>
    <t>THE GREEN TEAM</t>
  </si>
  <si>
    <t>Randolph Center</t>
  </si>
  <si>
    <t>Robotiators</t>
  </si>
  <si>
    <t>Glenelg</t>
  </si>
  <si>
    <t>The POWER CHARGERS</t>
  </si>
  <si>
    <t>The Zebracorns</t>
  </si>
  <si>
    <t>Durham</t>
  </si>
  <si>
    <t>D cubed</t>
  </si>
  <si>
    <t>Grand Rapids</t>
  </si>
  <si>
    <t>East York Cybernetics "The Cybernauts"</t>
  </si>
  <si>
    <t>East York</t>
  </si>
  <si>
    <t>The Foley Freeze</t>
  </si>
  <si>
    <t>Madison Heights</t>
  </si>
  <si>
    <t>Tiger Techs</t>
  </si>
  <si>
    <t>Mukwonago BEARs</t>
  </si>
  <si>
    <t>Mukwonago</t>
  </si>
  <si>
    <t>Perpetual Chaos</t>
  </si>
  <si>
    <t>Saint Louis</t>
  </si>
  <si>
    <t>Missouri</t>
  </si>
  <si>
    <t>Circuit Chargers</t>
  </si>
  <si>
    <t>Tulsa</t>
  </si>
  <si>
    <t>RaileRobotics</t>
  </si>
  <si>
    <t>Newton</t>
  </si>
  <si>
    <t>Kansas</t>
  </si>
  <si>
    <t>Robo Tribe</t>
  </si>
  <si>
    <t>Mission</t>
  </si>
  <si>
    <t>Code Gold</t>
  </si>
  <si>
    <t>Team Banana</t>
  </si>
  <si>
    <t>Orlando</t>
  </si>
  <si>
    <t>NRG (Newport Robotics Group)</t>
  </si>
  <si>
    <t>Wolverine Robotics</t>
  </si>
  <si>
    <t>CV Robotics</t>
  </si>
  <si>
    <t>Corvallis</t>
  </si>
  <si>
    <t>SWARM</t>
  </si>
  <si>
    <t>Albany</t>
  </si>
  <si>
    <t>Iron Lions</t>
  </si>
  <si>
    <t>Marion</t>
  </si>
  <si>
    <t>RAWC (Robotics Alliance Of West Covina)</t>
  </si>
  <si>
    <t>West Covina</t>
  </si>
  <si>
    <t>Spartan Robotics</t>
  </si>
  <si>
    <t>Mountain View</t>
  </si>
  <si>
    <t>Iron Claw</t>
  </si>
  <si>
    <t>Los Gatos</t>
  </si>
  <si>
    <t>Greybots</t>
  </si>
  <si>
    <t>Atascadero</t>
  </si>
  <si>
    <t>Cometbots</t>
  </si>
  <si>
    <t>South Boston</t>
  </si>
  <si>
    <t>ThunderBots</t>
  </si>
  <si>
    <t>Sylmar</t>
  </si>
  <si>
    <t>Snobotics</t>
  </si>
  <si>
    <t>Lebec</t>
  </si>
  <si>
    <t>HIGHROLLERS</t>
  </si>
  <si>
    <t>Las Vegas</t>
  </si>
  <si>
    <t>Nevada</t>
  </si>
  <si>
    <t>Steel Phoenix</t>
  </si>
  <si>
    <t>BroncoBotics</t>
  </si>
  <si>
    <t>Mecha Knights</t>
  </si>
  <si>
    <t>Casa Grande</t>
  </si>
  <si>
    <t>MechaRAMS</t>
  </si>
  <si>
    <t>Cheshire</t>
  </si>
  <si>
    <t>The CircuitRunners</t>
  </si>
  <si>
    <t>Marietta</t>
  </si>
  <si>
    <t>CRUSH</t>
  </si>
  <si>
    <t>Tucson</t>
  </si>
  <si>
    <t>Bad Robots</t>
  </si>
  <si>
    <t>Dublin</t>
  </si>
  <si>
    <t>Pike RoboDevils</t>
  </si>
  <si>
    <t>Bedford Express</t>
  </si>
  <si>
    <t>Temperance</t>
  </si>
  <si>
    <t>Kil-A-Bytes</t>
  </si>
  <si>
    <t>IMPI Robotics</t>
  </si>
  <si>
    <t>Ferndale</t>
  </si>
  <si>
    <t>Project Jabberwocky</t>
  </si>
  <si>
    <t>West Springfield</t>
  </si>
  <si>
    <t>Lakota Robotics</t>
  </si>
  <si>
    <t>Liberty Township</t>
  </si>
  <si>
    <t>Technical Terminators</t>
  </si>
  <si>
    <t>Mullins</t>
  </si>
  <si>
    <t>PVC Pirates</t>
  </si>
  <si>
    <t>Londonderry</t>
  </si>
  <si>
    <t>The Moose</t>
  </si>
  <si>
    <t>Kissimmee</t>
  </si>
  <si>
    <t>Team Max</t>
  </si>
  <si>
    <t>Wolcott</t>
  </si>
  <si>
    <t>Harker Robotics</t>
  </si>
  <si>
    <t>The Force Team</t>
  </si>
  <si>
    <t>Hollis</t>
  </si>
  <si>
    <t>Sprockets</t>
  </si>
  <si>
    <t>Whitby</t>
  </si>
  <si>
    <t>Pi Hi Samurai</t>
  </si>
  <si>
    <t>Resurgence Robotics</t>
  </si>
  <si>
    <t>Aquatic Robotics</t>
  </si>
  <si>
    <t>Avon</t>
  </si>
  <si>
    <t>Blue Cheese</t>
  </si>
  <si>
    <t>Glen Allen</t>
  </si>
  <si>
    <t>Team Mercury</t>
  </si>
  <si>
    <t>Hightstown</t>
  </si>
  <si>
    <t>Oriole Assault</t>
  </si>
  <si>
    <t>Channel Cats</t>
  </si>
  <si>
    <t>O Fallon</t>
  </si>
  <si>
    <t>DiscoTechs</t>
  </si>
  <si>
    <t>Brookfield</t>
  </si>
  <si>
    <t>The T-Hawks</t>
  </si>
  <si>
    <t>Northboro</t>
  </si>
  <si>
    <t xml:space="preserve">M'Aiken Magic </t>
  </si>
  <si>
    <t>Augusta</t>
  </si>
  <si>
    <t>Panther Robotics</t>
  </si>
  <si>
    <t>Paola</t>
  </si>
  <si>
    <t>The Power Hawks Robotics Team</t>
  </si>
  <si>
    <t>Edgewater</t>
  </si>
  <si>
    <t>Simbotics</t>
  </si>
  <si>
    <t>St Catharines</t>
  </si>
  <si>
    <t>AIM Robotics</t>
  </si>
  <si>
    <t>Fairfax</t>
  </si>
  <si>
    <t>UberBots</t>
  </si>
  <si>
    <t>SPARX</t>
  </si>
  <si>
    <t>Webster</t>
  </si>
  <si>
    <t>Rocket Sauce</t>
  </si>
  <si>
    <t>Mathews</t>
  </si>
  <si>
    <t>Eagle Engineering</t>
  </si>
  <si>
    <t>West Hills</t>
  </si>
  <si>
    <t>Cruzin' Comets</t>
  </si>
  <si>
    <t>Clarks Summit</t>
  </si>
  <si>
    <t>Walpole Robotics</t>
  </si>
  <si>
    <t>Walpole</t>
  </si>
  <si>
    <t>SciBorgs</t>
  </si>
  <si>
    <t>Under Control</t>
  </si>
  <si>
    <t>Novo Hamburgo</t>
  </si>
  <si>
    <t>Landsharks</t>
  </si>
  <si>
    <t>Boulder</t>
  </si>
  <si>
    <t>Ramona Rampage</t>
  </si>
  <si>
    <t>Alhambra</t>
  </si>
  <si>
    <t>Titanium</t>
  </si>
  <si>
    <t>San Marino</t>
  </si>
  <si>
    <t>Project NEO</t>
  </si>
  <si>
    <t>Las Cruces</t>
  </si>
  <si>
    <t>New Mexico</t>
  </si>
  <si>
    <t>Team Paradise</t>
  </si>
  <si>
    <t>Malvern Robotics</t>
  </si>
  <si>
    <t>Malvern</t>
  </si>
  <si>
    <t>DuRT  (De Smet ultimate Robotics Team)</t>
  </si>
  <si>
    <t>RoboRavens</t>
  </si>
  <si>
    <t>Royal Oak</t>
  </si>
  <si>
    <t>Grosse Pointe</t>
  </si>
  <si>
    <t>TorBots</t>
  </si>
  <si>
    <t>Torrance</t>
  </si>
  <si>
    <t>Metool Brigade</t>
  </si>
  <si>
    <t>Robo Hornets</t>
  </si>
  <si>
    <t>Sentinels</t>
  </si>
  <si>
    <t>Vulcan Robotics FRC 1218</t>
  </si>
  <si>
    <t>The Gorillas</t>
  </si>
  <si>
    <t>Hendersonville</t>
  </si>
  <si>
    <t>RoboTribe</t>
  </si>
  <si>
    <t>Rahway</t>
  </si>
  <si>
    <t>The Lehman Lionics</t>
  </si>
  <si>
    <t>THEORY6</t>
  </si>
  <si>
    <t>Mississauga</t>
  </si>
  <si>
    <t>Dragons</t>
  </si>
  <si>
    <t>Swartz Creek</t>
  </si>
  <si>
    <t>MoHi Shazbots</t>
  </si>
  <si>
    <t>Louisville</t>
  </si>
  <si>
    <t>Agincourt Skunkworks</t>
  </si>
  <si>
    <t>Scarborough</t>
  </si>
  <si>
    <t>Robotics of Kearsarge (Roksbot)</t>
  </si>
  <si>
    <t>North Sutton</t>
  </si>
  <si>
    <t>TITANium Allies</t>
  </si>
  <si>
    <t>Berea</t>
  </si>
  <si>
    <t>Gator-Bots</t>
  </si>
  <si>
    <t>Dearborn</t>
  </si>
  <si>
    <t xml:space="preserve">Tech-Tiger Robotics </t>
  </si>
  <si>
    <t>Deerfield Beach</t>
  </si>
  <si>
    <t>Tech Force</t>
  </si>
  <si>
    <t>Lawrence</t>
  </si>
  <si>
    <t>Blarglefish</t>
  </si>
  <si>
    <t>Baytown</t>
  </si>
  <si>
    <t>Parallel Universe</t>
  </si>
  <si>
    <t>Scotch Plains</t>
  </si>
  <si>
    <t>SeaBot</t>
  </si>
  <si>
    <t>Paradigm Shift</t>
  </si>
  <si>
    <t>Pewaukee</t>
  </si>
  <si>
    <t>Robo  Lions</t>
  </si>
  <si>
    <t>Suwanee</t>
  </si>
  <si>
    <t>the STAGS</t>
  </si>
  <si>
    <t>Martinsville</t>
  </si>
  <si>
    <t>The Devil Duckies</t>
  </si>
  <si>
    <t>San Diego</t>
  </si>
  <si>
    <t>The Robotomies</t>
  </si>
  <si>
    <t>Groton</t>
  </si>
  <si>
    <t>Cold Fusion</t>
  </si>
  <si>
    <t>Ragin' C- Biscuits</t>
  </si>
  <si>
    <t>The Big Bang</t>
  </si>
  <si>
    <t>Aluminum Assault</t>
  </si>
  <si>
    <t>Myrtle Beach</t>
  </si>
  <si>
    <t>RAVEN Robotics</t>
  </si>
  <si>
    <t>Saint Charles</t>
  </si>
  <si>
    <t>Gearheadz</t>
  </si>
  <si>
    <t>Robowolves</t>
  </si>
  <si>
    <t>Pandamaniacs</t>
  </si>
  <si>
    <t>Columbia</t>
  </si>
  <si>
    <t>Top Gun</t>
  </si>
  <si>
    <t>Sammamish</t>
  </si>
  <si>
    <t>Full Metal Jackets</t>
  </si>
  <si>
    <t>Rockwall</t>
  </si>
  <si>
    <t>WYOHAZARD</t>
  </si>
  <si>
    <t>Casper</t>
  </si>
  <si>
    <t>Ice Cubed</t>
  </si>
  <si>
    <t>North Bay</t>
  </si>
  <si>
    <t>BadgerBOTS</t>
  </si>
  <si>
    <t>Madison</t>
  </si>
  <si>
    <t>Robosaints</t>
  </si>
  <si>
    <t>Dover</t>
  </si>
  <si>
    <t>Wildcats</t>
  </si>
  <si>
    <t>Runnymede Robotics</t>
  </si>
  <si>
    <t>Kell Robotics</t>
  </si>
  <si>
    <t>Kennesaw</t>
  </si>
  <si>
    <t>Digital Fusion</t>
  </si>
  <si>
    <t>Westerville</t>
  </si>
  <si>
    <t>Issaquah Robotics Society</t>
  </si>
  <si>
    <t>Issaquah</t>
  </si>
  <si>
    <t>Flash</t>
  </si>
  <si>
    <t>Mauldin</t>
  </si>
  <si>
    <t>Genesee Robotics Area Youth Team (GRAYT)</t>
  </si>
  <si>
    <t>Fenton</t>
  </si>
  <si>
    <t>MadTown Robotics</t>
  </si>
  <si>
    <t>Madera</t>
  </si>
  <si>
    <t>Inverse Paradox</t>
  </si>
  <si>
    <t>ROBOREBELS</t>
  </si>
  <si>
    <t>St. Louis</t>
  </si>
  <si>
    <t>Swift</t>
  </si>
  <si>
    <t>Collbran</t>
  </si>
  <si>
    <t>Red Devils</t>
  </si>
  <si>
    <t>AngelBotics</t>
  </si>
  <si>
    <t>Denver</t>
  </si>
  <si>
    <t>The Rambots</t>
  </si>
  <si>
    <t>Providence</t>
  </si>
  <si>
    <t>Mitty Robotics "TKO"</t>
  </si>
  <si>
    <t>Scalawags</t>
  </si>
  <si>
    <t>Lebanon</t>
  </si>
  <si>
    <t>Orbit Robotics</t>
  </si>
  <si>
    <t>Minotaur</t>
  </si>
  <si>
    <t>Tampa</t>
  </si>
  <si>
    <t>Thermogenesis</t>
  </si>
  <si>
    <t>Amped Up</t>
  </si>
  <si>
    <t>Hilo Viking Robotics</t>
  </si>
  <si>
    <t>Hilo</t>
  </si>
  <si>
    <t>ETEP Team</t>
  </si>
  <si>
    <t>Sao Jose dos Campos</t>
  </si>
  <si>
    <t>SÃ£o Paulo</t>
  </si>
  <si>
    <t>Arroyo Grande</t>
  </si>
  <si>
    <t xml:space="preserve">The Body Electric </t>
  </si>
  <si>
    <t>Bethesda</t>
  </si>
  <si>
    <t>The Metal Moose</t>
  </si>
  <si>
    <t>West Chester</t>
  </si>
  <si>
    <t>Robo-Raiders</t>
  </si>
  <si>
    <t>Skillman</t>
  </si>
  <si>
    <t>Finney Falcons</t>
  </si>
  <si>
    <t>Penfield</t>
  </si>
  <si>
    <t>The Kraken</t>
  </si>
  <si>
    <t>Skrappy 1413</t>
  </si>
  <si>
    <t>Skipwith</t>
  </si>
  <si>
    <t>IHOT</t>
  </si>
  <si>
    <t>Atlanta</t>
  </si>
  <si>
    <t>Vae Victis</t>
  </si>
  <si>
    <t>Falls Church</t>
  </si>
  <si>
    <t>Team Chaos</t>
  </si>
  <si>
    <t>Picayune</t>
  </si>
  <si>
    <t>The Neon Knights</t>
  </si>
  <si>
    <t>Fresno</t>
  </si>
  <si>
    <t>Error Code Xero</t>
  </si>
  <si>
    <t>Wilsonville</t>
  </si>
  <si>
    <t>Metal Beavers</t>
  </si>
  <si>
    <t>Portland</t>
  </si>
  <si>
    <t>Lightning 1444</t>
  </si>
  <si>
    <t>Robo Knights</t>
  </si>
  <si>
    <t>District of Columbia</t>
  </si>
  <si>
    <t>Parsons Vikings</t>
  </si>
  <si>
    <t>Parsons</t>
  </si>
  <si>
    <t>XQ RobotiX</t>
  </si>
  <si>
    <t>Omnicats</t>
  </si>
  <si>
    <t>Red Tie Robotics</t>
  </si>
  <si>
    <t>Webb Robotics</t>
  </si>
  <si>
    <t>Knoxville</t>
  </si>
  <si>
    <t>Hicksville J-Birds</t>
  </si>
  <si>
    <t>Hicksville</t>
  </si>
  <si>
    <t>Tewksbury Titans</t>
  </si>
  <si>
    <t>Tewksbury</t>
  </si>
  <si>
    <t>Texas Torque</t>
  </si>
  <si>
    <t>Conroe</t>
  </si>
  <si>
    <t>The Riveters</t>
  </si>
  <si>
    <t>Ghosts</t>
  </si>
  <si>
    <t>Calgary</t>
  </si>
  <si>
    <t>Alberta</t>
  </si>
  <si>
    <t>Team CAUTION</t>
  </si>
  <si>
    <t>Tempe</t>
  </si>
  <si>
    <t xml:space="preserve"> Falcons</t>
  </si>
  <si>
    <t>West Grove</t>
  </si>
  <si>
    <t>Team THRUST</t>
  </si>
  <si>
    <t>Huntington</t>
  </si>
  <si>
    <t>Technical Difficulties</t>
  </si>
  <si>
    <t>Chelsea</t>
  </si>
  <si>
    <t>Desperate Penguins</t>
  </si>
  <si>
    <t>Okemos</t>
  </si>
  <si>
    <t>Metal Muscle</t>
  </si>
  <si>
    <t>Warlocks</t>
  </si>
  <si>
    <t>Lockport</t>
  </si>
  <si>
    <t>Beaverton</t>
  </si>
  <si>
    <t>Rolling Thunder</t>
  </si>
  <si>
    <t>The Big Red</t>
  </si>
  <si>
    <t>Concord</t>
  </si>
  <si>
    <t>NASA MorTorq 1515</t>
  </si>
  <si>
    <t>The Lumberjacks</t>
  </si>
  <si>
    <t>Raider Robotics</t>
  </si>
  <si>
    <t>Palmyra</t>
  </si>
  <si>
    <t>Mechanical Mayhem</t>
  </si>
  <si>
    <t>Milford</t>
  </si>
  <si>
    <t>DOTM - Defenders of the Multiverse</t>
  </si>
  <si>
    <t>Mechanicsville</t>
  </si>
  <si>
    <t>MARS (Mega Awesome Robotic Systems)</t>
  </si>
  <si>
    <t>Palm Beach Gardens</t>
  </si>
  <si>
    <t>MTR (Monroe Trojan Robotics)</t>
  </si>
  <si>
    <t>CyberCards</t>
  </si>
  <si>
    <t>Triple Strange</t>
  </si>
  <si>
    <t>Greensboro</t>
  </si>
  <si>
    <t>The Holy Cows</t>
  </si>
  <si>
    <t>Clover Robotics</t>
  </si>
  <si>
    <t>Clover</t>
  </si>
  <si>
    <t>Flaming Chickens</t>
  </si>
  <si>
    <t>Chaos, Inc.</t>
  </si>
  <si>
    <t>Baldwin</t>
  </si>
  <si>
    <t>The Grapes of Wrath</t>
  </si>
  <si>
    <t>Naples</t>
  </si>
  <si>
    <t>KC Robotics Team</t>
  </si>
  <si>
    <t>Lugoff</t>
  </si>
  <si>
    <t>Oceanside Robotics</t>
  </si>
  <si>
    <t>Oceanside</t>
  </si>
  <si>
    <t>Cryonics</t>
  </si>
  <si>
    <t>Elkhart</t>
  </si>
  <si>
    <t>12 Volt Bolt</t>
  </si>
  <si>
    <t>Eustis</t>
  </si>
  <si>
    <t>Devil Tech</t>
  </si>
  <si>
    <t>Victor</t>
  </si>
  <si>
    <t>ROBODUCKS</t>
  </si>
  <si>
    <t>Oklahoma City</t>
  </si>
  <si>
    <t>AMMOKNIGHTS</t>
  </si>
  <si>
    <t>Idaho Falls</t>
  </si>
  <si>
    <t>Idaho</t>
  </si>
  <si>
    <t>Haywire Robotics</t>
  </si>
  <si>
    <t>Pocatello</t>
  </si>
  <si>
    <t>CALibrate Robotics</t>
  </si>
  <si>
    <t>Gresham</t>
  </si>
  <si>
    <t>The Hammer Heads</t>
  </si>
  <si>
    <t>Kfar Galim</t>
  </si>
  <si>
    <t>HaZafon (Northern)</t>
  </si>
  <si>
    <t>Israel</t>
  </si>
  <si>
    <t>MisCar</t>
  </si>
  <si>
    <t>Misgav</t>
  </si>
  <si>
    <t>Eroni Chet</t>
  </si>
  <si>
    <t>Tel Aviv</t>
  </si>
  <si>
    <t>Tel-Aviv</t>
  </si>
  <si>
    <t>SteamPunk</t>
  </si>
  <si>
    <t>Raanana</t>
  </si>
  <si>
    <t>HaMerkaz (Central)</t>
  </si>
  <si>
    <t xml:space="preserve"> The Blue Monkeys</t>
  </si>
  <si>
    <t>Ashkelon</t>
  </si>
  <si>
    <t>HaDarom (Southern)</t>
  </si>
  <si>
    <t>Ridge View Academy Rambotics</t>
  </si>
  <si>
    <t>Watkins</t>
  </si>
  <si>
    <t>Pirates</t>
  </si>
  <si>
    <t>Nederland</t>
  </si>
  <si>
    <t>Scitobor Robotics</t>
  </si>
  <si>
    <t>Shortsville</t>
  </si>
  <si>
    <t>Titaniums</t>
  </si>
  <si>
    <t>Lorain</t>
  </si>
  <si>
    <t>Greece Gladiators</t>
  </si>
  <si>
    <t>Bionic Tigers</t>
  </si>
  <si>
    <t>Cocoa</t>
  </si>
  <si>
    <t>Spokane</t>
  </si>
  <si>
    <t>The Instigators</t>
  </si>
  <si>
    <t>Sault Sainte Marie</t>
  </si>
  <si>
    <t>TeamTalon</t>
  </si>
  <si>
    <t>CircuiTree</t>
  </si>
  <si>
    <t>ROBO KINGS AND QUEENS</t>
  </si>
  <si>
    <t>Quantum Samurai</t>
  </si>
  <si>
    <t>Long Island City</t>
  </si>
  <si>
    <t>â›´ Blackwater Robotics â›´</t>
  </si>
  <si>
    <t>Franklin</t>
  </si>
  <si>
    <t>Up-A-Creek Robotics</t>
  </si>
  <si>
    <t>Longmont</t>
  </si>
  <si>
    <t>Team Spyder</t>
  </si>
  <si>
    <t>Poway</t>
  </si>
  <si>
    <t>Winnovation</t>
  </si>
  <si>
    <t>Winnebago</t>
  </si>
  <si>
    <t>Metuchen</t>
  </si>
  <si>
    <t>Garrett Coalition (GaCo)</t>
  </si>
  <si>
    <t>Accident</t>
  </si>
  <si>
    <t>RoboBuffs</t>
  </si>
  <si>
    <t>TECHNOTICS</t>
  </si>
  <si>
    <t>Elmhurst</t>
  </si>
  <si>
    <t>Sab-BOT-age</t>
  </si>
  <si>
    <t>Downingtown</t>
  </si>
  <si>
    <t>Techno-Cats</t>
  </si>
  <si>
    <t>Ft. Worth</t>
  </si>
  <si>
    <t>Precision Guessworks</t>
  </si>
  <si>
    <t>Lafayette</t>
  </si>
  <si>
    <t>Iron Devils</t>
  </si>
  <si>
    <t>Vincentown</t>
  </si>
  <si>
    <t>G3 Robotics</t>
  </si>
  <si>
    <t>Lakerbotics (The Lakers)</t>
  </si>
  <si>
    <t>Windermere</t>
  </si>
  <si>
    <t>Hamosad</t>
  </si>
  <si>
    <t>Kibutz E'in Shemer</t>
  </si>
  <si>
    <t>Tech Heads</t>
  </si>
  <si>
    <t>Harlem Knights</t>
  </si>
  <si>
    <t>Griffitrons</t>
  </si>
  <si>
    <t>Sherman Oaks</t>
  </si>
  <si>
    <t>Raptor Force Engineering</t>
  </si>
  <si>
    <t>Lodi</t>
  </si>
  <si>
    <t>Weapons of Mass Construction</t>
  </si>
  <si>
    <t>Hudson</t>
  </si>
  <si>
    <t>Buchanan Bird Brains</t>
  </si>
  <si>
    <t>Clovis</t>
  </si>
  <si>
    <t>Robo-T-Birds</t>
  </si>
  <si>
    <t>Mahwah</t>
  </si>
  <si>
    <t>UPS (Ultimate Protection Squad)</t>
  </si>
  <si>
    <t>Milwaukee</t>
  </si>
  <si>
    <t>The Pascack PI-oneers</t>
  </si>
  <si>
    <t>Montvale</t>
  </si>
  <si>
    <t>TronBots</t>
  </si>
  <si>
    <t>Kalamazoo</t>
  </si>
  <si>
    <t>Citrus Circuits</t>
  </si>
  <si>
    <t>Davis</t>
  </si>
  <si>
    <t>Techno Titans</t>
  </si>
  <si>
    <t>Johns Creek</t>
  </si>
  <si>
    <t xml:space="preserve">The Chimeras </t>
  </si>
  <si>
    <t>Lapeer</t>
  </si>
  <si>
    <t>Orbit</t>
  </si>
  <si>
    <t>Binyamina</t>
  </si>
  <si>
    <t>Robocats</t>
  </si>
  <si>
    <t>Colchester</t>
  </si>
  <si>
    <t>Gatorbotics</t>
  </si>
  <si>
    <t>RoboCubs</t>
  </si>
  <si>
    <t>Detroit</t>
  </si>
  <si>
    <t>Ratchet Rockers</t>
  </si>
  <si>
    <t>Wentzville</t>
  </si>
  <si>
    <t>AMP'D Robotics</t>
  </si>
  <si>
    <t>McKeesport</t>
  </si>
  <si>
    <t>The Ravonics Revolution</t>
  </si>
  <si>
    <t>Olathe</t>
  </si>
  <si>
    <t>Raptors</t>
  </si>
  <si>
    <t>Traverse City</t>
  </si>
  <si>
    <t>Dawgma</t>
  </si>
  <si>
    <t>Ardmore</t>
  </si>
  <si>
    <t>MORE Robotics</t>
  </si>
  <si>
    <t>Redbird Robotics</t>
  </si>
  <si>
    <t>De Pere</t>
  </si>
  <si>
    <t>The Fighting Pi</t>
  </si>
  <si>
    <t>Armada</t>
  </si>
  <si>
    <t>The Umbrella Corporation</t>
  </si>
  <si>
    <t>Brooklandville</t>
  </si>
  <si>
    <t>PhyXTGears</t>
  </si>
  <si>
    <t>Muncie</t>
  </si>
  <si>
    <t>Tidal Force</t>
  </si>
  <si>
    <t>The FBI - FIRST Bots of Independence</t>
  </si>
  <si>
    <t>Independence</t>
  </si>
  <si>
    <t>N.E.R.D.S. (Nifty Engineering Robotics Design Squad)</t>
  </si>
  <si>
    <t>Sierra Vista</t>
  </si>
  <si>
    <t>Dulaney Robotics REX</t>
  </si>
  <si>
    <t>Lutherville Timonium</t>
  </si>
  <si>
    <t>Team Inconceivable!</t>
  </si>
  <si>
    <t>New Ipswich</t>
  </si>
  <si>
    <t>Team Driven</t>
  </si>
  <si>
    <t>Lees Summit</t>
  </si>
  <si>
    <t>Fresta Valley Robotics Club</t>
  </si>
  <si>
    <t>Marshall</t>
  </si>
  <si>
    <t>Hilltoppers</t>
  </si>
  <si>
    <t>Green Reapers</t>
  </si>
  <si>
    <t>Robot Casserole</t>
  </si>
  <si>
    <t>Peoria</t>
  </si>
  <si>
    <t>Project X</t>
  </si>
  <si>
    <t>Excelsior Springs</t>
  </si>
  <si>
    <t>Chicago Knights</t>
  </si>
  <si>
    <t>Ledyard Cyber Colonels</t>
  </si>
  <si>
    <t>Ledyard</t>
  </si>
  <si>
    <t>Red Alert</t>
  </si>
  <si>
    <t>Greenwood</t>
  </si>
  <si>
    <t>Short Circuits</t>
  </si>
  <si>
    <t>Robo Rays</t>
  </si>
  <si>
    <t>The P-51 Mustangs</t>
  </si>
  <si>
    <t>Richardson</t>
  </si>
  <si>
    <t>OTTO</t>
  </si>
  <si>
    <t>Cumming</t>
  </si>
  <si>
    <t>Harrison Boiler Robotics</t>
  </si>
  <si>
    <t>ThunderStorm Robotics</t>
  </si>
  <si>
    <t>Stillwater</t>
  </si>
  <si>
    <t>The Warriors</t>
  </si>
  <si>
    <t>Port Jefferson Station</t>
  </si>
  <si>
    <t>Argos</t>
  </si>
  <si>
    <t>Wolverines</t>
  </si>
  <si>
    <t>Westwood</t>
  </si>
  <si>
    <t>Technomancers</t>
  </si>
  <si>
    <t>Florence</t>
  </si>
  <si>
    <t>Potatoes</t>
  </si>
  <si>
    <t>El Segundo</t>
  </si>
  <si>
    <t>STEAMpunk Tigers</t>
  </si>
  <si>
    <t>Lynn</t>
  </si>
  <si>
    <t>Paseliens</t>
  </si>
  <si>
    <t>Kansas City</t>
  </si>
  <si>
    <t>Liberty Robotics</t>
  </si>
  <si>
    <t>Liberty</t>
  </si>
  <si>
    <t>RoboChiefs</t>
  </si>
  <si>
    <t>Bolton</t>
  </si>
  <si>
    <t>Digital Hawks</t>
  </si>
  <si>
    <t>Electric Phoenixes</t>
  </si>
  <si>
    <t>The Brazilian Trail Blazers</t>
  </si>
  <si>
    <t>Gravatai</t>
  </si>
  <si>
    <t>Tigerbytes</t>
  </si>
  <si>
    <t>Overland Park</t>
  </si>
  <si>
    <t>Chill Out</t>
  </si>
  <si>
    <t>Mountlake Terrace</t>
  </si>
  <si>
    <t>Electric Eagles</t>
  </si>
  <si>
    <t>Blue Springs Robocats</t>
  </si>
  <si>
    <t>Blue Springs</t>
  </si>
  <si>
    <t>The Robotics Team</t>
  </si>
  <si>
    <t>Flying Circuits</t>
  </si>
  <si>
    <t>Voyagers</t>
  </si>
  <si>
    <t>Clayton</t>
  </si>
  <si>
    <t>Round Table Robotics</t>
  </si>
  <si>
    <t>Oak Creek</t>
  </si>
  <si>
    <t>The Aviators</t>
  </si>
  <si>
    <t>Norfolk</t>
  </si>
  <si>
    <t>Team Clutch</t>
  </si>
  <si>
    <t>RoboTigers</t>
  </si>
  <si>
    <t>London</t>
  </si>
  <si>
    <t>England</t>
  </si>
  <si>
    <t>United Kingdom</t>
  </si>
  <si>
    <t>Wired Up!</t>
  </si>
  <si>
    <t>Littleton</t>
  </si>
  <si>
    <t>Team Stealth</t>
  </si>
  <si>
    <t>Vikings</t>
  </si>
  <si>
    <t>Port Washington</t>
  </si>
  <si>
    <t>S.W.A.T.</t>
  </si>
  <si>
    <t>Smithville</t>
  </si>
  <si>
    <t>Allentown</t>
  </si>
  <si>
    <t>Jaguar Robotics</t>
  </si>
  <si>
    <t>Shawnee</t>
  </si>
  <si>
    <t>FRESH</t>
  </si>
  <si>
    <t>"The Green Machine"</t>
  </si>
  <si>
    <t>Edina</t>
  </si>
  <si>
    <t>Minnesota</t>
  </si>
  <si>
    <t>Llano Estacado RoboRaiders</t>
  </si>
  <si>
    <t>Lubbock</t>
  </si>
  <si>
    <t>Team Talos</t>
  </si>
  <si>
    <t>Shreveport</t>
  </si>
  <si>
    <t>Louisiana</t>
  </si>
  <si>
    <t>The Cyborgs</t>
  </si>
  <si>
    <t>THE HIVE</t>
  </si>
  <si>
    <t>BoxerBots</t>
  </si>
  <si>
    <t>Vail</t>
  </si>
  <si>
    <t>Screaming Eagles</t>
  </si>
  <si>
    <t>Gilford</t>
  </si>
  <si>
    <t>The MilkenKnights</t>
  </si>
  <si>
    <t>W.R.A.T.H (Wyandotte Robotics and Technology Hackers)</t>
  </si>
  <si>
    <t>Cephatron</t>
  </si>
  <si>
    <t>Space Cookies</t>
  </si>
  <si>
    <t>Steel Lions</t>
  </si>
  <si>
    <t>San Juan</t>
  </si>
  <si>
    <t>Puerto Rico</t>
  </si>
  <si>
    <t>Beachbotics</t>
  </si>
  <si>
    <t>Hilton Head Island</t>
  </si>
  <si>
    <t>Warriors of East Harlem</t>
  </si>
  <si>
    <t>Griffins</t>
  </si>
  <si>
    <t>ILITE Robotics</t>
  </si>
  <si>
    <t>Haymarket</t>
  </si>
  <si>
    <t>Bullbots</t>
  </si>
  <si>
    <t>Meridian</t>
  </si>
  <si>
    <t>Lambda Corps</t>
  </si>
  <si>
    <t>Manassas</t>
  </si>
  <si>
    <t>Concussive Engineers</t>
  </si>
  <si>
    <t>Saints Robotics</t>
  </si>
  <si>
    <t>Exploding Bacon</t>
  </si>
  <si>
    <t>ShoreBots</t>
  </si>
  <si>
    <t>Eastville</t>
  </si>
  <si>
    <t>Team Combustion</t>
  </si>
  <si>
    <t>Slidell</t>
  </si>
  <si>
    <t>MTHS Firebird Robotics</t>
  </si>
  <si>
    <t>NC GEARS</t>
  </si>
  <si>
    <t>Fremont</t>
  </si>
  <si>
    <t>Oz-Ram</t>
  </si>
  <si>
    <t>Contoocook</t>
  </si>
  <si>
    <t>The MidKnight Inventors</t>
  </si>
  <si>
    <t>Plainsboro</t>
  </si>
  <si>
    <t>Tempest</t>
  </si>
  <si>
    <t>Biloxi</t>
  </si>
  <si>
    <t xml:space="preserve">Elysium </t>
  </si>
  <si>
    <t>Modi'in-Maccabim Reu't</t>
  </si>
  <si>
    <t>THE KUHNIGITS</t>
  </si>
  <si>
    <t>The Tech Tigers</t>
  </si>
  <si>
    <t>Benton Harbor</t>
  </si>
  <si>
    <t>Tel-Nof</t>
  </si>
  <si>
    <t>Gadera</t>
  </si>
  <si>
    <t>Neat Team</t>
  </si>
  <si>
    <t>Rosh Hayin</t>
  </si>
  <si>
    <t>Airforce High School</t>
  </si>
  <si>
    <t>Haifa</t>
  </si>
  <si>
    <t>ElectroBunny</t>
  </si>
  <si>
    <t>Beer Sheva</t>
  </si>
  <si>
    <t>Allston</t>
  </si>
  <si>
    <t>The Janksters</t>
  </si>
  <si>
    <t>Searing Engineering</t>
  </si>
  <si>
    <t>El Centro</t>
  </si>
  <si>
    <t>Burning Tiger   #1973</t>
  </si>
  <si>
    <t>Brighton, Brookline</t>
  </si>
  <si>
    <t xml:space="preserve">The PowerSquids </t>
  </si>
  <si>
    <t>Loveland</t>
  </si>
  <si>
    <t>Skunk Works Robotics</t>
  </si>
  <si>
    <t>Jawas</t>
  </si>
  <si>
    <t>Robohawks</t>
  </si>
  <si>
    <t>Florissant</t>
  </si>
  <si>
    <t>Team Titanium</t>
  </si>
  <si>
    <t>Broncobots</t>
  </si>
  <si>
    <t>Vernon</t>
  </si>
  <si>
    <t>Quixote</t>
  </si>
  <si>
    <t>Stag Robotics</t>
  </si>
  <si>
    <t>Roeland Park</t>
  </si>
  <si>
    <t>HERMES</t>
  </si>
  <si>
    <t>The Lightning Bots</t>
  </si>
  <si>
    <t>Cybergnomes</t>
  </si>
  <si>
    <t>Clearview Twp.</t>
  </si>
  <si>
    <t>Mighty Monkey Wrenches</t>
  </si>
  <si>
    <t>Trenton</t>
  </si>
  <si>
    <t>Aurora</t>
  </si>
  <si>
    <t>Robotic Dragons</t>
  </si>
  <si>
    <t>Old Westbury</t>
  </si>
  <si>
    <t>Phantom Mentalist</t>
  </si>
  <si>
    <t>Robo Rockin' Bots</t>
  </si>
  <si>
    <t>The Black Knights</t>
  </si>
  <si>
    <t>Rockford Robotics</t>
  </si>
  <si>
    <t>Machesney Park</t>
  </si>
  <si>
    <t>DERT - Dunlap Eagles Robotics Team</t>
  </si>
  <si>
    <t>Dunlap</t>
  </si>
  <si>
    <t>Bear Metal</t>
  </si>
  <si>
    <t>Maple Valley</t>
  </si>
  <si>
    <t>The Pink Panthers</t>
  </si>
  <si>
    <t>The Beattie Bulldogs</t>
  </si>
  <si>
    <t>Allison Park</t>
  </si>
  <si>
    <t>KnightKrawler</t>
  </si>
  <si>
    <t>Saint Paul</t>
  </si>
  <si>
    <t>TigerTronics</t>
  </si>
  <si>
    <t>Endicott</t>
  </si>
  <si>
    <t>Tech Vikes</t>
  </si>
  <si>
    <t>Hopkins</t>
  </si>
  <si>
    <t>OP Robotics</t>
  </si>
  <si>
    <t>Stoney Creek</t>
  </si>
  <si>
    <t>The Hitchhikers</t>
  </si>
  <si>
    <t>Apex</t>
  </si>
  <si>
    <t>C.O.R.E  2062</t>
  </si>
  <si>
    <t>Waukesha</t>
  </si>
  <si>
    <t>The Panther Project</t>
  </si>
  <si>
    <t>Southbury / Middlebury</t>
  </si>
  <si>
    <t>Apple Pi</t>
  </si>
  <si>
    <t>Guilford</t>
  </si>
  <si>
    <t>Metal Jackets</t>
  </si>
  <si>
    <t>Ridgefield</t>
  </si>
  <si>
    <t>EagleForce</t>
  </si>
  <si>
    <t>Elk Grove</t>
  </si>
  <si>
    <t>Enigma Robotics</t>
  </si>
  <si>
    <t>Laser Robotics</t>
  </si>
  <si>
    <t>Wales</t>
  </si>
  <si>
    <t>Robotic Wolves</t>
  </si>
  <si>
    <t>Covington</t>
  </si>
  <si>
    <t>4H ALARM Robotics</t>
  </si>
  <si>
    <t>Bellingham</t>
  </si>
  <si>
    <t>Torbotics</t>
  </si>
  <si>
    <t>Icarus</t>
  </si>
  <si>
    <t>Team BLITZ</t>
  </si>
  <si>
    <t>Conifer</t>
  </si>
  <si>
    <t>Robots by the C</t>
  </si>
  <si>
    <t>RoboDogs</t>
  </si>
  <si>
    <t>Vacaville</t>
  </si>
  <si>
    <t>Buff 'n Blue</t>
  </si>
  <si>
    <t>Direct Current</t>
  </si>
  <si>
    <t>Newtown Square</t>
  </si>
  <si>
    <t>RoboActive</t>
  </si>
  <si>
    <t>Dimona</t>
  </si>
  <si>
    <t>Team Paradox</t>
  </si>
  <si>
    <t>Encinitas</t>
  </si>
  <si>
    <t>The Junkyard Dogs</t>
  </si>
  <si>
    <t>Goochland</t>
  </si>
  <si>
    <t>Team Tators</t>
  </si>
  <si>
    <t>Boise</t>
  </si>
  <si>
    <t>Ultraviolet</t>
  </si>
  <si>
    <t>Minneapolis</t>
  </si>
  <si>
    <t>Alpha+</t>
  </si>
  <si>
    <t>Bonners Ferry</t>
  </si>
  <si>
    <t>Presentation Invasion</t>
  </si>
  <si>
    <t>Impossible Mission Force</t>
  </si>
  <si>
    <t>TORC</t>
  </si>
  <si>
    <t>Oxford</t>
  </si>
  <si>
    <t>Spartonics</t>
  </si>
  <si>
    <t>Team Tobor</t>
  </si>
  <si>
    <t>Eau Claire</t>
  </si>
  <si>
    <t>Gators</t>
  </si>
  <si>
    <t>HAZMATs</t>
  </si>
  <si>
    <t>Linden</t>
  </si>
  <si>
    <t>CHUCK</t>
  </si>
  <si>
    <t>Mechaknights</t>
  </si>
  <si>
    <t>Monty Pythons</t>
  </si>
  <si>
    <t>Forest Park</t>
  </si>
  <si>
    <t>S*M*A*S*H</t>
  </si>
  <si>
    <t>Volusia County</t>
  </si>
  <si>
    <t>ausTIN CANs</t>
  </si>
  <si>
    <t>Huntington Station</t>
  </si>
  <si>
    <t>The Core</t>
  </si>
  <si>
    <t>Harrisonville</t>
  </si>
  <si>
    <t>Trailblazers</t>
  </si>
  <si>
    <t>Bartlesville</t>
  </si>
  <si>
    <t>Radical Tech</t>
  </si>
  <si>
    <t>Maryville</t>
  </si>
  <si>
    <t>Aluminum Falcons</t>
  </si>
  <si>
    <t>KING TeC</t>
  </si>
  <si>
    <t>Savage</t>
  </si>
  <si>
    <t>Titanium Tomahawks</t>
  </si>
  <si>
    <t>Glastonbury</t>
  </si>
  <si>
    <t>Crown Point</t>
  </si>
  <si>
    <t>Street Legal</t>
  </si>
  <si>
    <t>Lakewood</t>
  </si>
  <si>
    <t>The Fighting Calculators</t>
  </si>
  <si>
    <t>The Robettes</t>
  </si>
  <si>
    <t>Mendota Heights</t>
  </si>
  <si>
    <t>Zero Gravity</t>
  </si>
  <si>
    <t>Hamilton</t>
  </si>
  <si>
    <t>G.E.A.R.s (Great Engineers Awesome Robots)</t>
  </si>
  <si>
    <t>Blaine</t>
  </si>
  <si>
    <t>Tigerbots</t>
  </si>
  <si>
    <t>Boutte</t>
  </si>
  <si>
    <t>Dogs of Steel</t>
  </si>
  <si>
    <t>Team Volt</t>
  </si>
  <si>
    <t>Conway</t>
  </si>
  <si>
    <t>Team Hero</t>
  </si>
  <si>
    <t>Petal</t>
  </si>
  <si>
    <t>Flux Core</t>
  </si>
  <si>
    <t>Fondy Fire</t>
  </si>
  <si>
    <t>Fond du Lac</t>
  </si>
  <si>
    <t>Las Pumas</t>
  </si>
  <si>
    <t>New Carlisle</t>
  </si>
  <si>
    <t>Robo-Lions</t>
  </si>
  <si>
    <t>Sykesville</t>
  </si>
  <si>
    <t>MMRambotics</t>
  </si>
  <si>
    <t>Burlington</t>
  </si>
  <si>
    <t>BEAST Robotics</t>
  </si>
  <si>
    <t>Hayward</t>
  </si>
  <si>
    <t>Bright Bears</t>
  </si>
  <si>
    <t>White Bear Lake</t>
  </si>
  <si>
    <t>The Spikes</t>
  </si>
  <si>
    <t>Lod</t>
  </si>
  <si>
    <t xml:space="preserve">Blue Twilight </t>
  </si>
  <si>
    <t>Eagan</t>
  </si>
  <si>
    <t>FHS Robodawgs</t>
  </si>
  <si>
    <t>Mandeville</t>
  </si>
  <si>
    <t>RoboPhoenix</t>
  </si>
  <si>
    <t>R.U.S.T</t>
  </si>
  <si>
    <t>Brooklyn Park</t>
  </si>
  <si>
    <t>Tigers</t>
  </si>
  <si>
    <t>Fridley</t>
  </si>
  <si>
    <t>CougarTech</t>
  </si>
  <si>
    <t>Honeoye Falls</t>
  </si>
  <si>
    <t>General Angels</t>
  </si>
  <si>
    <t>Herzliya</t>
  </si>
  <si>
    <t>OnyxTronix</t>
  </si>
  <si>
    <t>Shoham</t>
  </si>
  <si>
    <t>Deus ex Machina</t>
  </si>
  <si>
    <t>Anoka</t>
  </si>
  <si>
    <t>Alternating Current</t>
  </si>
  <si>
    <t>Technocrats</t>
  </si>
  <si>
    <t>Brute Force</t>
  </si>
  <si>
    <t>The Army of Sum</t>
  </si>
  <si>
    <t>Johannesburg</t>
  </si>
  <si>
    <t>The Mavericks</t>
  </si>
  <si>
    <t>Milan</t>
  </si>
  <si>
    <t>1/4 Twenties</t>
  </si>
  <si>
    <t>Casa Robotics</t>
  </si>
  <si>
    <t>Robo-Panthers</t>
  </si>
  <si>
    <t>Holliston</t>
  </si>
  <si>
    <t>Wayzata Robotics</t>
  </si>
  <si>
    <t>Fe Maidens</t>
  </si>
  <si>
    <t>Panteras</t>
  </si>
  <si>
    <t>Mexico City</t>
  </si>
  <si>
    <t>Distrito Federal</t>
  </si>
  <si>
    <t>Mexico</t>
  </si>
  <si>
    <t>S.C.R.E.E.C.H.</t>
  </si>
  <si>
    <t>Sapulpa</t>
  </si>
  <si>
    <t>Sargon</t>
  </si>
  <si>
    <t>Prairie Village</t>
  </si>
  <si>
    <t>EngiNERDs</t>
  </si>
  <si>
    <t>Grand Blanc</t>
  </si>
  <si>
    <t>Gear It Forward</t>
  </si>
  <si>
    <t>Oswego</t>
  </si>
  <si>
    <t>Robolopes</t>
  </si>
  <si>
    <t>Xcentrics</t>
  </si>
  <si>
    <t xml:space="preserve">The Saunders Droid Factory </t>
  </si>
  <si>
    <t>Yonkers</t>
  </si>
  <si>
    <t>Animal Control</t>
  </si>
  <si>
    <t>Kearney</t>
  </si>
  <si>
    <t>Metal Mercs</t>
  </si>
  <si>
    <t>Copiague</t>
  </si>
  <si>
    <t>Metal Mayhem</t>
  </si>
  <si>
    <t>Ada</t>
  </si>
  <si>
    <t>The Legion</t>
  </si>
  <si>
    <t>Red River Robotics</t>
  </si>
  <si>
    <t>Duncan</t>
  </si>
  <si>
    <t>System Meltdown</t>
  </si>
  <si>
    <t>Peculiar</t>
  </si>
  <si>
    <t>Bearbotics</t>
  </si>
  <si>
    <t>Lake Zurich</t>
  </si>
  <si>
    <t>RoboLobos</t>
  </si>
  <si>
    <t>Edmond</t>
  </si>
  <si>
    <t>Triple Helix</t>
  </si>
  <si>
    <t>Newport News</t>
  </si>
  <si>
    <t>Lancer Robotics</t>
  </si>
  <si>
    <t>IBOTs</t>
  </si>
  <si>
    <t>Rutland</t>
  </si>
  <si>
    <t>The Crickets</t>
  </si>
  <si>
    <t>Fort Cobb</t>
  </si>
  <si>
    <t>Crusader Bots</t>
  </si>
  <si>
    <t>Dragon Robotics</t>
  </si>
  <si>
    <t>C Company</t>
  </si>
  <si>
    <t>Ninjineers</t>
  </si>
  <si>
    <t>Trojans</t>
  </si>
  <si>
    <t>Robotichauns</t>
  </si>
  <si>
    <t>OKC 4-H Robotics - Ninja Munkees</t>
  </si>
  <si>
    <t>Tech Walkers</t>
  </si>
  <si>
    <t>Tahlequah</t>
  </si>
  <si>
    <t>The Fighting Unicorns</t>
  </si>
  <si>
    <t>Shaker Heights</t>
  </si>
  <si>
    <t>Plasma Robotics</t>
  </si>
  <si>
    <t>Mesa</t>
  </si>
  <si>
    <t>TNT</t>
  </si>
  <si>
    <t>Altadena</t>
  </si>
  <si>
    <t>Techno Trojans</t>
  </si>
  <si>
    <t>Fruitport</t>
  </si>
  <si>
    <t>Shrapnel Sergeants</t>
  </si>
  <si>
    <t>Hazelwood</t>
  </si>
  <si>
    <t>Blue Valley CAPS Metal Mustang Robotics</t>
  </si>
  <si>
    <t>Rebel @lliance</t>
  </si>
  <si>
    <t>Robototes</t>
  </si>
  <si>
    <t>WiredCats</t>
  </si>
  <si>
    <t>RTR Team Robotics</t>
  </si>
  <si>
    <t>Burke</t>
  </si>
  <si>
    <t>The KwarQs</t>
  </si>
  <si>
    <t>Robot Mafia</t>
  </si>
  <si>
    <t>Bixby</t>
  </si>
  <si>
    <t xml:space="preserve">Hydra </t>
  </si>
  <si>
    <t>La Canada Engineerng Cub</t>
  </si>
  <si>
    <t>La Canada Flintridge</t>
  </si>
  <si>
    <t>'Iobotics</t>
  </si>
  <si>
    <t>Wailuku</t>
  </si>
  <si>
    <t>Spartechs</t>
  </si>
  <si>
    <t>Blue Thunder</t>
  </si>
  <si>
    <t>Kahului</t>
  </si>
  <si>
    <t>Kamehameha RoboWarriors</t>
  </si>
  <si>
    <t>RoboKAP</t>
  </si>
  <si>
    <t>Kapolei</t>
  </si>
  <si>
    <t>Out of Orbit Robotics</t>
  </si>
  <si>
    <t>Raiderbots</t>
  </si>
  <si>
    <t>St. Paul</t>
  </si>
  <si>
    <t>PWNAGE</t>
  </si>
  <si>
    <t>The Law</t>
  </si>
  <si>
    <t>Lawson</t>
  </si>
  <si>
    <t>Gladstone</t>
  </si>
  <si>
    <t>METAL-SKINS</t>
  </si>
  <si>
    <t>Kauaibots</t>
  </si>
  <si>
    <t>Lihue</t>
  </si>
  <si>
    <t>Team Appreciate</t>
  </si>
  <si>
    <t>Team BJORG</t>
  </si>
  <si>
    <t>Bloomington</t>
  </si>
  <si>
    <t>Team Mean Machine</t>
  </si>
  <si>
    <t>Camas</t>
  </si>
  <si>
    <t>Centurions</t>
  </si>
  <si>
    <t>Circle Pines</t>
  </si>
  <si>
    <t>Goldstrikers</t>
  </si>
  <si>
    <t>Excel</t>
  </si>
  <si>
    <t>Niles</t>
  </si>
  <si>
    <t>Marauder Rascals</t>
  </si>
  <si>
    <t>Waipahu</t>
  </si>
  <si>
    <t>Westwood Robotics</t>
  </si>
  <si>
    <t>Teddies</t>
  </si>
  <si>
    <t>Roboteers</t>
  </si>
  <si>
    <t>Tremont</t>
  </si>
  <si>
    <t>Team Implosion</t>
  </si>
  <si>
    <t>Woods Cross</t>
  </si>
  <si>
    <t>Utah</t>
  </si>
  <si>
    <t>W.A.R. Lords</t>
  </si>
  <si>
    <t>CocoNuts</t>
  </si>
  <si>
    <t>Flagstaff</t>
  </si>
  <si>
    <t>Mechanical Animals</t>
  </si>
  <si>
    <t>Oakdale</t>
  </si>
  <si>
    <t>The Insomniacs</t>
  </si>
  <si>
    <t>No Mythic</t>
  </si>
  <si>
    <t>Robokong</t>
  </si>
  <si>
    <t>Riverside</t>
  </si>
  <si>
    <t>Hive Mind</t>
  </si>
  <si>
    <t>Tru Blu Patriots</t>
  </si>
  <si>
    <t>Irvine</t>
  </si>
  <si>
    <t>BearBotics</t>
  </si>
  <si>
    <t>Industrial Revolution</t>
  </si>
  <si>
    <t>Hibbing</t>
  </si>
  <si>
    <t>Herobotics</t>
  </si>
  <si>
    <t>Bionic Polars</t>
  </si>
  <si>
    <t>North St. Paul</t>
  </si>
  <si>
    <t>Talon Robotics</t>
  </si>
  <si>
    <t>Eden Prairie</t>
  </si>
  <si>
    <t>Warrior Robotics</t>
  </si>
  <si>
    <t>Brainerd</t>
  </si>
  <si>
    <t>Saber Robotics</t>
  </si>
  <si>
    <t xml:space="preserve">Hutchinson </t>
  </si>
  <si>
    <t>Cougars</t>
  </si>
  <si>
    <t>Lakeville</t>
  </si>
  <si>
    <t>Duluth East Daredevils</t>
  </si>
  <si>
    <t>Duluth</t>
  </si>
  <si>
    <t>T.E.R.T.O.L.A.</t>
  </si>
  <si>
    <t>TigerBots</t>
  </si>
  <si>
    <t>Inver Grove Heights</t>
  </si>
  <si>
    <t>SERT</t>
  </si>
  <si>
    <t>Eugene</t>
  </si>
  <si>
    <t>Royal Robotics</t>
  </si>
  <si>
    <t>Lynnwood</t>
  </si>
  <si>
    <t>Tech Storm</t>
  </si>
  <si>
    <t>Saint Johnsbury</t>
  </si>
  <si>
    <t>The pHalcons</t>
  </si>
  <si>
    <t>Crimson Robotics</t>
  </si>
  <si>
    <t>Osseo</t>
  </si>
  <si>
    <t>WHO</t>
  </si>
  <si>
    <t>Inconceivable</t>
  </si>
  <si>
    <t>Chaska</t>
  </si>
  <si>
    <t>FLASH Power</t>
  </si>
  <si>
    <t>Forest Lake</t>
  </si>
  <si>
    <t>Lumberjack Robotics</t>
  </si>
  <si>
    <t xml:space="preserve">Baltimore </t>
  </si>
  <si>
    <t>Space RAIDers</t>
  </si>
  <si>
    <t>The Plaid Pillagers</t>
  </si>
  <si>
    <t>Morris</t>
  </si>
  <si>
    <t>Krypton Cougars</t>
  </si>
  <si>
    <t>TitanBot</t>
  </si>
  <si>
    <t>Chula Vista</t>
  </si>
  <si>
    <t>HCRC</t>
  </si>
  <si>
    <t>Harborcreek</t>
  </si>
  <si>
    <t>Quantum Mechanics</t>
  </si>
  <si>
    <t>Millerbots</t>
  </si>
  <si>
    <t>Skynet</t>
  </si>
  <si>
    <t>Oregon City</t>
  </si>
  <si>
    <t>Penguin Empire</t>
  </si>
  <si>
    <t>Novato</t>
  </si>
  <si>
    <t>The WarHawks</t>
  </si>
  <si>
    <t>Edison</t>
  </si>
  <si>
    <t>RoboRams</t>
  </si>
  <si>
    <t>RadioActive Roaches</t>
  </si>
  <si>
    <t>Niceville</t>
  </si>
  <si>
    <t xml:space="preserve">SOTAbots </t>
  </si>
  <si>
    <t>Normality Zero</t>
  </si>
  <si>
    <t>Harrisburg</t>
  </si>
  <si>
    <t>RoboDog</t>
  </si>
  <si>
    <t>Grandview</t>
  </si>
  <si>
    <t>RoboHuskie</t>
  </si>
  <si>
    <t>St. Anthony</t>
  </si>
  <si>
    <t>Chilean Heart</t>
  </si>
  <si>
    <t>Santiago</t>
  </si>
  <si>
    <t>RegiÃ³n Metropolitana de Santiago</t>
  </si>
  <si>
    <t>Chile</t>
  </si>
  <si>
    <t>Pingry Robotics</t>
  </si>
  <si>
    <t>Basking Ridge</t>
  </si>
  <si>
    <t>LIC Robodogs</t>
  </si>
  <si>
    <t>Astoria</t>
  </si>
  <si>
    <t>PantherBots</t>
  </si>
  <si>
    <t>Lufkin</t>
  </si>
  <si>
    <t>Reseda Regents Robotics R^3</t>
  </si>
  <si>
    <t>Reseda</t>
  </si>
  <si>
    <t>Impact</t>
  </si>
  <si>
    <t>Bellaire</t>
  </si>
  <si>
    <t>Copper Bots</t>
  </si>
  <si>
    <t>Calumet</t>
  </si>
  <si>
    <t>DiscoBots</t>
  </si>
  <si>
    <t>Nemesis</t>
  </si>
  <si>
    <t>Robbinsville</t>
  </si>
  <si>
    <t>RedTails</t>
  </si>
  <si>
    <t>Naskcorpions</t>
  </si>
  <si>
    <t>Nampa</t>
  </si>
  <si>
    <t>Team Falcon</t>
  </si>
  <si>
    <t>Oak Ridge</t>
  </si>
  <si>
    <t>Steel Hawks</t>
  </si>
  <si>
    <t>Flushing</t>
  </si>
  <si>
    <t>Steel Stingers</t>
  </si>
  <si>
    <t>Medina</t>
  </si>
  <si>
    <t>Metal and Soul</t>
  </si>
  <si>
    <t>Capac</t>
  </si>
  <si>
    <t>Seamonsters</t>
  </si>
  <si>
    <t>Irish Robotics</t>
  </si>
  <si>
    <t>Rosemount</t>
  </si>
  <si>
    <t>The Fighting RoboVikings</t>
  </si>
  <si>
    <t xml:space="preserve">Warminster </t>
  </si>
  <si>
    <t>BeaverworX</t>
  </si>
  <si>
    <t>Guelph</t>
  </si>
  <si>
    <t>Jacktown Vectors</t>
  </si>
  <si>
    <t>Jackson</t>
  </si>
  <si>
    <t>The Corsairs</t>
  </si>
  <si>
    <t>Waterford</t>
  </si>
  <si>
    <t>PROTOBOTS</t>
  </si>
  <si>
    <t>Van Horn</t>
  </si>
  <si>
    <t>Mountaineer Area RoboticS (MARS)</t>
  </si>
  <si>
    <t>Morgantown</t>
  </si>
  <si>
    <t>The Charge</t>
  </si>
  <si>
    <t>Midland</t>
  </si>
  <si>
    <t>Titans</t>
  </si>
  <si>
    <t>Southgate</t>
  </si>
  <si>
    <t>Evolution</t>
  </si>
  <si>
    <t>Sherbrooke</t>
  </si>
  <si>
    <t>Thunderbolts</t>
  </si>
  <si>
    <t>Emek hefer</t>
  </si>
  <si>
    <t>The Gryphons</t>
  </si>
  <si>
    <t>Lake Monsters</t>
  </si>
  <si>
    <t>Lake Oswego</t>
  </si>
  <si>
    <t>Phantom Catz</t>
  </si>
  <si>
    <t>Rolling Hills Estates</t>
  </si>
  <si>
    <t>Rebels</t>
  </si>
  <si>
    <t>Great Neck</t>
  </si>
  <si>
    <t>HOTBOTZ</t>
  </si>
  <si>
    <t>Reidsville</t>
  </si>
  <si>
    <t>PCCR</t>
  </si>
  <si>
    <t>Pitt Pirates</t>
  </si>
  <si>
    <t>Dark Matter</t>
  </si>
  <si>
    <t>Cyborg Mustangs</t>
  </si>
  <si>
    <t>Infinite Loop</t>
  </si>
  <si>
    <t>Oakland</t>
  </si>
  <si>
    <t>Rams</t>
  </si>
  <si>
    <t>Roseau</t>
  </si>
  <si>
    <t>The Flying Platypi</t>
  </si>
  <si>
    <t>Colfax</t>
  </si>
  <si>
    <t>Quasics</t>
  </si>
  <si>
    <t>Monroeville</t>
  </si>
  <si>
    <t>Team Thundercats</t>
  </si>
  <si>
    <t>Deming</t>
  </si>
  <si>
    <t>Î£-Motion</t>
  </si>
  <si>
    <t>Mission Hills</t>
  </si>
  <si>
    <t>Robo Krew</t>
  </si>
  <si>
    <t>Tolleson</t>
  </si>
  <si>
    <t>Knights of the Valley</t>
  </si>
  <si>
    <t>Apple Valley</t>
  </si>
  <si>
    <t>Tenacious Technicians</t>
  </si>
  <si>
    <t>Ecorse Robo Raiders</t>
  </si>
  <si>
    <t>Ecorse</t>
  </si>
  <si>
    <t>Tiger Team</t>
  </si>
  <si>
    <t>Jerusalem</t>
  </si>
  <si>
    <t>Yerushalayim</t>
  </si>
  <si>
    <t>Boneyard Robotics</t>
  </si>
  <si>
    <t>Winterville</t>
  </si>
  <si>
    <t>Kitchener</t>
  </si>
  <si>
    <t>Roaring Robotics</t>
  </si>
  <si>
    <t>Batavia</t>
  </si>
  <si>
    <t>Merge Robotics</t>
  </si>
  <si>
    <t>Ottawa</t>
  </si>
  <si>
    <t>Team PCD</t>
  </si>
  <si>
    <t>Lake Effect Robotics</t>
  </si>
  <si>
    <t>Kingston</t>
  </si>
  <si>
    <t>Iron Wolves</t>
  </si>
  <si>
    <t>Team JetStream</t>
  </si>
  <si>
    <t>Rancho Palos Verdes</t>
  </si>
  <si>
    <t>iRaiders</t>
  </si>
  <si>
    <t>Melrose</t>
  </si>
  <si>
    <t>Fang</t>
  </si>
  <si>
    <t>Lasara</t>
  </si>
  <si>
    <t>Team Rocket</t>
  </si>
  <si>
    <t>Ice Princesses</t>
  </si>
  <si>
    <t>Storm Robotics Team</t>
  </si>
  <si>
    <t>Marlton</t>
  </si>
  <si>
    <t>Pigmice</t>
  </si>
  <si>
    <t>Radioactive Robotics</t>
  </si>
  <si>
    <t>Norman</t>
  </si>
  <si>
    <t>Stryke Force</t>
  </si>
  <si>
    <t>Code Red Robotics the Stray Dogs</t>
  </si>
  <si>
    <t>IronDogz</t>
  </si>
  <si>
    <t xml:space="preserve">Engineers of Tomorrow </t>
  </si>
  <si>
    <t>La Grange</t>
  </si>
  <si>
    <t>Prometheus</t>
  </si>
  <si>
    <t>Kent</t>
  </si>
  <si>
    <t>TEXPLOSION</t>
  </si>
  <si>
    <t>Manor</t>
  </si>
  <si>
    <t>Shaker Robotics</t>
  </si>
  <si>
    <t>Latham</t>
  </si>
  <si>
    <t>Ohm's Claw</t>
  </si>
  <si>
    <t>Broken Arrow</t>
  </si>
  <si>
    <t>Knight &amp; Nerdy</t>
  </si>
  <si>
    <t>Clermont</t>
  </si>
  <si>
    <t>Ghost in the Machine</t>
  </si>
  <si>
    <t>Waxahachie</t>
  </si>
  <si>
    <t>StormBots</t>
  </si>
  <si>
    <t>Vancouver</t>
  </si>
  <si>
    <t>Gear Heads</t>
  </si>
  <si>
    <t>Blue Devil Mechanics</t>
  </si>
  <si>
    <t>Team Dynamite</t>
  </si>
  <si>
    <t>Oxon Hill</t>
  </si>
  <si>
    <t>The Automatons</t>
  </si>
  <si>
    <t>Roc Robotics</t>
  </si>
  <si>
    <t>Wave Robotics</t>
  </si>
  <si>
    <t>Oshkosh</t>
  </si>
  <si>
    <t>Crown City Robotics</t>
  </si>
  <si>
    <t>Coronado</t>
  </si>
  <si>
    <t>Riverside RoboTigers</t>
  </si>
  <si>
    <t>The Livonia  Warriors</t>
  </si>
  <si>
    <t>Livonia</t>
  </si>
  <si>
    <t>Bionic Black Hawks</t>
  </si>
  <si>
    <t>Team Beta</t>
  </si>
  <si>
    <t>Woodbury</t>
  </si>
  <si>
    <t>Daedalus</t>
  </si>
  <si>
    <t>Escondido</t>
  </si>
  <si>
    <t>Blue Tide</t>
  </si>
  <si>
    <t>Paradise Valley</t>
  </si>
  <si>
    <t>Stampede Robotics</t>
  </si>
  <si>
    <t>Laveen</t>
  </si>
  <si>
    <t>FireBears</t>
  </si>
  <si>
    <t>The MegaHertz</t>
  </si>
  <si>
    <t>Fairmont</t>
  </si>
  <si>
    <t>âš¡ ALL SPARKS âš¡</t>
  </si>
  <si>
    <t>Dallas</t>
  </si>
  <si>
    <t>Ursa Major</t>
  </si>
  <si>
    <t>Crevolution</t>
  </si>
  <si>
    <t>DM High Voltage</t>
  </si>
  <si>
    <t>Hot Spot Robotics</t>
  </si>
  <si>
    <t>Mililani</t>
  </si>
  <si>
    <t>The Prototypes</t>
  </si>
  <si>
    <t>BEASTBOT</t>
  </si>
  <si>
    <t>Planetary Drive</t>
  </si>
  <si>
    <t>Lexington</t>
  </si>
  <si>
    <t>Infinity's End</t>
  </si>
  <si>
    <t>Lake City</t>
  </si>
  <si>
    <t>ElkLogics</t>
  </si>
  <si>
    <t>Regal Eagles</t>
  </si>
  <si>
    <t>Bethpage</t>
  </si>
  <si>
    <t>CyberCats</t>
  </si>
  <si>
    <t>Iron Eagles</t>
  </si>
  <si>
    <t>Grain Valley</t>
  </si>
  <si>
    <t>CyberHawks</t>
  </si>
  <si>
    <t>Cold Spring Harbor</t>
  </si>
  <si>
    <t>Devilbotz</t>
  </si>
  <si>
    <t>LigerBots</t>
  </si>
  <si>
    <t>Oriole Robotics</t>
  </si>
  <si>
    <t>Saint Louis Park</t>
  </si>
  <si>
    <t>Lady Cans</t>
  </si>
  <si>
    <t>Nuts n Boltz</t>
  </si>
  <si>
    <t>F.R.E.D (Fighting Rednecks Engineering and Design)</t>
  </si>
  <si>
    <t>Warroad</t>
  </si>
  <si>
    <t>The Hawk Collective</t>
  </si>
  <si>
    <t>Chesapeake</t>
  </si>
  <si>
    <t>Blazenbots</t>
  </si>
  <si>
    <t>Far Rockaway</t>
  </si>
  <si>
    <t>MechaMonarchs</t>
  </si>
  <si>
    <t>R3 - Rapoport Raven Robotics</t>
  </si>
  <si>
    <t>Waco</t>
  </si>
  <si>
    <t>Flying Hedgehogs</t>
  </si>
  <si>
    <t>The Mighty Penguins</t>
  </si>
  <si>
    <t>NeoBots</t>
  </si>
  <si>
    <t>Arlington</t>
  </si>
  <si>
    <t>Sultans of Turkiye</t>
  </si>
  <si>
    <t>Istanbul</t>
  </si>
  <si>
    <t>Turkey</t>
  </si>
  <si>
    <t>Sentinel Prime Robotics</t>
  </si>
  <si>
    <t>Spanaway</t>
  </si>
  <si>
    <t>Lion Robotics</t>
  </si>
  <si>
    <t>Auburn</t>
  </si>
  <si>
    <t>Jack in the Bot</t>
  </si>
  <si>
    <t>Mill Creek</t>
  </si>
  <si>
    <t xml:space="preserve">TIGER PRIDE </t>
  </si>
  <si>
    <t>Pandamonium</t>
  </si>
  <si>
    <t>Bionic Bears</t>
  </si>
  <si>
    <t>Palm Bay</t>
  </si>
  <si>
    <t>Robo Sparks</t>
  </si>
  <si>
    <t>Wapato</t>
  </si>
  <si>
    <t>Pi Rho Techs</t>
  </si>
  <si>
    <t>Graham</t>
  </si>
  <si>
    <t>JAGBOTS</t>
  </si>
  <si>
    <t>Puyallup</t>
  </si>
  <si>
    <t>Sonic Squirrels</t>
  </si>
  <si>
    <t>Snohomish</t>
  </si>
  <si>
    <t>NACI Robotics</t>
  </si>
  <si>
    <t>Panda Robotics</t>
  </si>
  <si>
    <t>Titanium Tigers</t>
  </si>
  <si>
    <t>Steel Mustangs</t>
  </si>
  <si>
    <t>Manitou Springs</t>
  </si>
  <si>
    <t>Devastators</t>
  </si>
  <si>
    <t>Knights</t>
  </si>
  <si>
    <t>Alden</t>
  </si>
  <si>
    <t>Robotarians</t>
  </si>
  <si>
    <t>Coloma</t>
  </si>
  <si>
    <t>Automation Nation</t>
  </si>
  <si>
    <t>Birmingham</t>
  </si>
  <si>
    <t>Crimson Tide Engineers/ Coolidge Colts</t>
  </si>
  <si>
    <t>Robopanthers</t>
  </si>
  <si>
    <t>Tiger Tech</t>
  </si>
  <si>
    <t>Pharr</t>
  </si>
  <si>
    <t>Aftermath</t>
  </si>
  <si>
    <t>RC Dawson</t>
  </si>
  <si>
    <t>Mad Rockers</t>
  </si>
  <si>
    <t>Walton Robotics</t>
  </si>
  <si>
    <t>Spartabots</t>
  </si>
  <si>
    <t>Sir Lancer Bots</t>
  </si>
  <si>
    <t>La Crescent</t>
  </si>
  <si>
    <t>Cavaliers</t>
  </si>
  <si>
    <t>The Whidbey Island Wild Cats</t>
  </si>
  <si>
    <t>Oak Harbor</t>
  </si>
  <si>
    <t>The Vikings</t>
  </si>
  <si>
    <t>ASTEC NASA Explorers</t>
  </si>
  <si>
    <t>Rogue Robotics</t>
  </si>
  <si>
    <t>RoboGenesis</t>
  </si>
  <si>
    <t>Berryville</t>
  </si>
  <si>
    <t>Star Tech</t>
  </si>
  <si>
    <t>Richfield</t>
  </si>
  <si>
    <t>Hotwire</t>
  </si>
  <si>
    <t>Turner</t>
  </si>
  <si>
    <t>The S.S. Prometheus</t>
  </si>
  <si>
    <t>InTech MegaBots</t>
  </si>
  <si>
    <t>ASTECHZ</t>
  </si>
  <si>
    <t>Kanata</t>
  </si>
  <si>
    <t>Cougars Gone Wired</t>
  </si>
  <si>
    <t>Colorado Springs</t>
  </si>
  <si>
    <t>VikingBots</t>
  </si>
  <si>
    <t>Jeffersontown Robochargers</t>
  </si>
  <si>
    <t>TAN(X)</t>
  </si>
  <si>
    <t>Canandaigua</t>
  </si>
  <si>
    <t>Bronx Knights</t>
  </si>
  <si>
    <t>RoboChargers</t>
  </si>
  <si>
    <t>Red Rock Robotics</t>
  </si>
  <si>
    <t>Salt Lake City</t>
  </si>
  <si>
    <t>Robotitans</t>
  </si>
  <si>
    <t>Team Magma</t>
  </si>
  <si>
    <t>High Scalers</t>
  </si>
  <si>
    <t>Boulder City</t>
  </si>
  <si>
    <t>The Red Plague</t>
  </si>
  <si>
    <t>Centerburg</t>
  </si>
  <si>
    <t>APO</t>
  </si>
  <si>
    <t>Hessen</t>
  </si>
  <si>
    <t>Germany</t>
  </si>
  <si>
    <t>Zombots</t>
  </si>
  <si>
    <t xml:space="preserve">Vallejo </t>
  </si>
  <si>
    <t>Ranger Robotics</t>
  </si>
  <si>
    <t>Spencerport</t>
  </si>
  <si>
    <t>Patriots</t>
  </si>
  <si>
    <t>Fresh Meadows</t>
  </si>
  <si>
    <t>Nordic Storm</t>
  </si>
  <si>
    <t>Saint Peter</t>
  </si>
  <si>
    <t>Scottsdale</t>
  </si>
  <si>
    <t>The  Agency</t>
  </si>
  <si>
    <t>STARK Industries</t>
  </si>
  <si>
    <t>Elk River</t>
  </si>
  <si>
    <t>My Favorite Team</t>
  </si>
  <si>
    <t>Ashland</t>
  </si>
  <si>
    <t>Orange Crush Robotics</t>
  </si>
  <si>
    <t>Delano</t>
  </si>
  <si>
    <t>Robot Commando Squad</t>
  </si>
  <si>
    <t>Hidalgo</t>
  </si>
  <si>
    <t>T-STEM Titans</t>
  </si>
  <si>
    <t>Galileo</t>
  </si>
  <si>
    <t>Kefar Blum</t>
  </si>
  <si>
    <t>Droid Rage</t>
  </si>
  <si>
    <t>Corpus Christi</t>
  </si>
  <si>
    <t>DROBA Warriors</t>
  </si>
  <si>
    <t>Deer River</t>
  </si>
  <si>
    <t>GLOBOTS</t>
  </si>
  <si>
    <t>Longview</t>
  </si>
  <si>
    <t>ICE</t>
  </si>
  <si>
    <t>North Branch</t>
  </si>
  <si>
    <t>Wildcat Robotics</t>
  </si>
  <si>
    <t>Destrehan</t>
  </si>
  <si>
    <t>Cobalt Catalysts</t>
  </si>
  <si>
    <t>El Paso</t>
  </si>
  <si>
    <t>Team 0xBE4</t>
  </si>
  <si>
    <t>Ballston Spa</t>
  </si>
  <si>
    <t>The Gear Gremlins</t>
  </si>
  <si>
    <t>San Mateo</t>
  </si>
  <si>
    <t>BremerTron</t>
  </si>
  <si>
    <t>Bremerton</t>
  </si>
  <si>
    <t>IceStorm</t>
  </si>
  <si>
    <t>Grand Marais</t>
  </si>
  <si>
    <t>Furious George</t>
  </si>
  <si>
    <t>AnnDroids</t>
  </si>
  <si>
    <t>Annandale</t>
  </si>
  <si>
    <t>Huskie Robotics</t>
  </si>
  <si>
    <t>Naperville</t>
  </si>
  <si>
    <t>Natrona Heights</t>
  </si>
  <si>
    <t>Jatt High School</t>
  </si>
  <si>
    <t>Jatt</t>
  </si>
  <si>
    <t>Robovikes</t>
  </si>
  <si>
    <t>Geneva</t>
  </si>
  <si>
    <t>Team Pronto</t>
  </si>
  <si>
    <t>Backwoods Bots</t>
  </si>
  <si>
    <t>Wytheville</t>
  </si>
  <si>
    <t>Ha-Dream Team</t>
  </si>
  <si>
    <t>Hod-Ha'Sharon</t>
  </si>
  <si>
    <t>RoboEagles</t>
  </si>
  <si>
    <t>Chicken Bot Pie</t>
  </si>
  <si>
    <t>Minnetonka</t>
  </si>
  <si>
    <t>Artemis</t>
  </si>
  <si>
    <t>Maagan Michael</t>
  </si>
  <si>
    <t>Ramhawks</t>
  </si>
  <si>
    <t>Winona</t>
  </si>
  <si>
    <t>100 Scholars</t>
  </si>
  <si>
    <t>The Village Bulldogs</t>
  </si>
  <si>
    <t>The Captains</t>
  </si>
  <si>
    <t>Ecolab Lightning Turtles</t>
  </si>
  <si>
    <t>Tech-No-Tigers</t>
  </si>
  <si>
    <t>Nevis</t>
  </si>
  <si>
    <t>Iron Plaid</t>
  </si>
  <si>
    <t>The Cyber Rams</t>
  </si>
  <si>
    <t>Stamford</t>
  </si>
  <si>
    <t>SeaBots</t>
  </si>
  <si>
    <t>Harfangs</t>
  </si>
  <si>
    <t>RoboKnights</t>
  </si>
  <si>
    <t>The Alluminators</t>
  </si>
  <si>
    <t>New Ulm</t>
  </si>
  <si>
    <t>Aluminum Narwhals</t>
  </si>
  <si>
    <t>The ERRORs</t>
  </si>
  <si>
    <t>Gladiators</t>
  </si>
  <si>
    <t>Thunder Down Under</t>
  </si>
  <si>
    <t>Sydney</t>
  </si>
  <si>
    <t>New South Wales</t>
  </si>
  <si>
    <t>Australia</t>
  </si>
  <si>
    <t>Coronado Robotics</t>
  </si>
  <si>
    <t xml:space="preserve">The Accelerators </t>
  </si>
  <si>
    <t>Cass Lake</t>
  </si>
  <si>
    <t>Official Robotics Constructors of Ashland</t>
  </si>
  <si>
    <t xml:space="preserve">T-Birds </t>
  </si>
  <si>
    <t>Bohemia</t>
  </si>
  <si>
    <t>Innovators Robotics</t>
  </si>
  <si>
    <t>Dayton</t>
  </si>
  <si>
    <t>Omega</t>
  </si>
  <si>
    <t>Flagship</t>
  </si>
  <si>
    <t>Aperture</t>
  </si>
  <si>
    <t>TeraViks</t>
  </si>
  <si>
    <t>Coeur d' Alene</t>
  </si>
  <si>
    <t>GRANBY GRUNTS</t>
  </si>
  <si>
    <t>Granby</t>
  </si>
  <si>
    <t>Munster HorsePower</t>
  </si>
  <si>
    <t>Munster</t>
  </si>
  <si>
    <t>Cyberstorm</t>
  </si>
  <si>
    <t>Sewell</t>
  </si>
  <si>
    <t>KTC-Monsters</t>
  </si>
  <si>
    <t>Idabel</t>
  </si>
  <si>
    <t>Eastridge Robotics</t>
  </si>
  <si>
    <t>TECBOT</t>
  </si>
  <si>
    <t>Toluca</t>
  </si>
  <si>
    <t>F. R. O. G.</t>
  </si>
  <si>
    <t>Grove</t>
  </si>
  <si>
    <t>Tronic Titans</t>
  </si>
  <si>
    <t>ROARBOTS</t>
  </si>
  <si>
    <t>Henryetta</t>
  </si>
  <si>
    <t>Stealth Tigers</t>
  </si>
  <si>
    <t>First Year Ravens</t>
  </si>
  <si>
    <t>Sandy</t>
  </si>
  <si>
    <t>HURRICANES</t>
  </si>
  <si>
    <t>Westhampton Beach</t>
  </si>
  <si>
    <t>HorsePOWER</t>
  </si>
  <si>
    <t>Salina</t>
  </si>
  <si>
    <t>IgKnighters</t>
  </si>
  <si>
    <t>Knight Vision</t>
  </si>
  <si>
    <t>Grosse Pointe Woods</t>
  </si>
  <si>
    <t>Purple Precision</t>
  </si>
  <si>
    <t>Brownsburg</t>
  </si>
  <si>
    <t>The A.N.T.</t>
  </si>
  <si>
    <t>Adair</t>
  </si>
  <si>
    <t>Blaise of Glory</t>
  </si>
  <si>
    <t>Trafalgar</t>
  </si>
  <si>
    <t>Pittsford Panthers</t>
  </si>
  <si>
    <t>Pittsford</t>
  </si>
  <si>
    <t>Athena's Warriors</t>
  </si>
  <si>
    <t>West Hartford</t>
  </si>
  <si>
    <t>Blaze Robotics</t>
  </si>
  <si>
    <t>Burnsville</t>
  </si>
  <si>
    <t>Arcadia Titan Robotics</t>
  </si>
  <si>
    <t>Placerville</t>
  </si>
  <si>
    <t>Falco Tech</t>
  </si>
  <si>
    <t>Youngstown</t>
  </si>
  <si>
    <t>Team SPORK</t>
  </si>
  <si>
    <t>Mooresville</t>
  </si>
  <si>
    <t>HexHounds</t>
  </si>
  <si>
    <t>Cedarburg</t>
  </si>
  <si>
    <t>Raptacon</t>
  </si>
  <si>
    <t>Ross Rambotics</t>
  </si>
  <si>
    <t>KnightBots</t>
  </si>
  <si>
    <t>Steampunk Penguins</t>
  </si>
  <si>
    <t>Jamaica Estates</t>
  </si>
  <si>
    <t>Royal T-Wrecks</t>
  </si>
  <si>
    <t xml:space="preserve">Woodbury </t>
  </si>
  <si>
    <t>The Y Team</t>
  </si>
  <si>
    <t>Yeruham</t>
  </si>
  <si>
    <t>YME Stingbots</t>
  </si>
  <si>
    <t>Granite Falls</t>
  </si>
  <si>
    <t>Apollo</t>
  </si>
  <si>
    <t>Missoula Robotics Team (MRT)</t>
  </si>
  <si>
    <t>Missoula</t>
  </si>
  <si>
    <t>Montana</t>
  </si>
  <si>
    <t>Bonney Lake</t>
  </si>
  <si>
    <t>TREAD</t>
  </si>
  <si>
    <t>Mechanics of Mayhem</t>
  </si>
  <si>
    <t>Spangle</t>
  </si>
  <si>
    <t>Robotics Of Central Kitsap</t>
  </si>
  <si>
    <t>Silverdale</t>
  </si>
  <si>
    <t>West Valley City</t>
  </si>
  <si>
    <t>Hawktimus Prime</t>
  </si>
  <si>
    <t>Holly Springs</t>
  </si>
  <si>
    <t>PrototypeX</t>
  </si>
  <si>
    <t>Red Arrows</t>
  </si>
  <si>
    <t>Lowell</t>
  </si>
  <si>
    <t>TRIFORCE</t>
  </si>
  <si>
    <t>Event Horizon</t>
  </si>
  <si>
    <t>Cyborg Ferrets</t>
  </si>
  <si>
    <t>Anacortes</t>
  </si>
  <si>
    <t>Birds of Prey</t>
  </si>
  <si>
    <t>Layton</t>
  </si>
  <si>
    <t>Team Orion</t>
  </si>
  <si>
    <t>ILLUMICATS</t>
  </si>
  <si>
    <t>Ocala</t>
  </si>
  <si>
    <t>Amperes</t>
  </si>
  <si>
    <t>Granite City Gear Heads</t>
  </si>
  <si>
    <t>Saint Cloud</t>
  </si>
  <si>
    <t>Ravens</t>
  </si>
  <si>
    <t>Robopack</t>
  </si>
  <si>
    <t>Kennedy Robotics</t>
  </si>
  <si>
    <t>Super NURDs</t>
  </si>
  <si>
    <t>WarriorBorgs</t>
  </si>
  <si>
    <t>Vortechs</t>
  </si>
  <si>
    <t>Lincoln</t>
  </si>
  <si>
    <t>MADawgs</t>
  </si>
  <si>
    <t>SHARP</t>
  </si>
  <si>
    <t>Arrowheads</t>
  </si>
  <si>
    <t>Powder Springs</t>
  </si>
  <si>
    <t>Robots-R-Us</t>
  </si>
  <si>
    <t>Eaton</t>
  </si>
  <si>
    <t>Mariner Robotics</t>
  </si>
  <si>
    <t>Silver Bay</t>
  </si>
  <si>
    <t>Vahallabots</t>
  </si>
  <si>
    <t>Kenmore</t>
  </si>
  <si>
    <t>Rocktown Robotics</t>
  </si>
  <si>
    <t>Harrisonburg</t>
  </si>
  <si>
    <t>The Regulators</t>
  </si>
  <si>
    <t>TOOLCATS</t>
  </si>
  <si>
    <t>New London</t>
  </si>
  <si>
    <t>ProDigi</t>
  </si>
  <si>
    <t>Thief River Falls</t>
  </si>
  <si>
    <t>QWERTY Robotics</t>
  </si>
  <si>
    <t>Detroit Lakes</t>
  </si>
  <si>
    <t>Dallas Robo Tigers</t>
  </si>
  <si>
    <t>3283 Coyote Robotix</t>
  </si>
  <si>
    <t>Clarksburg</t>
  </si>
  <si>
    <t xml:space="preserve">Camdenton LASER </t>
  </si>
  <si>
    <t>Camdenton</t>
  </si>
  <si>
    <t>Punchers</t>
  </si>
  <si>
    <t>Big Piney</t>
  </si>
  <si>
    <t>Soaring Eagle</t>
  </si>
  <si>
    <t>Draper</t>
  </si>
  <si>
    <t>Au Pirates</t>
  </si>
  <si>
    <t>The Aluminum Falcon</t>
  </si>
  <si>
    <t>Benson</t>
  </si>
  <si>
    <t>OtterBots</t>
  </si>
  <si>
    <t>Fergus Falls</t>
  </si>
  <si>
    <t>Backwoods Engineers</t>
  </si>
  <si>
    <t>Pine River</t>
  </si>
  <si>
    <t>Poly Techs</t>
  </si>
  <si>
    <t>Mentone</t>
  </si>
  <si>
    <t>Perham</t>
  </si>
  <si>
    <t>ArrowBots</t>
  </si>
  <si>
    <t>Pipestone</t>
  </si>
  <si>
    <t>Warehouse Crew</t>
  </si>
  <si>
    <t>Midwest WARRIORS</t>
  </si>
  <si>
    <t>TurboTrojans</t>
  </si>
  <si>
    <t>Clawson</t>
  </si>
  <si>
    <t>Metallic Thunder</t>
  </si>
  <si>
    <t>Friarbots</t>
  </si>
  <si>
    <t>Anaheim</t>
  </si>
  <si>
    <t>Black Hawk Robotics</t>
  </si>
  <si>
    <t>Heath</t>
  </si>
  <si>
    <t>Mechatronics</t>
  </si>
  <si>
    <t>Mechanical Mustangs</t>
  </si>
  <si>
    <t>Clifton</t>
  </si>
  <si>
    <t>D-Bug</t>
  </si>
  <si>
    <t xml:space="preserve">Grissom Robotics </t>
  </si>
  <si>
    <t>Eagle Imperium</t>
  </si>
  <si>
    <t>Potential Energy</t>
  </si>
  <si>
    <t>Litchfield</t>
  </si>
  <si>
    <t>The Metrobots</t>
  </si>
  <si>
    <t>NohoRobo</t>
  </si>
  <si>
    <t>North Hollywood</t>
  </si>
  <si>
    <t>Wildbots</t>
  </si>
  <si>
    <t>Kingsland</t>
  </si>
  <si>
    <t xml:space="preserve">System of the Corn </t>
  </si>
  <si>
    <t>Cy-Borgs</t>
  </si>
  <si>
    <t>Cypress</t>
  </si>
  <si>
    <t>Zimanators</t>
  </si>
  <si>
    <t>Swansboro</t>
  </si>
  <si>
    <t>Panthrobotics</t>
  </si>
  <si>
    <t>Baton Rouge</t>
  </si>
  <si>
    <t>BumbleB</t>
  </si>
  <si>
    <t>Kfar Yona</t>
  </si>
  <si>
    <t>Union City MagneGeeks</t>
  </si>
  <si>
    <t>Union City</t>
  </si>
  <si>
    <t>Option 16</t>
  </si>
  <si>
    <t>Robocopz</t>
  </si>
  <si>
    <t>Flaming Monkeys 4-H Robotics Club</t>
  </si>
  <si>
    <t>Belvidere</t>
  </si>
  <si>
    <t>TecDroid</t>
  </si>
  <si>
    <t>Queretaro</t>
  </si>
  <si>
    <t>QuerÃ©taro</t>
  </si>
  <si>
    <t>Purple Vipers</t>
  </si>
  <si>
    <t>COMETS</t>
  </si>
  <si>
    <t>Portsmouth</t>
  </si>
  <si>
    <t>Hyperion</t>
  </si>
  <si>
    <t>Governators</t>
  </si>
  <si>
    <t>Fishersville</t>
  </si>
  <si>
    <t>Plowbots</t>
  </si>
  <si>
    <t>Roscoe</t>
  </si>
  <si>
    <t>Circle Of Life Academy - COLA</t>
  </si>
  <si>
    <t>White Earth</t>
  </si>
  <si>
    <t>Irving</t>
  </si>
  <si>
    <t>Team RoboHawk</t>
  </si>
  <si>
    <t>Warrenton</t>
  </si>
  <si>
    <t>RoboBroncs</t>
  </si>
  <si>
    <t>MÃ©cani-Wolf</t>
  </si>
  <si>
    <t>Montreal</t>
  </si>
  <si>
    <t>Droid Rage 3381</t>
  </si>
  <si>
    <t>Valders</t>
  </si>
  <si>
    <t>Tornades</t>
  </si>
  <si>
    <t>Les Aigles d'Or</t>
  </si>
  <si>
    <t>Gan Yavne</t>
  </si>
  <si>
    <t>TEC Tigers</t>
  </si>
  <si>
    <t>Salisbury</t>
  </si>
  <si>
    <t>ANATOLIAN EAGLEBOTS</t>
  </si>
  <si>
    <t>Ankara</t>
  </si>
  <si>
    <t>Horns of Havoc</t>
  </si>
  <si>
    <t xml:space="preserve">Puyallup </t>
  </si>
  <si>
    <t>Robolions</t>
  </si>
  <si>
    <t>Crushing Crusaders</t>
  </si>
  <si>
    <t>ROBOMonkeys</t>
  </si>
  <si>
    <t>Lenoir</t>
  </si>
  <si>
    <t>ALChemists</t>
  </si>
  <si>
    <t>Salem</t>
  </si>
  <si>
    <t>Mustybots</t>
  </si>
  <si>
    <t>Killa-Byte Cubs</t>
  </si>
  <si>
    <t>Miami MEngs</t>
  </si>
  <si>
    <t>Hackbots</t>
  </si>
  <si>
    <t>RoboRiot</t>
  </si>
  <si>
    <t>Sheboygan Falls</t>
  </si>
  <si>
    <t>RoHawks</t>
  </si>
  <si>
    <t>The ANOMALY</t>
  </si>
  <si>
    <t>Sanford</t>
  </si>
  <si>
    <t>GreengineerZ</t>
  </si>
  <si>
    <t>Berrien Springs</t>
  </si>
  <si>
    <t>DEM BOTS</t>
  </si>
  <si>
    <t>Winchester</t>
  </si>
  <si>
    <t>Z Bots</t>
  </si>
  <si>
    <t>Robot Revolution</t>
  </si>
  <si>
    <t>MacBotics</t>
  </si>
  <si>
    <t>Lawton</t>
  </si>
  <si>
    <t>Code Blue</t>
  </si>
  <si>
    <t>Team PyroTech</t>
  </si>
  <si>
    <t>Cary</t>
  </si>
  <si>
    <t xml:space="preserve">Operation PEACCE Robotics </t>
  </si>
  <si>
    <t>Bristol</t>
  </si>
  <si>
    <t>Sim-City</t>
  </si>
  <si>
    <t>Simsbury</t>
  </si>
  <si>
    <t>The Omega Factor</t>
  </si>
  <si>
    <t>Mustang</t>
  </si>
  <si>
    <t>VIKINGS ROBOTICS</t>
  </si>
  <si>
    <t>Westford</t>
  </si>
  <si>
    <t>Windham Windup</t>
  </si>
  <si>
    <t>Windham</t>
  </si>
  <si>
    <t>MAGNAtech</t>
  </si>
  <si>
    <t>West Monroe</t>
  </si>
  <si>
    <t>Cyborg Zombies</t>
  </si>
  <si>
    <t>Temecula</t>
  </si>
  <si>
    <t>Buluk</t>
  </si>
  <si>
    <t>Atizapan de Zaragoza</t>
  </si>
  <si>
    <t>Team Sprocket</t>
  </si>
  <si>
    <t>Diamond Bar</t>
  </si>
  <si>
    <t>Code Orange</t>
  </si>
  <si>
    <t>LamBot</t>
  </si>
  <si>
    <t>San Luis PotosÃ­</t>
  </si>
  <si>
    <t>ABTOMAT</t>
  </si>
  <si>
    <t>LeÃ³n</t>
  </si>
  <si>
    <t>Guanajuato</t>
  </si>
  <si>
    <t xml:space="preserve">Bronc Botz </t>
  </si>
  <si>
    <t>Arrowbotics</t>
  </si>
  <si>
    <t>Campbell</t>
  </si>
  <si>
    <t>Short Circuit</t>
  </si>
  <si>
    <t>Marysville</t>
  </si>
  <si>
    <t>Red Pride Robotics</t>
  </si>
  <si>
    <t xml:space="preserve">RoboEAGLES </t>
  </si>
  <si>
    <t>Orland Park</t>
  </si>
  <si>
    <t>Category 5</t>
  </si>
  <si>
    <t>Viper Drive</t>
  </si>
  <si>
    <t>Summerville</t>
  </si>
  <si>
    <t>FUTURE Dinos</t>
  </si>
  <si>
    <t>Holtville</t>
  </si>
  <si>
    <t>P.A.R.T.s</t>
  </si>
  <si>
    <t>Winfield</t>
  </si>
  <si>
    <t>The Quadrangles</t>
  </si>
  <si>
    <t>MindCraft</t>
  </si>
  <si>
    <t>Jankopotamus</t>
  </si>
  <si>
    <t>River's Edge Robotics</t>
  </si>
  <si>
    <t>Firebots</t>
  </si>
  <si>
    <t>Sunnyvale</t>
  </si>
  <si>
    <t>Girls of Steel</t>
  </si>
  <si>
    <t>YETI Robotics</t>
  </si>
  <si>
    <t>Charlotte</t>
  </si>
  <si>
    <t>Ubotics</t>
  </si>
  <si>
    <t>Tectronic</t>
  </si>
  <si>
    <t>Celaya</t>
  </si>
  <si>
    <t>Road Dogs</t>
  </si>
  <si>
    <t>New Stanton</t>
  </si>
  <si>
    <t>Spartatroniks</t>
  </si>
  <si>
    <t>Orcutt</t>
  </si>
  <si>
    <t>Misfit Toys</t>
  </si>
  <si>
    <t>Rathdrum</t>
  </si>
  <si>
    <t xml:space="preserve">Pneubotic Mustangs </t>
  </si>
  <si>
    <t>Iselin</t>
  </si>
  <si>
    <t>CBoTÂ´S4</t>
  </si>
  <si>
    <t>The Nuts &amp; Bolts of Fury</t>
  </si>
  <si>
    <t>Waterbury</t>
  </si>
  <si>
    <t>Blue Ignition</t>
  </si>
  <si>
    <t>Saltillo</t>
  </si>
  <si>
    <t>Coahuila</t>
  </si>
  <si>
    <t>Tec Balam Esmeralda</t>
  </si>
  <si>
    <t>Piranha</t>
  </si>
  <si>
    <t>Saint-Hubert</t>
  </si>
  <si>
    <t>Mekano</t>
  </si>
  <si>
    <t>House of Cards</t>
  </si>
  <si>
    <t>Davison</t>
  </si>
  <si>
    <t>Galaktech Invaders</t>
  </si>
  <si>
    <t>Lapeer County</t>
  </si>
  <si>
    <t>Electro Eagles</t>
  </si>
  <si>
    <t>Delta Force</t>
  </si>
  <si>
    <t>Indian River</t>
  </si>
  <si>
    <t>RoboJackets</t>
  </si>
  <si>
    <t>Byting Bulldogs</t>
  </si>
  <si>
    <t>Romeo</t>
  </si>
  <si>
    <t>S.P.E.E.D</t>
  </si>
  <si>
    <t>C4 Robotics</t>
  </si>
  <si>
    <t>Arnprior</t>
  </si>
  <si>
    <t>Spartiates</t>
  </si>
  <si>
    <t>Montreal-Nord</t>
  </si>
  <si>
    <t>Bots in Blue</t>
  </si>
  <si>
    <t>Jbsa Lackland</t>
  </si>
  <si>
    <t>Buc'n'Gears</t>
  </si>
  <si>
    <t>Grand Haven</t>
  </si>
  <si>
    <t>VIRUS</t>
  </si>
  <si>
    <t>Robotronix</t>
  </si>
  <si>
    <t>Lasalle</t>
  </si>
  <si>
    <t>Aluminati</t>
  </si>
  <si>
    <t>Storrs Mansfield</t>
  </si>
  <si>
    <t>GET SMART</t>
  </si>
  <si>
    <t>Thundercats</t>
  </si>
  <si>
    <t>Jasper</t>
  </si>
  <si>
    <t>Chingbotics</t>
  </si>
  <si>
    <t>Brampton</t>
  </si>
  <si>
    <t>LiveWire</t>
  </si>
  <si>
    <t>Gone Fishin'</t>
  </si>
  <si>
    <t>Southborough</t>
  </si>
  <si>
    <t>Pheonix 3570</t>
  </si>
  <si>
    <t>Alma</t>
  </si>
  <si>
    <t>Mustang Robotics</t>
  </si>
  <si>
    <t>Milton</t>
  </si>
  <si>
    <t>Wavelength</t>
  </si>
  <si>
    <t>Muskegon</t>
  </si>
  <si>
    <t>The Ohms</t>
  </si>
  <si>
    <t>Conyers</t>
  </si>
  <si>
    <t>HIGH TEKERZ</t>
  </si>
  <si>
    <t xml:space="preserve">Okanogan FFA </t>
  </si>
  <si>
    <t>Okanogan</t>
  </si>
  <si>
    <t>Saint's Robotics</t>
  </si>
  <si>
    <t>THINC. ROBOTICS</t>
  </si>
  <si>
    <t>Lagrange</t>
  </si>
  <si>
    <t>Pride in the Tribe-Caveman Robotics</t>
  </si>
  <si>
    <t>Reardan</t>
  </si>
  <si>
    <t>the Talon</t>
  </si>
  <si>
    <t>Renton</t>
  </si>
  <si>
    <t>Wild WarBots "WWB"</t>
  </si>
  <si>
    <t>Invictus</t>
  </si>
  <si>
    <t>Rocket Robotics</t>
  </si>
  <si>
    <t>South Milwaukee</t>
  </si>
  <si>
    <t>Robo-Rangers</t>
  </si>
  <si>
    <t>Kittery</t>
  </si>
  <si>
    <t>SEStematic Eliminators</t>
  </si>
  <si>
    <t>RoboMos</t>
  </si>
  <si>
    <t>Escanaba</t>
  </si>
  <si>
    <t>Cyber Coyotes</t>
  </si>
  <si>
    <t xml:space="preserve">Reed City </t>
  </si>
  <si>
    <t>Goon Squad</t>
  </si>
  <si>
    <t>Brownstown</t>
  </si>
  <si>
    <t>BearMetal</t>
  </si>
  <si>
    <t>Duct Tape Dragons</t>
  </si>
  <si>
    <t>Islanders</t>
  </si>
  <si>
    <t>GearHogs</t>
  </si>
  <si>
    <t>Springdale</t>
  </si>
  <si>
    <t>Reavers</t>
  </si>
  <si>
    <t xml:space="preserve">Team Phenomena </t>
  </si>
  <si>
    <t>Cold Logic</t>
  </si>
  <si>
    <t>Marquette</t>
  </si>
  <si>
    <t>Petoskey Paladins</t>
  </si>
  <si>
    <t>Petoskey</t>
  </si>
  <si>
    <t>Blackhawks</t>
  </si>
  <si>
    <t>Average Joes</t>
  </si>
  <si>
    <t>Saint Joseph</t>
  </si>
  <si>
    <t>Terror Bots</t>
  </si>
  <si>
    <t>Leominster</t>
  </si>
  <si>
    <t>ThunderColts</t>
  </si>
  <si>
    <t>The Jungle Robotics</t>
  </si>
  <si>
    <t>Sarasota</t>
  </si>
  <si>
    <t>The Stampede</t>
  </si>
  <si>
    <t>D-Techs</t>
  </si>
  <si>
    <t>Catalyst 3633</t>
  </si>
  <si>
    <t>Albert Lea</t>
  </si>
  <si>
    <t>Spark City</t>
  </si>
  <si>
    <t>Bridgeport</t>
  </si>
  <si>
    <t xml:space="preserve"> Flying Legion </t>
  </si>
  <si>
    <t>Warner Robins</t>
  </si>
  <si>
    <t>Generals</t>
  </si>
  <si>
    <t>The Daleks</t>
  </si>
  <si>
    <t>Flemington</t>
  </si>
  <si>
    <t>The Flying Toasters</t>
  </si>
  <si>
    <t>South Lyon</t>
  </si>
  <si>
    <t>Integra</t>
  </si>
  <si>
    <t>Millennium Falcons</t>
  </si>
  <si>
    <t>Sparta Robotica</t>
  </si>
  <si>
    <t>RoboRaptors</t>
  </si>
  <si>
    <t>Pomfret</t>
  </si>
  <si>
    <t>TRIBE</t>
  </si>
  <si>
    <t>Travelers Rest</t>
  </si>
  <si>
    <t>BOTCATS</t>
  </si>
  <si>
    <t>TechTigers</t>
  </si>
  <si>
    <t>Tractor Technicians</t>
  </si>
  <si>
    <t>Mason</t>
  </si>
  <si>
    <t>Dreadbots</t>
  </si>
  <si>
    <t>Dexter</t>
  </si>
  <si>
    <t>Robo - Beavers</t>
  </si>
  <si>
    <t>Battle Creek</t>
  </si>
  <si>
    <t>LIGHTSABERS</t>
  </si>
  <si>
    <t>RoboWolves</t>
  </si>
  <si>
    <t>Wadesboro</t>
  </si>
  <si>
    <t>CPR - Cedar Park Robotics</t>
  </si>
  <si>
    <t>Bothell</t>
  </si>
  <si>
    <t>Mecanum Knights</t>
  </si>
  <si>
    <t>Port Huron</t>
  </si>
  <si>
    <t>TroBots</t>
  </si>
  <si>
    <t>Whitmore Lake</t>
  </si>
  <si>
    <t>Ripon</t>
  </si>
  <si>
    <t>C.Y.B.O.R.G. Seagulls</t>
  </si>
  <si>
    <t>Seaside</t>
  </si>
  <si>
    <t>4-H / CAM Academy CloverBots</t>
  </si>
  <si>
    <t>Battle Ground</t>
  </si>
  <si>
    <t>rattlers</t>
  </si>
  <si>
    <t>San Marcos</t>
  </si>
  <si>
    <t>Elemental Dragons</t>
  </si>
  <si>
    <t>Statesville</t>
  </si>
  <si>
    <t>Team Dave</t>
  </si>
  <si>
    <t>Waterloo</t>
  </si>
  <si>
    <t>Norsemen</t>
  </si>
  <si>
    <t>Suttons Bay</t>
  </si>
  <si>
    <t>Northfield</t>
  </si>
  <si>
    <t>Rock N' Robotics</t>
  </si>
  <si>
    <t>Janesville</t>
  </si>
  <si>
    <t>GearHead Pirates</t>
  </si>
  <si>
    <t>NAHS Warbotz</t>
  </si>
  <si>
    <t>Foximus Prime</t>
  </si>
  <si>
    <t>Yorkville</t>
  </si>
  <si>
    <t>Robosapiens</t>
  </si>
  <si>
    <t>National City</t>
  </si>
  <si>
    <t>Brighton TechnoDogs</t>
  </si>
  <si>
    <t>Brighton</t>
  </si>
  <si>
    <t>Iron Mustang</t>
  </si>
  <si>
    <t>Trout Lake</t>
  </si>
  <si>
    <t>Union</t>
  </si>
  <si>
    <t>SOAR (Students of Applied Robotics)</t>
  </si>
  <si>
    <t xml:space="preserve">STEM Whalers </t>
  </si>
  <si>
    <t xml:space="preserve">New London </t>
  </si>
  <si>
    <t>Pearl CIty</t>
  </si>
  <si>
    <t>TEKnights</t>
  </si>
  <si>
    <t>Spring Valley</t>
  </si>
  <si>
    <t>Momentum</t>
  </si>
  <si>
    <t>The Raiders</t>
  </si>
  <si>
    <t>Caxys</t>
  </si>
  <si>
    <t>Lake Forest</t>
  </si>
  <si>
    <t>VorTX</t>
  </si>
  <si>
    <t>Spring</t>
  </si>
  <si>
    <t>Roto-Raptors</t>
  </si>
  <si>
    <t>Goldsboro</t>
  </si>
  <si>
    <t>Oakbotics</t>
  </si>
  <si>
    <t>Storm Robotics</t>
  </si>
  <si>
    <t>Sauk Rapids</t>
  </si>
  <si>
    <t>Eagle Bots</t>
  </si>
  <si>
    <t>Salado</t>
  </si>
  <si>
    <t>Governors</t>
  </si>
  <si>
    <t>Ragnarok Robotics</t>
  </si>
  <si>
    <t>Ellicott City</t>
  </si>
  <si>
    <t>Team Optix</t>
  </si>
  <si>
    <t>Gator Robotics</t>
  </si>
  <si>
    <t>Badger</t>
  </si>
  <si>
    <t>Tower View Robotics</t>
  </si>
  <si>
    <t>Red Wing</t>
  </si>
  <si>
    <t>BulahBots!</t>
  </si>
  <si>
    <t>TrekNorth First City Robotics</t>
  </si>
  <si>
    <t>Bemidji</t>
  </si>
  <si>
    <t>RamFerno</t>
  </si>
  <si>
    <t>SMARTBOTS</t>
  </si>
  <si>
    <t>INGLEWOOD</t>
  </si>
  <si>
    <t>Aerospace</t>
  </si>
  <si>
    <t xml:space="preserve">TITAN </t>
  </si>
  <si>
    <t>BlitzCreek</t>
  </si>
  <si>
    <t>Cobalt Commanders</t>
  </si>
  <si>
    <t>Tecumseh</t>
  </si>
  <si>
    <t>Bean City Bots</t>
  </si>
  <si>
    <t>Lima</t>
  </si>
  <si>
    <t>ROCK'EM SHOCK'EM ROBOTICS</t>
  </si>
  <si>
    <t>Yuma</t>
  </si>
  <si>
    <t>Chargers</t>
  </si>
  <si>
    <t>The Army Ants</t>
  </si>
  <si>
    <t>CyberTitans</t>
  </si>
  <si>
    <t>Frederick</t>
  </si>
  <si>
    <t>Tecmilenio WinT 3794</t>
  </si>
  <si>
    <t>Metepec</t>
  </si>
  <si>
    <t>Technical Assassins</t>
  </si>
  <si>
    <t>Electric Fire</t>
  </si>
  <si>
    <t>Elmira</t>
  </si>
  <si>
    <t>Mustangs</t>
  </si>
  <si>
    <t>Kailua</t>
  </si>
  <si>
    <t>RoboPOP</t>
  </si>
  <si>
    <t>Carrollton</t>
  </si>
  <si>
    <t>Overland BlazerBots</t>
  </si>
  <si>
    <t>Bits &amp; Bots</t>
  </si>
  <si>
    <t>PiBotics</t>
  </si>
  <si>
    <t>NF Raiders</t>
  </si>
  <si>
    <t>Pirabots</t>
  </si>
  <si>
    <t>Belfry</t>
  </si>
  <si>
    <t>Neon Jets</t>
  </si>
  <si>
    <t>Siler City</t>
  </si>
  <si>
    <t>HVA RoHAWKtics</t>
  </si>
  <si>
    <t xml:space="preserve">Sequim Robotics Federation "SRF" </t>
  </si>
  <si>
    <t>Sequim</t>
  </si>
  <si>
    <t>Crab-bots</t>
  </si>
  <si>
    <t>Port Lavaca</t>
  </si>
  <si>
    <t>Vulcan</t>
  </si>
  <si>
    <t>Roc City Robotix</t>
  </si>
  <si>
    <t>SWOLVERINES</t>
  </si>
  <si>
    <t>Wadena</t>
  </si>
  <si>
    <t>Teens 'Nto Technology</t>
  </si>
  <si>
    <t>Isanti</t>
  </si>
  <si>
    <t>M.C.R.T. ROBO RACERS</t>
  </si>
  <si>
    <t>Murray</t>
  </si>
  <si>
    <t>Kentucky Wildbots</t>
  </si>
  <si>
    <t>Corbin</t>
  </si>
  <si>
    <t>Yellow Jackets</t>
  </si>
  <si>
    <t>Winston-Salem</t>
  </si>
  <si>
    <t>Spectrum   -â–³â—…</t>
  </si>
  <si>
    <t>Bots in Shining Armour</t>
  </si>
  <si>
    <t>Kenyon</t>
  </si>
  <si>
    <t xml:space="preserve">The Short Circuits </t>
  </si>
  <si>
    <t>Canoga Park</t>
  </si>
  <si>
    <t>Pridetronics</t>
  </si>
  <si>
    <t>Wolfpack Robotics</t>
  </si>
  <si>
    <t>Pantherbotics</t>
  </si>
  <si>
    <t>Newbury Park</t>
  </si>
  <si>
    <t>Riley WildBots</t>
  </si>
  <si>
    <t>South Bend</t>
  </si>
  <si>
    <t>Trojan Robotics</t>
  </si>
  <si>
    <t>Worthington</t>
  </si>
  <si>
    <t>Red Storm Robotics</t>
  </si>
  <si>
    <t>Kentwood</t>
  </si>
  <si>
    <t>Mabton LugNutz</t>
  </si>
  <si>
    <t>Mabton</t>
  </si>
  <si>
    <t xml:space="preserve">Kealakekua </t>
  </si>
  <si>
    <t>Tiki Techs</t>
  </si>
  <si>
    <t>Kailua Kona</t>
  </si>
  <si>
    <t>WHEA Sharkbots</t>
  </si>
  <si>
    <t>Lunas</t>
  </si>
  <si>
    <t>Lahaina</t>
  </si>
  <si>
    <t>Data Bits</t>
  </si>
  <si>
    <t>Cottage Grove</t>
  </si>
  <si>
    <t>Circuit of Life</t>
  </si>
  <si>
    <t>Ventura</t>
  </si>
  <si>
    <t>MPArors</t>
  </si>
  <si>
    <t>Team Neutrino</t>
  </si>
  <si>
    <t>Ames</t>
  </si>
  <si>
    <t>Atomic Dragons</t>
  </si>
  <si>
    <t>SMART  Spruce Mountain Area Robotics Team</t>
  </si>
  <si>
    <t>Jay</t>
  </si>
  <si>
    <t>Cockadoodle Dominators</t>
  </si>
  <si>
    <t>Chickasha</t>
  </si>
  <si>
    <t>The Dirty Mechanics</t>
  </si>
  <si>
    <t>Boca Raton</t>
  </si>
  <si>
    <t>Taman Keet</t>
  </si>
  <si>
    <t>RoboBlitz</t>
  </si>
  <si>
    <t>Michigan City</t>
  </si>
  <si>
    <t>Breakaway</t>
  </si>
  <si>
    <t>Searcy</t>
  </si>
  <si>
    <t>Botetourt 4-H Robotics</t>
  </si>
  <si>
    <t>Buchanan</t>
  </si>
  <si>
    <t>CyberTooth</t>
  </si>
  <si>
    <t>Absolute Zero Electricity</t>
  </si>
  <si>
    <t>Aberdeen Proving Ground</t>
  </si>
  <si>
    <t>All Knights</t>
  </si>
  <si>
    <t>Tiger Robotics</t>
  </si>
  <si>
    <t>The Last Crusaders</t>
  </si>
  <si>
    <t>Knightstown</t>
  </si>
  <si>
    <t>RoboGym Robotics</t>
  </si>
  <si>
    <t>Glen Head</t>
  </si>
  <si>
    <t>SUITS</t>
  </si>
  <si>
    <t>Honeoye</t>
  </si>
  <si>
    <t>DesTROYers</t>
  </si>
  <si>
    <t>Fullerton</t>
  </si>
  <si>
    <t>LORE of the ROBATS</t>
  </si>
  <si>
    <t>Eastvale</t>
  </si>
  <si>
    <t>4-H Electrotechs</t>
  </si>
  <si>
    <t>Emlenton</t>
  </si>
  <si>
    <t>4-H Gears</t>
  </si>
  <si>
    <t>Greensburg</t>
  </si>
  <si>
    <t>4-H/Redbank Robotics</t>
  </si>
  <si>
    <t>New Bethlehem</t>
  </si>
  <si>
    <t>Schrodinger's Cat</t>
  </si>
  <si>
    <t>Mech Tech</t>
  </si>
  <si>
    <t>Sultans</t>
  </si>
  <si>
    <t>Santee</t>
  </si>
  <si>
    <t>L&amp;N STEMpunks</t>
  </si>
  <si>
    <t>Duncan Dynamics</t>
  </si>
  <si>
    <t>E=mCD</t>
  </si>
  <si>
    <t>Les Dragons</t>
  </si>
  <si>
    <t>Electric Hornets</t>
  </si>
  <si>
    <t>LOUPS</t>
  </si>
  <si>
    <t>Topper Robotics</t>
  </si>
  <si>
    <t>Johnson City</t>
  </si>
  <si>
    <t>Sonic Howl</t>
  </si>
  <si>
    <t>Express-O</t>
  </si>
  <si>
    <t>Saint-Laurent</t>
  </si>
  <si>
    <t>Scarabot</t>
  </si>
  <si>
    <t>Tech for Kids</t>
  </si>
  <si>
    <t>KnightVision</t>
  </si>
  <si>
    <t>Humanoids</t>
  </si>
  <si>
    <t>Newhall</t>
  </si>
  <si>
    <t>RIKITIK</t>
  </si>
  <si>
    <t>Rimouski</t>
  </si>
  <si>
    <t>Screaming Chickens</t>
  </si>
  <si>
    <t>Redneck Robotics</t>
  </si>
  <si>
    <t>Statesboro</t>
  </si>
  <si>
    <t>Shadetree Robotics</t>
  </si>
  <si>
    <t>RAMS ROBOTICS</t>
  </si>
  <si>
    <t>Thornhill</t>
  </si>
  <si>
    <t>TriSonics</t>
  </si>
  <si>
    <t>Allendale</t>
  </si>
  <si>
    <t>M.A.R.S. Rovers</t>
  </si>
  <si>
    <t>Hostile Gato Robotics</t>
  </si>
  <si>
    <t>Fort Gibson</t>
  </si>
  <si>
    <t>CIBorgs</t>
  </si>
  <si>
    <t>Central Islip</t>
  </si>
  <si>
    <t>Theodore Roosevelt's Disco Haircut</t>
  </si>
  <si>
    <t>Petersburg</t>
  </si>
  <si>
    <t>Denfeld DNA Robotics</t>
  </si>
  <si>
    <t>Nautilus</t>
  </si>
  <si>
    <t>Tlalpan</t>
  </si>
  <si>
    <t xml:space="preserve">Ï€ÏbÎ¿tic   (pi robotics) </t>
  </si>
  <si>
    <t>La Crosse</t>
  </si>
  <si>
    <t>Bad News Bots</t>
  </si>
  <si>
    <t>Clockwork Mania</t>
  </si>
  <si>
    <t>Top Hat Technicians</t>
  </si>
  <si>
    <t>Jag</t>
  </si>
  <si>
    <t>Mechanical Paradise</t>
  </si>
  <si>
    <t>Cyber Tribe</t>
  </si>
  <si>
    <t>Kingsport</t>
  </si>
  <si>
    <t>igKnightion</t>
  </si>
  <si>
    <t>Onalaska</t>
  </si>
  <si>
    <t>Buff Sci-borgs</t>
  </si>
  <si>
    <t>Buffalo</t>
  </si>
  <si>
    <t>The Jokers</t>
  </si>
  <si>
    <t>Winter Park</t>
  </si>
  <si>
    <t>Global Dynamics</t>
  </si>
  <si>
    <t>Decatur</t>
  </si>
  <si>
    <t>Centre County 4-H Robotics</t>
  </si>
  <si>
    <t>State College</t>
  </si>
  <si>
    <t>The Beak Squad</t>
  </si>
  <si>
    <t>Pelham Ï€thons Team 4034</t>
  </si>
  <si>
    <t>Pelham</t>
  </si>
  <si>
    <t>Torbotix</t>
  </si>
  <si>
    <t>Orange</t>
  </si>
  <si>
    <t>MakeShift Robotics</t>
  </si>
  <si>
    <t>Iron Tigers</t>
  </si>
  <si>
    <t>Gardiner</t>
  </si>
  <si>
    <t>Murphy's Lawyers</t>
  </si>
  <si>
    <t>South China</t>
  </si>
  <si>
    <t>NerdHerd</t>
  </si>
  <si>
    <t>McMinnville</t>
  </si>
  <si>
    <t>Redshift</t>
  </si>
  <si>
    <t>Westborough</t>
  </si>
  <si>
    <t>Knoch Knights Robotics</t>
  </si>
  <si>
    <t>Saxonburg</t>
  </si>
  <si>
    <t>Biohazard</t>
  </si>
  <si>
    <t>Chambersburg</t>
  </si>
  <si>
    <t>Sabin-Sharks</t>
  </si>
  <si>
    <t>Team Ascension</t>
  </si>
  <si>
    <t>Gonzales</t>
  </si>
  <si>
    <t>Robo Raiders</t>
  </si>
  <si>
    <t>NRG</t>
  </si>
  <si>
    <t>ElectroTitans</t>
  </si>
  <si>
    <t>Colton</t>
  </si>
  <si>
    <t xml:space="preserve">Klamath Basin Robotics - STEAMPUNK </t>
  </si>
  <si>
    <t>Klamath Falls</t>
  </si>
  <si>
    <t>S.W.A.G.</t>
  </si>
  <si>
    <t>Chehalis</t>
  </si>
  <si>
    <t>Pullman</t>
  </si>
  <si>
    <t>TriKzR4Kidz</t>
  </si>
  <si>
    <t>Del Rio</t>
  </si>
  <si>
    <t>InZombiacs</t>
  </si>
  <si>
    <t>Nerds of Prey</t>
  </si>
  <si>
    <t>Minneola</t>
  </si>
  <si>
    <t>Palmer Ridge BEARbotics</t>
  </si>
  <si>
    <t>Monument</t>
  </si>
  <si>
    <t>Lo-Ellen Robotics</t>
  </si>
  <si>
    <t>Sudbury</t>
  </si>
  <si>
    <t>Robo Katz</t>
  </si>
  <si>
    <t>Shark Bytes</t>
  </si>
  <si>
    <t>Murrells Inlet</t>
  </si>
  <si>
    <t>Robo Tigers</t>
  </si>
  <si>
    <t>Texan Robotics</t>
  </si>
  <si>
    <t>Justin</t>
  </si>
  <si>
    <t>M*A*S*H</t>
  </si>
  <si>
    <t>Edmonds</t>
  </si>
  <si>
    <t>Warriors</t>
  </si>
  <si>
    <t>La Puente</t>
  </si>
  <si>
    <t>Quantum Leap</t>
  </si>
  <si>
    <t>Team Reboot</t>
  </si>
  <si>
    <t>Tucker</t>
  </si>
  <si>
    <t>The Iron Wolverines</t>
  </si>
  <si>
    <t>Dorchester</t>
  </si>
  <si>
    <t>Reynoldsburg</t>
  </si>
  <si>
    <t>New Orleans</t>
  </si>
  <si>
    <t>Stealth Robotics</t>
  </si>
  <si>
    <t>Duvall</t>
  </si>
  <si>
    <t>DRIFT</t>
  </si>
  <si>
    <t>Santo Domingo</t>
  </si>
  <si>
    <t>Dominican Republic</t>
  </si>
  <si>
    <t xml:space="preserve">Hardwired   </t>
  </si>
  <si>
    <t>Orleans County</t>
  </si>
  <si>
    <t>Ctrl-Z</t>
  </si>
  <si>
    <t>Champaign</t>
  </si>
  <si>
    <t>Devilbots</t>
  </si>
  <si>
    <t>Northampton</t>
  </si>
  <si>
    <t>The Falcons</t>
  </si>
  <si>
    <t>Poolesville</t>
  </si>
  <si>
    <t>Roborioles</t>
  </si>
  <si>
    <t>Cheney</t>
  </si>
  <si>
    <t>Team Storm</t>
  </si>
  <si>
    <t>DEEP SPACE NINERS</t>
  </si>
  <si>
    <t>Brookings</t>
  </si>
  <si>
    <t>Some Assembly Required</t>
  </si>
  <si>
    <t>EagleBots</t>
  </si>
  <si>
    <t xml:space="preserve">Cumming </t>
  </si>
  <si>
    <t xml:space="preserve">Pallindrones </t>
  </si>
  <si>
    <t>Hemet</t>
  </si>
  <si>
    <t>Roaring Riptide</t>
  </si>
  <si>
    <t>Gainesville</t>
  </si>
  <si>
    <t>AERO (Avon Eagles Robotics Organization)</t>
  </si>
  <si>
    <t>Jagwires</t>
  </si>
  <si>
    <t>North Canton</t>
  </si>
  <si>
    <t>Ossining O-Bots</t>
  </si>
  <si>
    <t>Ossining</t>
  </si>
  <si>
    <t>Tribe Robotics</t>
  </si>
  <si>
    <t>Bellflower</t>
  </si>
  <si>
    <t>Confidential</t>
  </si>
  <si>
    <t>Umatilla</t>
  </si>
  <si>
    <t>LoggerBots</t>
  </si>
  <si>
    <t>Vernonia</t>
  </si>
  <si>
    <t>The Blue Devils</t>
  </si>
  <si>
    <t>Iron Patriots</t>
  </si>
  <si>
    <t>Scotbots</t>
  </si>
  <si>
    <t>Modesto</t>
  </si>
  <si>
    <t>Wilde Bunch</t>
  </si>
  <si>
    <t>Easy as Pi</t>
  </si>
  <si>
    <t>Monarch Robotics</t>
  </si>
  <si>
    <t>Santa Ana</t>
  </si>
  <si>
    <t>MARS/ WARS</t>
  </si>
  <si>
    <t>Metamora</t>
  </si>
  <si>
    <t>WorBots</t>
  </si>
  <si>
    <t>Sabercats</t>
  </si>
  <si>
    <t>FRobotics</t>
  </si>
  <si>
    <t>Murrysville</t>
  </si>
  <si>
    <t>SCRAP</t>
  </si>
  <si>
    <t>Weymouth</t>
  </si>
  <si>
    <t>Hoya Robotics</t>
  </si>
  <si>
    <t>Project Y</t>
  </si>
  <si>
    <t>Los Alamos</t>
  </si>
  <si>
    <t>Ninjaneers</t>
  </si>
  <si>
    <t>Springfield</t>
  </si>
  <si>
    <t>CardinalBotics</t>
  </si>
  <si>
    <t>San Francisco</t>
  </si>
  <si>
    <t>The RoBucs</t>
  </si>
  <si>
    <t>T-Bird TECH</t>
  </si>
  <si>
    <t>Yucaipa</t>
  </si>
  <si>
    <t>Robostang</t>
  </si>
  <si>
    <t>Mora</t>
  </si>
  <si>
    <t xml:space="preserve"> IMVERT (Interscholastic Mount Vernon Engineering Robotics Team)</t>
  </si>
  <si>
    <t>Mount Vernon</t>
  </si>
  <si>
    <t>Hector</t>
  </si>
  <si>
    <t>Coded Summit</t>
  </si>
  <si>
    <t>Driggs</t>
  </si>
  <si>
    <t>North Easton</t>
  </si>
  <si>
    <t>Iron Riders</t>
  </si>
  <si>
    <t>Quack Attack</t>
  </si>
  <si>
    <t>Blackduck</t>
  </si>
  <si>
    <t>Minneota</t>
  </si>
  <si>
    <t>Bit Buckets</t>
  </si>
  <si>
    <t>Alameda Aztechs</t>
  </si>
  <si>
    <t>Alameda</t>
  </si>
  <si>
    <t>Columbus Space Program</t>
  </si>
  <si>
    <t>Jefferson</t>
  </si>
  <si>
    <t>IMC</t>
  </si>
  <si>
    <t>Kocaeli</t>
  </si>
  <si>
    <t>Flower Mound</t>
  </si>
  <si>
    <t>Austell</t>
  </si>
  <si>
    <t>Genesis</t>
  </si>
  <si>
    <t>Rome</t>
  </si>
  <si>
    <t>Waconia</t>
  </si>
  <si>
    <t>Vitruvian Bots</t>
  </si>
  <si>
    <t>RoboKronos</t>
  </si>
  <si>
    <t>Oneonta</t>
  </si>
  <si>
    <t>ROBOCUBS</t>
  </si>
  <si>
    <t>Sedro Woolley</t>
  </si>
  <si>
    <t>Robo Vikes</t>
  </si>
  <si>
    <t>Fort Worth</t>
  </si>
  <si>
    <t>PyroBotics</t>
  </si>
  <si>
    <t>Victoria</t>
  </si>
  <si>
    <t>TigerBytes</t>
  </si>
  <si>
    <t>Techno Ferrets</t>
  </si>
  <si>
    <t>Galesburg</t>
  </si>
  <si>
    <t>MetalCow Robotics</t>
  </si>
  <si>
    <t>Tritons</t>
  </si>
  <si>
    <t>Blue Ops Robotics</t>
  </si>
  <si>
    <t>Scitobors</t>
  </si>
  <si>
    <t>Nashwauk</t>
  </si>
  <si>
    <t>R4 Robo Riders</t>
  </si>
  <si>
    <t>Huskies</t>
  </si>
  <si>
    <t>Magnetech</t>
  </si>
  <si>
    <t xml:space="preserve">TopperBots </t>
  </si>
  <si>
    <t>AHS Robotics</t>
  </si>
  <si>
    <t>Danielsville</t>
  </si>
  <si>
    <t>Team Lance-A-Bot</t>
  </si>
  <si>
    <t>Stevensville</t>
  </si>
  <si>
    <t>BBE Resistance Robotics</t>
  </si>
  <si>
    <t>Belgrade</t>
  </si>
  <si>
    <t>WARPSPEED</t>
  </si>
  <si>
    <t>Willmar</t>
  </si>
  <si>
    <t>TroTek Warriors</t>
  </si>
  <si>
    <t xml:space="preserve">Joliet Cyborgs </t>
  </si>
  <si>
    <t>Joliet</t>
  </si>
  <si>
    <t>Fresh T.E.C.H.</t>
  </si>
  <si>
    <t>Excelsior!</t>
  </si>
  <si>
    <t>Charleston</t>
  </si>
  <si>
    <t>Resurrected Robotics</t>
  </si>
  <si>
    <t>CougarBots</t>
  </si>
  <si>
    <t>Bits &amp; Pieces</t>
  </si>
  <si>
    <t>Cardinal Robotics</t>
  </si>
  <si>
    <t>Markham</t>
  </si>
  <si>
    <t>Raid Zero</t>
  </si>
  <si>
    <t>Taipei</t>
  </si>
  <si>
    <t>Chinese Taipei</t>
  </si>
  <si>
    <t>RoboDores</t>
  </si>
  <si>
    <t>Monterey</t>
  </si>
  <si>
    <t>Cyborg Cats</t>
  </si>
  <si>
    <t>BEAR Bucs</t>
  </si>
  <si>
    <t>Blue Earth Area</t>
  </si>
  <si>
    <t>Tecmilenio - RoboHawk - 4262</t>
  </si>
  <si>
    <t>Santiago de QuerÃ©taro</t>
  </si>
  <si>
    <t>CyberDragon</t>
  </si>
  <si>
    <t>The Fellowship of the Springs</t>
  </si>
  <si>
    <t>Rogersville</t>
  </si>
  <si>
    <t>Secret City Wildbots</t>
  </si>
  <si>
    <t>Brave Bots</t>
  </si>
  <si>
    <t>CardinalBots</t>
  </si>
  <si>
    <t>Maverick Boiler Robotics</t>
  </si>
  <si>
    <t>Surf City Vikings</t>
  </si>
  <si>
    <t>Huntington Beach</t>
  </si>
  <si>
    <t>Thingamajiggers</t>
  </si>
  <si>
    <t xml:space="preserve"> Bulldogs</t>
  </si>
  <si>
    <t>Somerset</t>
  </si>
  <si>
    <t>INSPIRE Robotics</t>
  </si>
  <si>
    <t>Granville</t>
  </si>
  <si>
    <t>ScotBot4284</t>
  </si>
  <si>
    <t>Camo-Bots</t>
  </si>
  <si>
    <t>Honesdale</t>
  </si>
  <si>
    <t>Imperial Robotics</t>
  </si>
  <si>
    <t>Bots of War</t>
  </si>
  <si>
    <t>AstroBots</t>
  </si>
  <si>
    <t>Henderson</t>
  </si>
  <si>
    <t>PorterBots</t>
  </si>
  <si>
    <t>Komodo</t>
  </si>
  <si>
    <t>Highlands Ranch</t>
  </si>
  <si>
    <t>Hudson Robotics</t>
  </si>
  <si>
    <t>Trident Robotics</t>
  </si>
  <si>
    <t>Gurnee</t>
  </si>
  <si>
    <t>BCS Robo Sharks</t>
  </si>
  <si>
    <t>SM Energy New Tech Narcissists</t>
  </si>
  <si>
    <t>Odessa</t>
  </si>
  <si>
    <t>RoboKomodos</t>
  </si>
  <si>
    <t>ABSOLUTE ROBOTICS</t>
  </si>
  <si>
    <t>4-H Botsmiths</t>
  </si>
  <si>
    <t>Swampscott Currents</t>
  </si>
  <si>
    <t>Swampscott</t>
  </si>
  <si>
    <t>SUL Abe-Ro-Bots</t>
  </si>
  <si>
    <t xml:space="preserve">Springfield </t>
  </si>
  <si>
    <t>Ladies FIRST</t>
  </si>
  <si>
    <t>The Joker</t>
  </si>
  <si>
    <t>Petach Tikvah</t>
  </si>
  <si>
    <t>Clockwork Oranges</t>
  </si>
  <si>
    <t>RoboRangers</t>
  </si>
  <si>
    <t>Cassopolis</t>
  </si>
  <si>
    <t>Q Branch</t>
  </si>
  <si>
    <t>Furious Falcons</t>
  </si>
  <si>
    <t>Lutheran Roboteers</t>
  </si>
  <si>
    <t>Saint Peters</t>
  </si>
  <si>
    <t>Rambunction</t>
  </si>
  <si>
    <t>EHS RoboCats</t>
  </si>
  <si>
    <t>Edinburg</t>
  </si>
  <si>
    <t>Alberta Tech Alliance (ATA)</t>
  </si>
  <si>
    <t>Metallic Clouds</t>
  </si>
  <si>
    <t>Ramageddon</t>
  </si>
  <si>
    <t>R 13</t>
  </si>
  <si>
    <t>Holton</t>
  </si>
  <si>
    <t>Falcons</t>
  </si>
  <si>
    <t>Even-Yehuda</t>
  </si>
  <si>
    <t>Demon Robotics</t>
  </si>
  <si>
    <t>Kennett Square</t>
  </si>
  <si>
    <t xml:space="preserve">MaxTech </t>
  </si>
  <si>
    <t>Bonneville Bots</t>
  </si>
  <si>
    <t>Tooele</t>
  </si>
  <si>
    <t>Krewe de Reauxbotics</t>
  </si>
  <si>
    <t>CP-BOTS</t>
  </si>
  <si>
    <t>Gomez Palacio</t>
  </si>
  <si>
    <t>Durango</t>
  </si>
  <si>
    <t>CIA Robotics Presents - BIG Furious George</t>
  </si>
  <si>
    <t>Chaffee</t>
  </si>
  <si>
    <t>Spudnik</t>
  </si>
  <si>
    <t>Moorhead</t>
  </si>
  <si>
    <t>Roxbotix</t>
  </si>
  <si>
    <t>Roxbury Township</t>
  </si>
  <si>
    <t>Gems</t>
  </si>
  <si>
    <t>Stephenville</t>
  </si>
  <si>
    <t>Tecmilenio-ART-4371</t>
  </si>
  <si>
    <t>CuautilÃ¡n Izcalli</t>
  </si>
  <si>
    <t>RooBotics</t>
  </si>
  <si>
    <t>Jenkintown</t>
  </si>
  <si>
    <t>Westend Gearbusters</t>
  </si>
  <si>
    <t>Ishpeming</t>
  </si>
  <si>
    <t>Raydernators</t>
  </si>
  <si>
    <t>Charlevoix</t>
  </si>
  <si>
    <t>Boyne City Blaze</t>
  </si>
  <si>
    <t>Boyne City</t>
  </si>
  <si>
    <t>Dark Knights</t>
  </si>
  <si>
    <t>Dynomite</t>
  </si>
  <si>
    <t>Twisted Devils</t>
  </si>
  <si>
    <t>Richland</t>
  </si>
  <si>
    <t>Team Trobot</t>
  </si>
  <si>
    <t>The P-TECH Fly-Bots</t>
  </si>
  <si>
    <t>Benzene Bots</t>
  </si>
  <si>
    <t>Mecha-maniacs</t>
  </si>
  <si>
    <t>Brush</t>
  </si>
  <si>
    <t>Ridgebotics</t>
  </si>
  <si>
    <t>ATA  Coregears</t>
  </si>
  <si>
    <t>BraveBots</t>
  </si>
  <si>
    <t>The Deceivers</t>
  </si>
  <si>
    <t>Brimley</t>
  </si>
  <si>
    <t>Dundee Vi-Borgs</t>
  </si>
  <si>
    <t>Dundee</t>
  </si>
  <si>
    <t>TEAM Clutch Robotics</t>
  </si>
  <si>
    <t>Bagley</t>
  </si>
  <si>
    <t>Imprimis Deo</t>
  </si>
  <si>
    <t>CERBOTICS</t>
  </si>
  <si>
    <t>TORREON</t>
  </si>
  <si>
    <t>CETMOV</t>
  </si>
  <si>
    <t>Laguna del Rey Coahuila</t>
  </si>
  <si>
    <t>ROULT</t>
  </si>
  <si>
    <t>Torreon</t>
  </si>
  <si>
    <t>The Atoms Family</t>
  </si>
  <si>
    <t>Panthera Machina</t>
  </si>
  <si>
    <t>Ground Zero</t>
  </si>
  <si>
    <t>The Astroneers</t>
  </si>
  <si>
    <t>EPIC Robotz</t>
  </si>
  <si>
    <t>Cerritos</t>
  </si>
  <si>
    <t>Ramat Hasharon</t>
  </si>
  <si>
    <t>Team IMPULSE</t>
  </si>
  <si>
    <t>Olympia Robotics Federation</t>
  </si>
  <si>
    <t>Olympia</t>
  </si>
  <si>
    <t>ROBOTZ Garage</t>
  </si>
  <si>
    <t>Laurens</t>
  </si>
  <si>
    <t>The Red Hot Chili Bots</t>
  </si>
  <si>
    <t>Artisan Rockets</t>
  </si>
  <si>
    <t>The Burger Bots</t>
  </si>
  <si>
    <t>Warrensburg</t>
  </si>
  <si>
    <t>Mech Cadets</t>
  </si>
  <si>
    <t>Infernobotix</t>
  </si>
  <si>
    <t>Center Moriches</t>
  </si>
  <si>
    <t>LeoTechs</t>
  </si>
  <si>
    <t>Lithia Springs</t>
  </si>
  <si>
    <t>Ramen</t>
  </si>
  <si>
    <t>Team Illusion</t>
  </si>
  <si>
    <t>Greenbelt</t>
  </si>
  <si>
    <t>Robo Hamsters</t>
  </si>
  <si>
    <t>Culpeper</t>
  </si>
  <si>
    <t>Titanium Titans</t>
  </si>
  <si>
    <t>Canonsburg</t>
  </si>
  <si>
    <t>Fernbank LINKS</t>
  </si>
  <si>
    <t>R.A.I.D. (Raider Artificial Intelligence DIvision)</t>
  </si>
  <si>
    <t>Federal Way</t>
  </si>
  <si>
    <t>TiGears</t>
  </si>
  <si>
    <t>Placentia</t>
  </si>
  <si>
    <t>SPARTRONS</t>
  </si>
  <si>
    <t>SuperNOVA</t>
  </si>
  <si>
    <t>Delta Prime</t>
  </si>
  <si>
    <t>Farmingdale</t>
  </si>
  <si>
    <t>W.A.F.F.L.E.S.</t>
  </si>
  <si>
    <t>UC-Botics</t>
  </si>
  <si>
    <t>Upsala</t>
  </si>
  <si>
    <t>Team Rembrandts</t>
  </si>
  <si>
    <t>Eindhoven</t>
  </si>
  <si>
    <t>Noord-Brabant</t>
  </si>
  <si>
    <t>Netherlands</t>
  </si>
  <si>
    <t>ID Robotics</t>
  </si>
  <si>
    <t>Tribe Tech Robotics</t>
  </si>
  <si>
    <t>Blue Prints</t>
  </si>
  <si>
    <t>Vista</t>
  </si>
  <si>
    <t>Shockwave</t>
  </si>
  <si>
    <t>Hillsboro</t>
  </si>
  <si>
    <t>Kittitas County Robotics/ Team Haywire</t>
  </si>
  <si>
    <t>Thorp</t>
  </si>
  <si>
    <t>Sonoran Storm Robotics</t>
  </si>
  <si>
    <t>Gilbert</t>
  </si>
  <si>
    <t>The Highlanders</t>
  </si>
  <si>
    <t>RoboHounds</t>
  </si>
  <si>
    <t>Humans</t>
  </si>
  <si>
    <t>Santa Monica</t>
  </si>
  <si>
    <t>B. C. Robotics</t>
  </si>
  <si>
    <t>McDonogh Robotics</t>
  </si>
  <si>
    <t>Owings Mills</t>
  </si>
  <si>
    <t>PioNerds</t>
  </si>
  <si>
    <t>Steel Stallions</t>
  </si>
  <si>
    <t>Schuylerville</t>
  </si>
  <si>
    <t>Mechanical Bulls</t>
  </si>
  <si>
    <t>Sugar Hill</t>
  </si>
  <si>
    <t>Power Amplified</t>
  </si>
  <si>
    <t>BEAR bots</t>
  </si>
  <si>
    <t>Everett</t>
  </si>
  <si>
    <t>Medical Lake</t>
  </si>
  <si>
    <t>Calvert STEAM Works</t>
  </si>
  <si>
    <t>Huntingtown</t>
  </si>
  <si>
    <t>King's Robotics</t>
  </si>
  <si>
    <t>Harrison Robotics</t>
  </si>
  <si>
    <t>Harrison</t>
  </si>
  <si>
    <t>Team SCREAM</t>
  </si>
  <si>
    <t>Sedalia</t>
  </si>
  <si>
    <t>MCROBO</t>
  </si>
  <si>
    <t xml:space="preserve">Mayes County </t>
  </si>
  <si>
    <t>Renaissance Robotics</t>
  </si>
  <si>
    <t>St. Thomas</t>
  </si>
  <si>
    <t>Automatons</t>
  </si>
  <si>
    <t>Queens</t>
  </si>
  <si>
    <t>STEMpunk</t>
  </si>
  <si>
    <t>Two Rivers</t>
  </si>
  <si>
    <t>Wando Adv. Robotics</t>
  </si>
  <si>
    <t>Mt Pleasant</t>
  </si>
  <si>
    <t>Wired Wizards</t>
  </si>
  <si>
    <t>MinuteBots</t>
  </si>
  <si>
    <t>RoboRoos</t>
  </si>
  <si>
    <t>Adelaide</t>
  </si>
  <si>
    <t>South Australia</t>
  </si>
  <si>
    <t>KAOTIC Robotics</t>
  </si>
  <si>
    <t>Frazee</t>
  </si>
  <si>
    <t>CAV-ineers</t>
  </si>
  <si>
    <t>Severn</t>
  </si>
  <si>
    <t>ShockWave</t>
  </si>
  <si>
    <t>WestyTek</t>
  </si>
  <si>
    <t>Johnstown</t>
  </si>
  <si>
    <t>Iron Bulls</t>
  </si>
  <si>
    <t>South Saint Paul</t>
  </si>
  <si>
    <t>Something's Bruin</t>
  </si>
  <si>
    <t xml:space="preserve">Greenwood Village </t>
  </si>
  <si>
    <t>Sprocketology</t>
  </si>
  <si>
    <t>Skowhegan</t>
  </si>
  <si>
    <t>FullMetal Falcons</t>
  </si>
  <si>
    <t>TerrorBytes</t>
  </si>
  <si>
    <t>Research Triangle Park</t>
  </si>
  <si>
    <t>RIOT</t>
  </si>
  <si>
    <t>Dunnellon</t>
  </si>
  <si>
    <t>Orange Chaos</t>
  </si>
  <si>
    <t>Brewer</t>
  </si>
  <si>
    <t>The Mechanized Mafia</t>
  </si>
  <si>
    <t>Seaford</t>
  </si>
  <si>
    <t>Robot Commander</t>
  </si>
  <si>
    <t>North Adams</t>
  </si>
  <si>
    <t>BArlow RobAutics</t>
  </si>
  <si>
    <t>Redding</t>
  </si>
  <si>
    <t>SRNJRambotics</t>
  </si>
  <si>
    <t>South River</t>
  </si>
  <si>
    <t>The Tin Mints</t>
  </si>
  <si>
    <t>Broomall</t>
  </si>
  <si>
    <t>Red Nation Robotics</t>
  </si>
  <si>
    <t>CometBots</t>
  </si>
  <si>
    <t>Conductors</t>
  </si>
  <si>
    <t xml:space="preserve">Robohawks </t>
  </si>
  <si>
    <t>Robosaurus</t>
  </si>
  <si>
    <t>SentinelFox Engineering</t>
  </si>
  <si>
    <t>Mexicali</t>
  </si>
  <si>
    <t>Baja California</t>
  </si>
  <si>
    <t>Husky Robotics</t>
  </si>
  <si>
    <t>Midvale</t>
  </si>
  <si>
    <t>PRIMO</t>
  </si>
  <si>
    <t>modiin</t>
  </si>
  <si>
    <t>Jersey Voltage</t>
  </si>
  <si>
    <t>Greenblitz</t>
  </si>
  <si>
    <t>Hakfar Hayarok</t>
  </si>
  <si>
    <t>M3 Mighty Mechanical Mustangs</t>
  </si>
  <si>
    <t>Rapid Acceleration</t>
  </si>
  <si>
    <t>Rapid City</t>
  </si>
  <si>
    <t>South Dakota</t>
  </si>
  <si>
    <t>PhÃ©minix</t>
  </si>
  <si>
    <t>Infinity</t>
  </si>
  <si>
    <t>SABERBOTS</t>
  </si>
  <si>
    <t>ICARUS INNOVATED</t>
  </si>
  <si>
    <t>Tech Titans</t>
  </si>
  <si>
    <t>Circuit Birds</t>
  </si>
  <si>
    <t>Canfield</t>
  </si>
  <si>
    <t xml:space="preserve"> Leones FrancÃ©s </t>
  </si>
  <si>
    <t xml:space="preserve">Gomez Palacio </t>
  </si>
  <si>
    <t>Intimitrons from Area 51</t>
  </si>
  <si>
    <t>C.I.S.</t>
  </si>
  <si>
    <t>Becker</t>
  </si>
  <si>
    <t>Duct Tape Warriors</t>
  </si>
  <si>
    <t>Tekoa</t>
  </si>
  <si>
    <t>BearTecs</t>
  </si>
  <si>
    <t>Bastrop</t>
  </si>
  <si>
    <t>O-Zone</t>
  </si>
  <si>
    <t>Lewis Center</t>
  </si>
  <si>
    <t>Barker Redbacks</t>
  </si>
  <si>
    <t>Purple Monkey Dishwasher</t>
  </si>
  <si>
    <t>St Marys</t>
  </si>
  <si>
    <t>Team Pharaohs</t>
  </si>
  <si>
    <t>Newman Robotics</t>
  </si>
  <si>
    <t>HawkBots</t>
  </si>
  <si>
    <t>State of Florida Wildcats</t>
  </si>
  <si>
    <t>Land O Lakes</t>
  </si>
  <si>
    <t>Flyer Robotics</t>
  </si>
  <si>
    <t>Little Falls</t>
  </si>
  <si>
    <t>Rebel Alliance</t>
  </si>
  <si>
    <t>Owatonna</t>
  </si>
  <si>
    <t>Trappers</t>
  </si>
  <si>
    <t>Fort McMurray</t>
  </si>
  <si>
    <t>Iron Centaurs</t>
  </si>
  <si>
    <t>Brooklyn Center</t>
  </si>
  <si>
    <t>Manning Robotics</t>
  </si>
  <si>
    <t>Robodragon</t>
  </si>
  <si>
    <t>Monti-Pythons</t>
  </si>
  <si>
    <t>Monticello</t>
  </si>
  <si>
    <t>Botbusters</t>
  </si>
  <si>
    <t>Monterrey</t>
  </si>
  <si>
    <t>Nuevo LeÃ³n</t>
  </si>
  <si>
    <t>BambieBotz</t>
  </si>
  <si>
    <t>Jagbots</t>
  </si>
  <si>
    <t>Germantown</t>
  </si>
  <si>
    <t>The RoboSpartans</t>
  </si>
  <si>
    <t>Metallic Panthers 4640</t>
  </si>
  <si>
    <t>new york</t>
  </si>
  <si>
    <t>HazMat Hawks</t>
  </si>
  <si>
    <t>Red Oak</t>
  </si>
  <si>
    <t>Butte Built Bots</t>
  </si>
  <si>
    <t>Oroville</t>
  </si>
  <si>
    <t>X-Machina</t>
  </si>
  <si>
    <t xml:space="preserve">Team ASAP </t>
  </si>
  <si>
    <t>Des Moines</t>
  </si>
  <si>
    <t>Techno-Tech</t>
  </si>
  <si>
    <t>Jordan</t>
  </si>
  <si>
    <t>HeavyMech</t>
  </si>
  <si>
    <t>TEL AVIV</t>
  </si>
  <si>
    <t>Ironmen 2</t>
  </si>
  <si>
    <t>Ramsey</t>
  </si>
  <si>
    <t>Ironmen Robotics</t>
  </si>
  <si>
    <t>Stateline Robotics</t>
  </si>
  <si>
    <t>Rockton</t>
  </si>
  <si>
    <t>Rock Solid Robotics</t>
  </si>
  <si>
    <t>Two Harbors</t>
  </si>
  <si>
    <t>Saint Croix Falls</t>
  </si>
  <si>
    <t>The Red Pirates</t>
  </si>
  <si>
    <t>bet-hasmonai</t>
  </si>
  <si>
    <t>Byte Sized Robotics</t>
  </si>
  <si>
    <t>Scappoose</t>
  </si>
  <si>
    <t>Cyber Tigers</t>
  </si>
  <si>
    <t>Belle Plaine</t>
  </si>
  <si>
    <t>Butler Bots</t>
  </si>
  <si>
    <t>Andover</t>
  </si>
  <si>
    <t>Predators</t>
  </si>
  <si>
    <t>Glencoe</t>
  </si>
  <si>
    <t>Galileo Robotics</t>
  </si>
  <si>
    <t>Robojacks</t>
  </si>
  <si>
    <t>CyberCavs</t>
  </si>
  <si>
    <t>Breslau</t>
  </si>
  <si>
    <t>Az-Tech Eagles</t>
  </si>
  <si>
    <t>Murphy's law</t>
  </si>
  <si>
    <t>Full-metal Robotics</t>
  </si>
  <si>
    <t xml:space="preserve">Marysville </t>
  </si>
  <si>
    <t>Saints Bot</t>
  </si>
  <si>
    <t>Belle River</t>
  </si>
  <si>
    <t>Metal Mallards</t>
  </si>
  <si>
    <t>Toutle</t>
  </si>
  <si>
    <t>Team Rock-It</t>
  </si>
  <si>
    <t>Rockford</t>
  </si>
  <si>
    <t>Atomic Armadillos</t>
  </si>
  <si>
    <t>Amarillo</t>
  </si>
  <si>
    <t>Rio Robotics</t>
  </si>
  <si>
    <t>Warriors (Team W.I.R.E.)</t>
  </si>
  <si>
    <t>Savannah</t>
  </si>
  <si>
    <t>CyberDoggz</t>
  </si>
  <si>
    <t>Northern Lights Robotics</t>
  </si>
  <si>
    <t>Timmins</t>
  </si>
  <si>
    <t>TEAM FORCE</t>
  </si>
  <si>
    <t>The Flying Aces</t>
  </si>
  <si>
    <t>Camarillo</t>
  </si>
  <si>
    <t>Big Bay de Noc Bear Bots</t>
  </si>
  <si>
    <t>Cooks</t>
  </si>
  <si>
    <t>The Outlaws</t>
  </si>
  <si>
    <t>Tecmilenio - EARTH - 4723</t>
  </si>
  <si>
    <t>Puebla</t>
  </si>
  <si>
    <t>Robo Dynasty</t>
  </si>
  <si>
    <t>Asotin</t>
  </si>
  <si>
    <t>Rocori Rench Reckers</t>
  </si>
  <si>
    <t>Cold Spring</t>
  </si>
  <si>
    <t>EMUs (Experimental Mayhem Unit)</t>
  </si>
  <si>
    <t>Terminators</t>
  </si>
  <si>
    <t>MONARCH-E</t>
  </si>
  <si>
    <t>Morelia</t>
  </si>
  <si>
    <t>MichoacÃ¡n</t>
  </si>
  <si>
    <t>SWC Robotics</t>
  </si>
  <si>
    <t>Thunder Bay</t>
  </si>
  <si>
    <t>Scarlett Robotics</t>
  </si>
  <si>
    <t>The Iron Plainsmen</t>
  </si>
  <si>
    <t>Tecmilenio - DEROF - 4735</t>
  </si>
  <si>
    <t>Atomigators</t>
  </si>
  <si>
    <t>West Bloomfield</t>
  </si>
  <si>
    <t>Patribots</t>
  </si>
  <si>
    <t>Thunderbolts Robotics</t>
  </si>
  <si>
    <t>Normanhurst</t>
  </si>
  <si>
    <t>Sparta Bots</t>
  </si>
  <si>
    <t>Nashville</t>
  </si>
  <si>
    <t>WingNuts</t>
  </si>
  <si>
    <t>Redwood Falls</t>
  </si>
  <si>
    <t>Ninjas</t>
  </si>
  <si>
    <t>Hadera</t>
  </si>
  <si>
    <t>Tecmilenio - Alebrijes - 4746</t>
  </si>
  <si>
    <t>Bulldog Autobots</t>
  </si>
  <si>
    <t>Pisgah Robotics</t>
  </si>
  <si>
    <t>Alpharetta</t>
  </si>
  <si>
    <t>Bert</t>
  </si>
  <si>
    <t>Pennsauken</t>
  </si>
  <si>
    <t>Talos</t>
  </si>
  <si>
    <t>Petach Tikva</t>
  </si>
  <si>
    <t>RoboBlazers</t>
  </si>
  <si>
    <t>The Robockets</t>
  </si>
  <si>
    <t>Reading</t>
  </si>
  <si>
    <t>Robo-Saints</t>
  </si>
  <si>
    <t>St. Charles</t>
  </si>
  <si>
    <t>i to the Fourth Robotics</t>
  </si>
  <si>
    <t>The Memphis MechWarriors</t>
  </si>
  <si>
    <t>Memphis</t>
  </si>
  <si>
    <t>PWRUP</t>
  </si>
  <si>
    <t>C4</t>
  </si>
  <si>
    <t>Shelby</t>
  </si>
  <si>
    <t>Comets</t>
  </si>
  <si>
    <t>Nerdvana</t>
  </si>
  <si>
    <t>Saint Petersburg</t>
  </si>
  <si>
    <t>Steel Horses</t>
  </si>
  <si>
    <t>The Drop Bears</t>
  </si>
  <si>
    <t>Aztech Robotics</t>
  </si>
  <si>
    <t>S.C.O.T.S. Bots</t>
  </si>
  <si>
    <t>Howell</t>
  </si>
  <si>
    <t>Spirit Robotics</t>
  </si>
  <si>
    <t>Stormbots</t>
  </si>
  <si>
    <t>Chanhassen</t>
  </si>
  <si>
    <t>RoboSapiens</t>
  </si>
  <si>
    <t>Marine City</t>
  </si>
  <si>
    <t>Tenacious Drones</t>
  </si>
  <si>
    <t>Borrebots CSN</t>
  </si>
  <si>
    <t>Hermosillo</t>
  </si>
  <si>
    <t>Sonora</t>
  </si>
  <si>
    <t>Nepean</t>
  </si>
  <si>
    <t>ATOM</t>
  </si>
  <si>
    <t>Afula</t>
  </si>
  <si>
    <t>Nicolet FEAR</t>
  </si>
  <si>
    <t>Axiom</t>
  </si>
  <si>
    <t>Desert Storm</t>
  </si>
  <si>
    <t>North Las Vegas</t>
  </si>
  <si>
    <t>EastBots</t>
  </si>
  <si>
    <t>Chapel Hill</t>
  </si>
  <si>
    <t>Cyber Dragons</t>
  </si>
  <si>
    <t>Hyde Park</t>
  </si>
  <si>
    <t>Lazbuddie Robotics</t>
  </si>
  <si>
    <t>Lazbuddie</t>
  </si>
  <si>
    <t>Blacktown Boys</t>
  </si>
  <si>
    <t>Blacktown</t>
  </si>
  <si>
    <t>BLACKTOWN GIRLS: Unidentified Moving Machines</t>
  </si>
  <si>
    <t>Port PiraTech</t>
  </si>
  <si>
    <t>Black Knight Robotics</t>
  </si>
  <si>
    <t>Marceline</t>
  </si>
  <si>
    <t>I AM Robot</t>
  </si>
  <si>
    <t>Majestic Eagles</t>
  </si>
  <si>
    <t>Incubator</t>
  </si>
  <si>
    <t>ELECTROPANTHERS</t>
  </si>
  <si>
    <t>Center Line</t>
  </si>
  <si>
    <t>Gadget Girls</t>
  </si>
  <si>
    <t>One Degree North</t>
  </si>
  <si>
    <t>Singapore</t>
  </si>
  <si>
    <t>Central Singapore</t>
  </si>
  <si>
    <t>The Herd</t>
  </si>
  <si>
    <t>West Fargo</t>
  </si>
  <si>
    <t>Flat Mountain Mechanics</t>
  </si>
  <si>
    <t>Mount Pleasant</t>
  </si>
  <si>
    <t>Cyberus</t>
  </si>
  <si>
    <t>Cyber-Manes</t>
  </si>
  <si>
    <t>Loris</t>
  </si>
  <si>
    <t>Minerbotics</t>
  </si>
  <si>
    <t>Negaunee</t>
  </si>
  <si>
    <t>Junkyard Dawgs</t>
  </si>
  <si>
    <t>Manistique</t>
  </si>
  <si>
    <t>Panthers</t>
  </si>
  <si>
    <t>River Rouge</t>
  </si>
  <si>
    <t>The Panthers</t>
  </si>
  <si>
    <t>Redford</t>
  </si>
  <si>
    <t>Lion's Pride</t>
  </si>
  <si>
    <t>Techno-Logic Trojans</t>
  </si>
  <si>
    <t>Green Sea</t>
  </si>
  <si>
    <t>JungleBots</t>
  </si>
  <si>
    <t>Trobots</t>
  </si>
  <si>
    <t>South Haven</t>
  </si>
  <si>
    <t>Double X</t>
  </si>
  <si>
    <t>The CyBears</t>
  </si>
  <si>
    <t>Byron</t>
  </si>
  <si>
    <t>The Wildebots</t>
  </si>
  <si>
    <t>Bot-Provoking</t>
  </si>
  <si>
    <t>Andromeda One</t>
  </si>
  <si>
    <t>Ayer</t>
  </si>
  <si>
    <t>The Collective</t>
  </si>
  <si>
    <t>Waterville</t>
  </si>
  <si>
    <t>Thunderstamps</t>
  </si>
  <si>
    <t>Duxbury Dragons</t>
  </si>
  <si>
    <t>Duxbury</t>
  </si>
  <si>
    <t>Bionics</t>
  </si>
  <si>
    <t>Billerica</t>
  </si>
  <si>
    <t>East Cobb Robotics</t>
  </si>
  <si>
    <t>Huskyteers</t>
  </si>
  <si>
    <t>Spartronics</t>
  </si>
  <si>
    <t>Bainbridge Island</t>
  </si>
  <si>
    <t>Sir Lancerbot</t>
  </si>
  <si>
    <t>The Roboctopi</t>
  </si>
  <si>
    <t>Port Townsend</t>
  </si>
  <si>
    <t>Leodroids</t>
  </si>
  <si>
    <t>Lemon Grove</t>
  </si>
  <si>
    <t>Belle River Automatons</t>
  </si>
  <si>
    <t>STEM Pythons</t>
  </si>
  <si>
    <t>Chattanooga</t>
  </si>
  <si>
    <t xml:space="preserve">The Resistance </t>
  </si>
  <si>
    <t>Wolfeboro</t>
  </si>
  <si>
    <t>GalacTech</t>
  </si>
  <si>
    <t>Maroon Monsoon</t>
  </si>
  <si>
    <t>Haverhill</t>
  </si>
  <si>
    <t>Electric Mayhem</t>
  </si>
  <si>
    <t>Edwardsville Technologies</t>
  </si>
  <si>
    <t>Edwardsville</t>
  </si>
  <si>
    <t>Leamington</t>
  </si>
  <si>
    <t>Code Green</t>
  </si>
  <si>
    <t>Okmulgee</t>
  </si>
  <si>
    <t>T-Rex</t>
  </si>
  <si>
    <t>Viral Vortex</t>
  </si>
  <si>
    <t>Allspark9</t>
  </si>
  <si>
    <t>RoboBibb</t>
  </si>
  <si>
    <t>Macon</t>
  </si>
  <si>
    <t>Spartech</t>
  </si>
  <si>
    <t>The Hi Fives</t>
  </si>
  <si>
    <t>Grand Junction</t>
  </si>
  <si>
    <t>The Alpha Dogs</t>
  </si>
  <si>
    <t>Fenix</t>
  </si>
  <si>
    <t>Cowansville</t>
  </si>
  <si>
    <t>Robo Panthers</t>
  </si>
  <si>
    <t>Riverdale</t>
  </si>
  <si>
    <t>Centaures</t>
  </si>
  <si>
    <t>Quebec</t>
  </si>
  <si>
    <t>CDS Cyclones</t>
  </si>
  <si>
    <t>King</t>
  </si>
  <si>
    <t>Les Carnicas</t>
  </si>
  <si>
    <t>Magog</t>
  </si>
  <si>
    <t>Palindrome Robotics</t>
  </si>
  <si>
    <t>New Castle</t>
  </si>
  <si>
    <t>LA Tech</t>
  </si>
  <si>
    <t>Lachine</t>
  </si>
  <si>
    <t>RoboSharks</t>
  </si>
  <si>
    <t>Whitehall</t>
  </si>
  <si>
    <t>Lynx</t>
  </si>
  <si>
    <t>Langdon</t>
  </si>
  <si>
    <t>Shock and Awe-sum</t>
  </si>
  <si>
    <t>Almont</t>
  </si>
  <si>
    <t>LA Streetbots</t>
  </si>
  <si>
    <t>FIRE</t>
  </si>
  <si>
    <t>That ONE Team-OurNextEngineers</t>
  </si>
  <si>
    <t>Lively</t>
  </si>
  <si>
    <t>ICE Cubed</t>
  </si>
  <si>
    <t>Harris</t>
  </si>
  <si>
    <t>BORUSAN ROBOTICS</t>
  </si>
  <si>
    <t>Esenyurt</t>
  </si>
  <si>
    <t>Gator Gears</t>
  </si>
  <si>
    <t>Revolt Robotics</t>
  </si>
  <si>
    <t>Georgetown</t>
  </si>
  <si>
    <t>DevilStorm Robotics</t>
  </si>
  <si>
    <t>Hinsdale</t>
  </si>
  <si>
    <t>Canine Crusaders</t>
  </si>
  <si>
    <t>Kettle Falls</t>
  </si>
  <si>
    <t>Olympus Robotics</t>
  </si>
  <si>
    <t>Fort Wayne</t>
  </si>
  <si>
    <t>IronBots</t>
  </si>
  <si>
    <t>Mancelona</t>
  </si>
  <si>
    <t>BULLSEYE</t>
  </si>
  <si>
    <t>MegaRams</t>
  </si>
  <si>
    <t>Yooper Troopers</t>
  </si>
  <si>
    <t>Cedarville</t>
  </si>
  <si>
    <t>Gryphon Robotics</t>
  </si>
  <si>
    <t>Burlingame</t>
  </si>
  <si>
    <t>Bridgeville</t>
  </si>
  <si>
    <t>Spartans</t>
  </si>
  <si>
    <t>Kingston Robo-Cards</t>
  </si>
  <si>
    <t>TESLA</t>
  </si>
  <si>
    <t>Long Beach</t>
  </si>
  <si>
    <t>Hingham</t>
  </si>
  <si>
    <t>Collierville</t>
  </si>
  <si>
    <t>Topperbotics</t>
  </si>
  <si>
    <t>RoboBucs</t>
  </si>
  <si>
    <t>Apophis</t>
  </si>
  <si>
    <t>Tiger Dynasty</t>
  </si>
  <si>
    <t>Fishers</t>
  </si>
  <si>
    <t>Gryffingear</t>
  </si>
  <si>
    <t>Palmdale</t>
  </si>
  <si>
    <t>SWAT Bots Robotics</t>
  </si>
  <si>
    <t>Airdrie</t>
  </si>
  <si>
    <t>Huntington Robotics</t>
  </si>
  <si>
    <t>Gearbox Heroes</t>
  </si>
  <si>
    <t>West Salem</t>
  </si>
  <si>
    <t>Rat Rod Robotics</t>
  </si>
  <si>
    <t>Jonesborough</t>
  </si>
  <si>
    <t>Pacific Steel</t>
  </si>
  <si>
    <t>Iron Panthers</t>
  </si>
  <si>
    <t>The Second Mouse</t>
  </si>
  <si>
    <t>Utica</t>
  </si>
  <si>
    <t xml:space="preserve"> Full Metal Mustangs</t>
  </si>
  <si>
    <t>Beavertronics</t>
  </si>
  <si>
    <t>The Robo Devils</t>
  </si>
  <si>
    <t>MEGIDDO LIONS</t>
  </si>
  <si>
    <t xml:space="preserve">Megiddo Regional Council </t>
  </si>
  <si>
    <t>Irish Iron</t>
  </si>
  <si>
    <t>Sarnia</t>
  </si>
  <si>
    <t>CyBears</t>
  </si>
  <si>
    <t>West Branch</t>
  </si>
  <si>
    <t>SpartaBot</t>
  </si>
  <si>
    <t>Jacked Up Jackets</t>
  </si>
  <si>
    <t>DV CONQUISTABOTS</t>
  </si>
  <si>
    <t>Imlay City</t>
  </si>
  <si>
    <t>Techtonics</t>
  </si>
  <si>
    <t>Cow Town Robotics</t>
  </si>
  <si>
    <t>Carleton</t>
  </si>
  <si>
    <t>The RoboLobos</t>
  </si>
  <si>
    <t>Cedar Park</t>
  </si>
  <si>
    <t>Lakers</t>
  </si>
  <si>
    <t>MegaHurtz Robotics</t>
  </si>
  <si>
    <t>RoboBusters</t>
  </si>
  <si>
    <t>CGLA Mustang Innovators</t>
  </si>
  <si>
    <t>The Midnight Cicadas</t>
  </si>
  <si>
    <t>Globe</t>
  </si>
  <si>
    <t>KnighTech</t>
  </si>
  <si>
    <t>BuzzBots</t>
  </si>
  <si>
    <t>Aynor</t>
  </si>
  <si>
    <t>detroit</t>
  </si>
  <si>
    <t>Singularity</t>
  </si>
  <si>
    <t>Saline</t>
  </si>
  <si>
    <t>Steiner Steel Storm</t>
  </si>
  <si>
    <t>The Iron Giants</t>
  </si>
  <si>
    <t>Edwardsburg</t>
  </si>
  <si>
    <t>Gearnotics</t>
  </si>
  <si>
    <t>De Tour Village</t>
  </si>
  <si>
    <t>RoboMustangs</t>
  </si>
  <si>
    <t>Norcross</t>
  </si>
  <si>
    <t>RoboCards</t>
  </si>
  <si>
    <t>ROBO-KAOS</t>
  </si>
  <si>
    <t>Northmen Robotics</t>
  </si>
  <si>
    <t>Team FridgeBot</t>
  </si>
  <si>
    <t>Corunna</t>
  </si>
  <si>
    <t>LakerBots</t>
  </si>
  <si>
    <t>Blachly</t>
  </si>
  <si>
    <t>Cadillac Connectors</t>
  </si>
  <si>
    <t>Cadillac</t>
  </si>
  <si>
    <t>Robo-Nerds</t>
  </si>
  <si>
    <t>Torque-Nados</t>
  </si>
  <si>
    <t>Tech-Sets</t>
  </si>
  <si>
    <t>Culiacan</t>
  </si>
  <si>
    <t>Sinaloa</t>
  </si>
  <si>
    <t>RoBeauce</t>
  </si>
  <si>
    <t>Saint-Georges</t>
  </si>
  <si>
    <t>The Teutonic Force</t>
  </si>
  <si>
    <t>STING - R</t>
  </si>
  <si>
    <t>Cyberian Tigers</t>
  </si>
  <si>
    <t>Northport</t>
  </si>
  <si>
    <t>The Underbots</t>
  </si>
  <si>
    <t>Santa Maria</t>
  </si>
  <si>
    <t>The Eagles</t>
  </si>
  <si>
    <t>New Braunfels</t>
  </si>
  <si>
    <t>BreakerBots</t>
  </si>
  <si>
    <t>Pacific Grove</t>
  </si>
  <si>
    <t xml:space="preserve">The Neurotoxins </t>
  </si>
  <si>
    <t>Upland</t>
  </si>
  <si>
    <t>Gladiator Robotics</t>
  </si>
  <si>
    <t>Robo Herd</t>
  </si>
  <si>
    <t>Elk Rapids</t>
  </si>
  <si>
    <t>The Gongoliers</t>
  </si>
  <si>
    <t>North Scituate</t>
  </si>
  <si>
    <t>Combustible Lemons</t>
  </si>
  <si>
    <t>Moorestown</t>
  </si>
  <si>
    <t>Knight Riders</t>
  </si>
  <si>
    <t>K-BOTS</t>
  </si>
  <si>
    <t>Standoff</t>
  </si>
  <si>
    <t>Team STEAM</t>
  </si>
  <si>
    <t>robOTies</t>
  </si>
  <si>
    <t>Old Town</t>
  </si>
  <si>
    <t>Mechadogs</t>
  </si>
  <si>
    <t>West Torrance Robotics</t>
  </si>
  <si>
    <t>Hawks on the Horizon</t>
  </si>
  <si>
    <t>Electromagnetic Panthers (E.M.P.)</t>
  </si>
  <si>
    <t>Digital Devils</t>
  </si>
  <si>
    <t>Plainville</t>
  </si>
  <si>
    <t>Undercogs</t>
  </si>
  <si>
    <t>LIttle River</t>
  </si>
  <si>
    <t>RoboClovers</t>
  </si>
  <si>
    <t>Winder</t>
  </si>
  <si>
    <t>Blue Steel</t>
  </si>
  <si>
    <t>Aguascalientes</t>
  </si>
  <si>
    <t>Black Unicorns</t>
  </si>
  <si>
    <t>Yehud</t>
  </si>
  <si>
    <t>Mechapirates</t>
  </si>
  <si>
    <t>Santa Ynez</t>
  </si>
  <si>
    <t>Iron Kodiaks</t>
  </si>
  <si>
    <t>GRIFFINITE</t>
  </si>
  <si>
    <t>Robo Dominators</t>
  </si>
  <si>
    <t>Hamden</t>
  </si>
  <si>
    <t>ThunderHawks</t>
  </si>
  <si>
    <t>LISD TECHnicians</t>
  </si>
  <si>
    <t>Adrian</t>
  </si>
  <si>
    <t>WolfBotics</t>
  </si>
  <si>
    <t>Hornets</t>
  </si>
  <si>
    <t>Fulton</t>
  </si>
  <si>
    <t>New Berlin Blitz</t>
  </si>
  <si>
    <t>New Berlin</t>
  </si>
  <si>
    <t>TroyBotics</t>
  </si>
  <si>
    <t>Hybrid Hornets</t>
  </si>
  <si>
    <t>Alotobots</t>
  </si>
  <si>
    <t>Otsego</t>
  </si>
  <si>
    <t>Bearcats</t>
  </si>
  <si>
    <t>Ubly</t>
  </si>
  <si>
    <t>Laker Robots</t>
  </si>
  <si>
    <t>Pigeon</t>
  </si>
  <si>
    <t>Bengal Robotics</t>
  </si>
  <si>
    <t xml:space="preserve">Trojan Technicians </t>
  </si>
  <si>
    <t>Plainwell</t>
  </si>
  <si>
    <t xml:space="preserve">The Big Red Theory </t>
  </si>
  <si>
    <t>Big Rapids</t>
  </si>
  <si>
    <t>Fabricators</t>
  </si>
  <si>
    <t>Freeland</t>
  </si>
  <si>
    <t>Vi-Bots</t>
  </si>
  <si>
    <t>Guardian Angels</t>
  </si>
  <si>
    <t>Deus Ex Machina</t>
  </si>
  <si>
    <t>Greenbush</t>
  </si>
  <si>
    <t>Fennville</t>
  </si>
  <si>
    <t>Purple People Eaters</t>
  </si>
  <si>
    <t>Pickford</t>
  </si>
  <si>
    <t>RoboBills</t>
  </si>
  <si>
    <t>The Nerdy Birds</t>
  </si>
  <si>
    <t>Les SÃ©nateurs</t>
  </si>
  <si>
    <t>Drummondville</t>
  </si>
  <si>
    <t>La Salle Robotics</t>
  </si>
  <si>
    <t>Glenside</t>
  </si>
  <si>
    <t>Chieftainators</t>
  </si>
  <si>
    <t>Dowagiac</t>
  </si>
  <si>
    <t>Devil Bots</t>
  </si>
  <si>
    <t>Gaylord</t>
  </si>
  <si>
    <t>Cybears</t>
  </si>
  <si>
    <t>Antioch</t>
  </si>
  <si>
    <t>Area 5188 : Classified Robotics</t>
  </si>
  <si>
    <t>Terre Haute</t>
  </si>
  <si>
    <t>SABRE</t>
  </si>
  <si>
    <t>Green Hope Falcons</t>
  </si>
  <si>
    <t>Pantheon</t>
  </si>
  <si>
    <t>Gobles Voltage</t>
  </si>
  <si>
    <t>Gobles</t>
  </si>
  <si>
    <t>Breaking Bot</t>
  </si>
  <si>
    <t>Pompano Beach</t>
  </si>
  <si>
    <t>DCP @ NW</t>
  </si>
  <si>
    <t>Knight Tech</t>
  </si>
  <si>
    <t>Grants Pass</t>
  </si>
  <si>
    <t>Robot Dolphins From Outer Space</t>
  </si>
  <si>
    <t>Dana Point</t>
  </si>
  <si>
    <t>Alchesay Falcon</t>
  </si>
  <si>
    <t>Whiteriver</t>
  </si>
  <si>
    <t>North Branch Bad News Broncos</t>
  </si>
  <si>
    <t>NewRo Bots</t>
  </si>
  <si>
    <t>New Rochelle</t>
  </si>
  <si>
    <t>Volatile Chaos Inhibitors</t>
  </si>
  <si>
    <t>Three Rivers</t>
  </si>
  <si>
    <t>FullMetal-Jackets</t>
  </si>
  <si>
    <t>Rectify</t>
  </si>
  <si>
    <t xml:space="preserve">TAMSformers Robotics </t>
  </si>
  <si>
    <t>Denton</t>
  </si>
  <si>
    <t xml:space="preserve">St. Ignace SHIELD </t>
  </si>
  <si>
    <t>Saint Ignace</t>
  </si>
  <si>
    <t>The Mighty CavBots</t>
  </si>
  <si>
    <t>Saint Clair Shores</t>
  </si>
  <si>
    <t>Steagles</t>
  </si>
  <si>
    <t>Frankenmuth</t>
  </si>
  <si>
    <t>E-Ville Empire</t>
  </si>
  <si>
    <t>Essexville</t>
  </si>
  <si>
    <t>TeknoSquad</t>
  </si>
  <si>
    <t>East Point</t>
  </si>
  <si>
    <t>JackBotics</t>
  </si>
  <si>
    <t>Panther Power</t>
  </si>
  <si>
    <t>The Shambotz</t>
  </si>
  <si>
    <t>Eastpointe</t>
  </si>
  <si>
    <t>Syn. Surgers</t>
  </si>
  <si>
    <t>Eagle Elite</t>
  </si>
  <si>
    <t>Schoolcraft</t>
  </si>
  <si>
    <t>Heritage Hawkbots</t>
  </si>
  <si>
    <t>The Resistance</t>
  </si>
  <si>
    <t xml:space="preserve">Alpena </t>
  </si>
  <si>
    <t>Radical Jays</t>
  </si>
  <si>
    <t>Shepherd</t>
  </si>
  <si>
    <t>Talons</t>
  </si>
  <si>
    <t>Hermantown</t>
  </si>
  <si>
    <t>MarauderBots</t>
  </si>
  <si>
    <t>Elsie</t>
  </si>
  <si>
    <t>Gears of Fortune</t>
  </si>
  <si>
    <t>Chesaning</t>
  </si>
  <si>
    <t>Falconators</t>
  </si>
  <si>
    <t>Otisville</t>
  </si>
  <si>
    <t>Harper Woods Pioneers</t>
  </si>
  <si>
    <t>Harper Woods</t>
  </si>
  <si>
    <t>Tribe Tech FRC</t>
  </si>
  <si>
    <t>Aegis Robotics</t>
  </si>
  <si>
    <t>Red Devil Robotics</t>
  </si>
  <si>
    <t>East Jordan</t>
  </si>
  <si>
    <t>Robo-Saxons</t>
  </si>
  <si>
    <t>Hastings</t>
  </si>
  <si>
    <t>Kinetic</t>
  </si>
  <si>
    <t>C3 WAYbots</t>
  </si>
  <si>
    <t>Bigfork Backwoods Bots</t>
  </si>
  <si>
    <t>Bigfork</t>
  </si>
  <si>
    <t>HYPE</t>
  </si>
  <si>
    <t>Trumansburg</t>
  </si>
  <si>
    <t>Robotic Tigers</t>
  </si>
  <si>
    <t>Atomic Vikings</t>
  </si>
  <si>
    <t>Lake Odessa</t>
  </si>
  <si>
    <t>CometKaze</t>
  </si>
  <si>
    <t>Coleman</t>
  </si>
  <si>
    <t>Owosso Operating System</t>
  </si>
  <si>
    <t>Owosso</t>
  </si>
  <si>
    <t>Cyber Shock</t>
  </si>
  <si>
    <t>Humble</t>
  </si>
  <si>
    <t>Robo-Bucs</t>
  </si>
  <si>
    <t>Riverview</t>
  </si>
  <si>
    <t>Radical Impact</t>
  </si>
  <si>
    <t>The BioMech Falcons</t>
  </si>
  <si>
    <t>T.I.M.E.-Bots</t>
  </si>
  <si>
    <t>New Prague</t>
  </si>
  <si>
    <t>Edgar Allan Ohms</t>
  </si>
  <si>
    <t>Los Clasicos</t>
  </si>
  <si>
    <t>Bionic Eagles</t>
  </si>
  <si>
    <t>Altavista</t>
  </si>
  <si>
    <t>Railroaders</t>
  </si>
  <si>
    <t>Durand</t>
  </si>
  <si>
    <t>Torque</t>
  </si>
  <si>
    <t>Sea Kings Robotics</t>
  </si>
  <si>
    <t>Palos Verdes Peninsula</t>
  </si>
  <si>
    <t>Mechanical Howl</t>
  </si>
  <si>
    <t>Emperius</t>
  </si>
  <si>
    <t>Eilat</t>
  </si>
  <si>
    <t>Metal Crusaders</t>
  </si>
  <si>
    <t>Aldernating Current</t>
  </si>
  <si>
    <t>E-TECH CHARGERS</t>
  </si>
  <si>
    <t>Winger Tech</t>
  </si>
  <si>
    <t xml:space="preserve">Wuhan Yangtze </t>
  </si>
  <si>
    <t>Wuhan</t>
  </si>
  <si>
    <t>Hubei</t>
  </si>
  <si>
    <t>China</t>
  </si>
  <si>
    <t>Eagles Apex</t>
  </si>
  <si>
    <t>East Orange</t>
  </si>
  <si>
    <t>Lobotics</t>
  </si>
  <si>
    <t>Ice Bots</t>
  </si>
  <si>
    <t>Pellston</t>
  </si>
  <si>
    <t>The Architects</t>
  </si>
  <si>
    <t>Saranac</t>
  </si>
  <si>
    <t>Redhawk Robotics</t>
  </si>
  <si>
    <t>Blythewood</t>
  </si>
  <si>
    <t>Hawks</t>
  </si>
  <si>
    <t>Haliburton</t>
  </si>
  <si>
    <t>Optimus PRIN</t>
  </si>
  <si>
    <t>Griffin Robotics</t>
  </si>
  <si>
    <t>Winnsboro</t>
  </si>
  <si>
    <t>S(A^3)S</t>
  </si>
  <si>
    <t>Lightning Bots</t>
  </si>
  <si>
    <t>Toaster Tech</t>
  </si>
  <si>
    <t>Can't C#</t>
  </si>
  <si>
    <t>Perth</t>
  </si>
  <si>
    <t>Western Australia</t>
  </si>
  <si>
    <t>RoboLoCo</t>
  </si>
  <si>
    <t>Leesburg</t>
  </si>
  <si>
    <t>Hurricanes</t>
  </si>
  <si>
    <t>FAIR Robtics</t>
  </si>
  <si>
    <t>Rhinos</t>
  </si>
  <si>
    <t>Gryphons</t>
  </si>
  <si>
    <t>Weston</t>
  </si>
  <si>
    <t>Cokato</t>
  </si>
  <si>
    <t>Hope Robotics</t>
  </si>
  <si>
    <t>Fightin' Robotic Owls</t>
  </si>
  <si>
    <t>Bensalem</t>
  </si>
  <si>
    <t>Aluminosity</t>
  </si>
  <si>
    <t>Gearaffes</t>
  </si>
  <si>
    <t>Celt-X</t>
  </si>
  <si>
    <t>Conshohocken</t>
  </si>
  <si>
    <t>KENNEDYcache</t>
  </si>
  <si>
    <t>Eaglebotics</t>
  </si>
  <si>
    <t>PowerEagle</t>
  </si>
  <si>
    <t>Prosper</t>
  </si>
  <si>
    <t>Impossible Robotics</t>
  </si>
  <si>
    <t>Groningen</t>
  </si>
  <si>
    <t>Stellar Robotics</t>
  </si>
  <si>
    <t>Mansfield</t>
  </si>
  <si>
    <t>Pearadox</t>
  </si>
  <si>
    <t>Pearland</t>
  </si>
  <si>
    <t>Allen</t>
  </si>
  <si>
    <t>The Sonic Screwdrivers</t>
  </si>
  <si>
    <t>Hubbard</t>
  </si>
  <si>
    <t>Natural Disasters</t>
  </si>
  <si>
    <t>Berkeley</t>
  </si>
  <si>
    <t>Velocity</t>
  </si>
  <si>
    <t>Bridgeton</t>
  </si>
  <si>
    <t>Birch Bots</t>
  </si>
  <si>
    <t>Stormgears FRC</t>
  </si>
  <si>
    <t>Rogue Robots</t>
  </si>
  <si>
    <t>E.J. Lajeunesse</t>
  </si>
  <si>
    <t>Steel Talons</t>
  </si>
  <si>
    <t>Breaking Bots</t>
  </si>
  <si>
    <t>Black Knights</t>
  </si>
  <si>
    <t>Pirate Robolution</t>
  </si>
  <si>
    <t>Pittsburg</t>
  </si>
  <si>
    <t>Plano</t>
  </si>
  <si>
    <t>Faribault</t>
  </si>
  <si>
    <t>Cyber Cats</t>
  </si>
  <si>
    <t>Rocky Balboabots</t>
  </si>
  <si>
    <t>Booneville</t>
  </si>
  <si>
    <t>Technological Terrors</t>
  </si>
  <si>
    <t>Jersey City</t>
  </si>
  <si>
    <t>Les Chevaliers FIRST</t>
  </si>
  <si>
    <t>Mechanical Monarchy</t>
  </si>
  <si>
    <t>Les PATenteux</t>
  </si>
  <si>
    <t>Rushing Peacock</t>
  </si>
  <si>
    <t>Kunming</t>
  </si>
  <si>
    <t>Yunnan</t>
  </si>
  <si>
    <t>Team Robotica</t>
  </si>
  <si>
    <t>Sebewaing</t>
  </si>
  <si>
    <t>CCA RoboCougars</t>
  </si>
  <si>
    <t>Prototype</t>
  </si>
  <si>
    <t>Beijing</t>
  </si>
  <si>
    <t>St. Helens Robotics and Engineering Club (SHREC)</t>
  </si>
  <si>
    <t>Saint Helens</t>
  </si>
  <si>
    <t>Supernova</t>
  </si>
  <si>
    <t>RED COMET</t>
  </si>
  <si>
    <t>Shenzhen</t>
  </si>
  <si>
    <t>Guangdong</t>
  </si>
  <si>
    <t>Wild Fire</t>
  </si>
  <si>
    <t>Rogers</t>
  </si>
  <si>
    <t>Falcobots</t>
  </si>
  <si>
    <t>Digital Minds</t>
  </si>
  <si>
    <t>Woodland</t>
  </si>
  <si>
    <t>Ipswich TIGERS</t>
  </si>
  <si>
    <t>Ipswich</t>
  </si>
  <si>
    <t>Strike Zone</t>
  </si>
  <si>
    <t>V.E.R.N.</t>
  </si>
  <si>
    <t>2PawR (2 Paw Robotics)</t>
  </si>
  <si>
    <t>Paw Paw</t>
  </si>
  <si>
    <t>Bluejacket Robotics</t>
  </si>
  <si>
    <t>Binary Bots</t>
  </si>
  <si>
    <t>RoboTractors</t>
  </si>
  <si>
    <t>Chaos Theory</t>
  </si>
  <si>
    <t>The Cowpunchers</t>
  </si>
  <si>
    <t>Coopersville</t>
  </si>
  <si>
    <t>W.Hi.R.R.</t>
  </si>
  <si>
    <t>Winthrop</t>
  </si>
  <si>
    <t>Stallions</t>
  </si>
  <si>
    <t>Delray Beach</t>
  </si>
  <si>
    <t>Team Spitfire.</t>
  </si>
  <si>
    <t>Clairemonster</t>
  </si>
  <si>
    <t>NuBotX - Nubotics STEAMPunk</t>
  </si>
  <si>
    <t>Pershing Doughbots</t>
  </si>
  <si>
    <t>FYRE (FIRST Young Robotics Engineers)</t>
  </si>
  <si>
    <t>Reno</t>
  </si>
  <si>
    <t>Roarbotics</t>
  </si>
  <si>
    <t>GD-Bots</t>
  </si>
  <si>
    <t>Career Academy Robotics</t>
  </si>
  <si>
    <t>Robotic Turmoil</t>
  </si>
  <si>
    <t>Lake Linden</t>
  </si>
  <si>
    <t>The Dark Byte</t>
  </si>
  <si>
    <t>Bethlehem</t>
  </si>
  <si>
    <t>Cognitive Hazard</t>
  </si>
  <si>
    <t>Winchendon</t>
  </si>
  <si>
    <t>Winner's Circle Robo Jockeys</t>
  </si>
  <si>
    <t>SMAbotics AG</t>
  </si>
  <si>
    <t>Englewood</t>
  </si>
  <si>
    <t>Bizarbots Robotics</t>
  </si>
  <si>
    <t>Holbrook</t>
  </si>
  <si>
    <t>Wired Devils</t>
  </si>
  <si>
    <t>Grosse Ile</t>
  </si>
  <si>
    <t>The Bay Orangutans</t>
  </si>
  <si>
    <t>Jaguars Robotics &amp; ROVs</t>
  </si>
  <si>
    <t>Bobcats</t>
  </si>
  <si>
    <t>Burr Oak</t>
  </si>
  <si>
    <t>Cobrots</t>
  </si>
  <si>
    <t>Jonesville</t>
  </si>
  <si>
    <t>Smithville Tiger Trons</t>
  </si>
  <si>
    <t>The Loose Connections</t>
  </si>
  <si>
    <t xml:space="preserve">Pinconning </t>
  </si>
  <si>
    <t>V2 Robotics</t>
  </si>
  <si>
    <t>Alpena</t>
  </si>
  <si>
    <t>Midcoast MAINEiacs</t>
  </si>
  <si>
    <t>Searsport</t>
  </si>
  <si>
    <t>Wolfbots</t>
  </si>
  <si>
    <t>Like a Boss.</t>
  </si>
  <si>
    <t>The Da Vinci Coders</t>
  </si>
  <si>
    <t>Cortechs Robotics</t>
  </si>
  <si>
    <t>Pizza MecÃ¡nica</t>
  </si>
  <si>
    <t>Recoleta</t>
  </si>
  <si>
    <t>MavBots</t>
  </si>
  <si>
    <t>Carlsbad</t>
  </si>
  <si>
    <t>Blue Power Robotics</t>
  </si>
  <si>
    <t>Shanghai</t>
  </si>
  <si>
    <t>Iron Maple</t>
  </si>
  <si>
    <t>The Engineers on Fire</t>
  </si>
  <si>
    <t>Burton</t>
  </si>
  <si>
    <t>Techno Wolves</t>
  </si>
  <si>
    <t>LASS Robotics</t>
  </si>
  <si>
    <t>Stargazer</t>
  </si>
  <si>
    <t xml:space="preserve">Shenzhen </t>
  </si>
  <si>
    <t>Grass Lake</t>
  </si>
  <si>
    <t xml:space="preserve">MacroProcessors </t>
  </si>
  <si>
    <t>Birch Run</t>
  </si>
  <si>
    <t>Alcona Tool Cats</t>
  </si>
  <si>
    <t>tCATs</t>
  </si>
  <si>
    <t>Cyber Phoenix</t>
  </si>
  <si>
    <t>Ultime Keranna</t>
  </si>
  <si>
    <t>Trois-Rivieres</t>
  </si>
  <si>
    <t>The Lawnmowers</t>
  </si>
  <si>
    <t>Orange Crush</t>
  </si>
  <si>
    <t>The G.O.A.T.S</t>
  </si>
  <si>
    <t>Electric Horse Power</t>
  </si>
  <si>
    <t>Clio</t>
  </si>
  <si>
    <t>Onaway Onabots</t>
  </si>
  <si>
    <t>Onaway</t>
  </si>
  <si>
    <t>Bionic Bison</t>
  </si>
  <si>
    <t>New Buffalo</t>
  </si>
  <si>
    <t>Vikingbots</t>
  </si>
  <si>
    <t>DVHS Cyborgs</t>
  </si>
  <si>
    <t>Shakopee Robotics</t>
  </si>
  <si>
    <t>Shakopee</t>
  </si>
  <si>
    <t>RoboHerd</t>
  </si>
  <si>
    <t>SWIFT Robotics</t>
  </si>
  <si>
    <t>Southern Pines</t>
  </si>
  <si>
    <t>âš’ï¸ A.R.T. âš’ï¸</t>
  </si>
  <si>
    <t>The Talons</t>
  </si>
  <si>
    <t>Hale</t>
  </si>
  <si>
    <t>Broncho Bots</t>
  </si>
  <si>
    <t>Bethany</t>
  </si>
  <si>
    <t>Robo'Lyon</t>
  </si>
  <si>
    <t>Neuville-sur-SaÃ´ne</t>
  </si>
  <si>
    <t>RhÃ´ne</t>
  </si>
  <si>
    <t>France</t>
  </si>
  <si>
    <t>The Poros</t>
  </si>
  <si>
    <t>Netanya</t>
  </si>
  <si>
    <t>Carriagetown Robotics</t>
  </si>
  <si>
    <t>Amesbury</t>
  </si>
  <si>
    <t>BB-R8ERS</t>
  </si>
  <si>
    <t>Ad Astra</t>
  </si>
  <si>
    <t>Bursa</t>
  </si>
  <si>
    <t>Gear Grinders</t>
  </si>
  <si>
    <t>Camden</t>
  </si>
  <si>
    <t>Central Lake Trobotics</t>
  </si>
  <si>
    <t>Central Lake</t>
  </si>
  <si>
    <t>Laker Logistics</t>
  </si>
  <si>
    <t>Maple City</t>
  </si>
  <si>
    <t>Phalanx</t>
  </si>
  <si>
    <t>Granville Boys</t>
  </si>
  <si>
    <t xml:space="preserve">Code Red Robotics </t>
  </si>
  <si>
    <t xml:space="preserve">Solid Rock </t>
  </si>
  <si>
    <t>Bentonville</t>
  </si>
  <si>
    <t>Ookpik</t>
  </si>
  <si>
    <t>ROSBOTS</t>
  </si>
  <si>
    <t>Team Terminator</t>
  </si>
  <si>
    <t>Spirit Lake</t>
  </si>
  <si>
    <t>Kinematic Wolves</t>
  </si>
  <si>
    <t>Metro Mechanical Monsters</t>
  </si>
  <si>
    <t>Rex Machina</t>
  </si>
  <si>
    <t>Sharpsburg</t>
  </si>
  <si>
    <t>SistamatiK</t>
  </si>
  <si>
    <t>i c robotics</t>
  </si>
  <si>
    <t>Boronia</t>
  </si>
  <si>
    <t>Bond Brigade</t>
  </si>
  <si>
    <t>Kiel</t>
  </si>
  <si>
    <t>Reign Robotics</t>
  </si>
  <si>
    <t>Woodstock</t>
  </si>
  <si>
    <t>Alumiboti</t>
  </si>
  <si>
    <t>Tassie Tigers</t>
  </si>
  <si>
    <t>Hobart</t>
  </si>
  <si>
    <t>Tasmania</t>
  </si>
  <si>
    <t>NRHS TigerBytes</t>
  </si>
  <si>
    <t>New Richmond</t>
  </si>
  <si>
    <t>The Sentinels</t>
  </si>
  <si>
    <t>Bayside</t>
  </si>
  <si>
    <t>Taiyuan Beijing Team</t>
  </si>
  <si>
    <t>Semia Team 1</t>
  </si>
  <si>
    <t>Rise of the Warrior Bots</t>
  </si>
  <si>
    <t>Team DaoZu</t>
  </si>
  <si>
    <t>Qingdao</t>
  </si>
  <si>
    <t>Shandong</t>
  </si>
  <si>
    <t>Blue Hurricane</t>
  </si>
  <si>
    <t>Shenyang</t>
  </si>
  <si>
    <t>Liaoning</t>
  </si>
  <si>
    <t>Team Firewall</t>
  </si>
  <si>
    <t>Lassiter Robotics</t>
  </si>
  <si>
    <t>Turbulence  (Saugatuck Robotics)</t>
  </si>
  <si>
    <t>Saugatuck</t>
  </si>
  <si>
    <t>Neon Tigers</t>
  </si>
  <si>
    <t>Verden</t>
  </si>
  <si>
    <t>ThunderDogs</t>
  </si>
  <si>
    <t>Alamogordo</t>
  </si>
  <si>
    <t>Team Sycamore</t>
  </si>
  <si>
    <t>Holon</t>
  </si>
  <si>
    <t>Green Machine</t>
  </si>
  <si>
    <t>Fort Walton Beach</t>
  </si>
  <si>
    <t>PLS</t>
  </si>
  <si>
    <t>Plessisville</t>
  </si>
  <si>
    <t>Jaguars</t>
  </si>
  <si>
    <t>Cyberian Huskies</t>
  </si>
  <si>
    <t>Green Hornets</t>
  </si>
  <si>
    <t>Stanton</t>
  </si>
  <si>
    <t>Robotic Rams</t>
  </si>
  <si>
    <t>TIGER TECH Robotics</t>
  </si>
  <si>
    <t>South Plainfield</t>
  </si>
  <si>
    <t>TrojanBots</t>
  </si>
  <si>
    <t>Nu-matic Ninjas</t>
  </si>
  <si>
    <t>Norwood Young America</t>
  </si>
  <si>
    <t>Ï€rtz (Pi-rates)</t>
  </si>
  <si>
    <t>The Nomads</t>
  </si>
  <si>
    <t>The Asimovians</t>
  </si>
  <si>
    <t>Appling</t>
  </si>
  <si>
    <t xml:space="preserve">Hyde Wolf Pack </t>
  </si>
  <si>
    <t>Bath</t>
  </si>
  <si>
    <t>Jesterminators</t>
  </si>
  <si>
    <t>Demacia</t>
  </si>
  <si>
    <t>nes ziona</t>
  </si>
  <si>
    <t>MooNa</t>
  </si>
  <si>
    <t>Majd el Kurum</t>
  </si>
  <si>
    <t>North Minneapolis Robotics</t>
  </si>
  <si>
    <t>LQPV Robotics</t>
  </si>
  <si>
    <t>Eagles</t>
  </si>
  <si>
    <t>Mumford Mustangs</t>
  </si>
  <si>
    <t>Melbourne RoboCats</t>
  </si>
  <si>
    <t>Hawthorn</t>
  </si>
  <si>
    <t>Jaguar Engineers</t>
  </si>
  <si>
    <t>Iron Mosquitos</t>
  </si>
  <si>
    <t>Babbitt</t>
  </si>
  <si>
    <t>Arad</t>
  </si>
  <si>
    <t>KelRot</t>
  </si>
  <si>
    <t>Rawhide Robotics</t>
  </si>
  <si>
    <t>Lusk</t>
  </si>
  <si>
    <t>STORMBOTICS</t>
  </si>
  <si>
    <t>Stephen</t>
  </si>
  <si>
    <t>Team Supreme</t>
  </si>
  <si>
    <t>Bridgehampton</t>
  </si>
  <si>
    <t>A.R.T. Atherton Robotics Team</t>
  </si>
  <si>
    <t>Whittemore</t>
  </si>
  <si>
    <t>A Flock of Nerds</t>
  </si>
  <si>
    <t>Dryden</t>
  </si>
  <si>
    <t>Ground Control</t>
  </si>
  <si>
    <t>Big Red Robotics</t>
  </si>
  <si>
    <t>SPARC</t>
  </si>
  <si>
    <t>Purple Lightning</t>
  </si>
  <si>
    <t>The Digital Eagles</t>
  </si>
  <si>
    <t>New Albany</t>
  </si>
  <si>
    <t>Techmen</t>
  </si>
  <si>
    <t>Rosemead</t>
  </si>
  <si>
    <t>First Nations-STEM</t>
  </si>
  <si>
    <t>Wikwemikong</t>
  </si>
  <si>
    <t>The Gearhounds</t>
  </si>
  <si>
    <t>Eaton Rapids</t>
  </si>
  <si>
    <t>Mattawan</t>
  </si>
  <si>
    <t>The H.E.R.O.E.S</t>
  </si>
  <si>
    <t>Hillsdale</t>
  </si>
  <si>
    <t>Knightrise</t>
  </si>
  <si>
    <t>Valley Glen</t>
  </si>
  <si>
    <t>Girls on Fire</t>
  </si>
  <si>
    <t>Winston Salem</t>
  </si>
  <si>
    <t>Dragonbots</t>
  </si>
  <si>
    <t>Equus Engineering</t>
  </si>
  <si>
    <t>Mesquite</t>
  </si>
  <si>
    <t>Hello World</t>
  </si>
  <si>
    <t>Iron Mechs</t>
  </si>
  <si>
    <t>Robo Terriers</t>
  </si>
  <si>
    <t>Wirecats</t>
  </si>
  <si>
    <t>The Outliers</t>
  </si>
  <si>
    <t>Robo Cats</t>
  </si>
  <si>
    <t>CK Cyber Pack</t>
  </si>
  <si>
    <t>Chatham</t>
  </si>
  <si>
    <t>SubZero Robotics</t>
  </si>
  <si>
    <t>Esko</t>
  </si>
  <si>
    <t>Heavy Duty Eagles</t>
  </si>
  <si>
    <t>Tecmilenio Faraday 5696</t>
  </si>
  <si>
    <t>Villahermosa</t>
  </si>
  <si>
    <t>Tabasco</t>
  </si>
  <si>
    <t>Robo Sapiens</t>
  </si>
  <si>
    <t>SOTA Cyberdragons</t>
  </si>
  <si>
    <t>Indigo Ninjas</t>
  </si>
  <si>
    <t>Shinjuku</t>
  </si>
  <si>
    <t>TÃ´kyÃ´</t>
  </si>
  <si>
    <t>Japan</t>
  </si>
  <si>
    <t>Robotawatomi</t>
  </si>
  <si>
    <t>Wilson</t>
  </si>
  <si>
    <t>DESERT EAGLES</t>
  </si>
  <si>
    <t>Tahquamenon Phenomenon</t>
  </si>
  <si>
    <t>Newberry</t>
  </si>
  <si>
    <t>Zebrotics</t>
  </si>
  <si>
    <t>Rudyard Nerf Herders</t>
  </si>
  <si>
    <t>Rudyard</t>
  </si>
  <si>
    <t>The O-Bots</t>
  </si>
  <si>
    <t>Hemlock's Gray Matter</t>
  </si>
  <si>
    <t>Hemlock</t>
  </si>
  <si>
    <t>Beecher Cyber Bucs</t>
  </si>
  <si>
    <t>Mount Morris</t>
  </si>
  <si>
    <t xml:space="preserve">Accidental Success </t>
  </si>
  <si>
    <t>DRC</t>
  </si>
  <si>
    <t>Dabburiya</t>
  </si>
  <si>
    <t>Keybot-HGO</t>
  </si>
  <si>
    <t>pachuca</t>
  </si>
  <si>
    <t>Pink Titans</t>
  </si>
  <si>
    <t>Jagobotics</t>
  </si>
  <si>
    <t>Hinckley</t>
  </si>
  <si>
    <t>Wolf Pack</t>
  </si>
  <si>
    <t>Seahawks</t>
  </si>
  <si>
    <t>Santa Rosa Beach</t>
  </si>
  <si>
    <t>Cerberus</t>
  </si>
  <si>
    <t>Lethbridge</t>
  </si>
  <si>
    <t>RHUMBOTZ</t>
  </si>
  <si>
    <t>REaCH Omegabytes</t>
  </si>
  <si>
    <t>Spindale</t>
  </si>
  <si>
    <t>CCybernetics</t>
  </si>
  <si>
    <t>Santa Rosa</t>
  </si>
  <si>
    <t>Lennox Monsanto MAAD Dragons</t>
  </si>
  <si>
    <t>De Witt</t>
  </si>
  <si>
    <t xml:space="preserve">The Professionals </t>
  </si>
  <si>
    <t>Monett</t>
  </si>
  <si>
    <t xml:space="preserve"> ROBOTIGERS</t>
  </si>
  <si>
    <t>Bloomfield</t>
  </si>
  <si>
    <t>RoboReign</t>
  </si>
  <si>
    <t>Control Freaks</t>
  </si>
  <si>
    <t>Wayland</t>
  </si>
  <si>
    <t>Kingsmen</t>
  </si>
  <si>
    <t>Kings Park</t>
  </si>
  <si>
    <t>Mars Style</t>
  </si>
  <si>
    <t>CWNC - Trojanators</t>
  </si>
  <si>
    <t>Cranberry Township</t>
  </si>
  <si>
    <t>Code Red</t>
  </si>
  <si>
    <t>Human Error</t>
  </si>
  <si>
    <t>Deep River</t>
  </si>
  <si>
    <t>Athena</t>
  </si>
  <si>
    <t>beer sheva</t>
  </si>
  <si>
    <t>Adna Pirate Robotics</t>
  </si>
  <si>
    <t>Adna</t>
  </si>
  <si>
    <t>Bevbotics</t>
  </si>
  <si>
    <t>Beverly</t>
  </si>
  <si>
    <t>St. Joseph Academy Flashes</t>
  </si>
  <si>
    <t>St. Augustine</t>
  </si>
  <si>
    <t>Brooks Academy Robotics</t>
  </si>
  <si>
    <t>R.E.C'in Crew</t>
  </si>
  <si>
    <t>FranklinBots</t>
  </si>
  <si>
    <t>Louisburg</t>
  </si>
  <si>
    <t>Broomfield</t>
  </si>
  <si>
    <t>ToroBots</t>
  </si>
  <si>
    <t>YAFL Mechatronics</t>
  </si>
  <si>
    <t>Maximum Overload</t>
  </si>
  <si>
    <t>CRHS RoboCats</t>
  </si>
  <si>
    <t>Malakoff</t>
  </si>
  <si>
    <t>Static Storm</t>
  </si>
  <si>
    <t>Sumter</t>
  </si>
  <si>
    <t xml:space="preserve">Petchey Robotics Team </t>
  </si>
  <si>
    <t>RoboDucks</t>
  </si>
  <si>
    <t>Eunice</t>
  </si>
  <si>
    <t>The Shield</t>
  </si>
  <si>
    <t>NEXUS Robotics</t>
  </si>
  <si>
    <t>Magic Island Robotics</t>
  </si>
  <si>
    <t>FLORIANOPOLIS</t>
  </si>
  <si>
    <t>Santa Catarina</t>
  </si>
  <si>
    <t>CTC Inspire</t>
  </si>
  <si>
    <t>Los STEMateros</t>
  </si>
  <si>
    <t>Apex Robotics</t>
  </si>
  <si>
    <t>TORCH</t>
  </si>
  <si>
    <t>SMbly Required</t>
  </si>
  <si>
    <t>Rancho Santa Margarita</t>
  </si>
  <si>
    <t>Horace Mann School</t>
  </si>
  <si>
    <t>The Jesubots</t>
  </si>
  <si>
    <t>X-Bots Robotics</t>
  </si>
  <si>
    <t>Santa Fe Springs</t>
  </si>
  <si>
    <t>BONDS</t>
  </si>
  <si>
    <t>Morpheus</t>
  </si>
  <si>
    <t>GRA-V Robotics</t>
  </si>
  <si>
    <t>Uni-Rex</t>
  </si>
  <si>
    <t>Sanger</t>
  </si>
  <si>
    <t>Riviera Robotics</t>
  </si>
  <si>
    <t>Santa Barbara</t>
  </si>
  <si>
    <t>Mecha Makos</t>
  </si>
  <si>
    <t>Key Biscayne</t>
  </si>
  <si>
    <t>The Saunders Robotics Club</t>
  </si>
  <si>
    <t>WolfByte</t>
  </si>
  <si>
    <t>ACE</t>
  </si>
  <si>
    <t>Avis Automata</t>
  </si>
  <si>
    <t>Chippewa Falls</t>
  </si>
  <si>
    <t>Code Purple</t>
  </si>
  <si>
    <t>Kirkland</t>
  </si>
  <si>
    <t>RoboPats</t>
  </si>
  <si>
    <t>AwtyBots</t>
  </si>
  <si>
    <t>LIFE Engineering</t>
  </si>
  <si>
    <t>Gambrills</t>
  </si>
  <si>
    <t>Revolution Maker</t>
  </si>
  <si>
    <t>Macau</t>
  </si>
  <si>
    <t>Macau (Aomen)</t>
  </si>
  <si>
    <t>R3P2</t>
  </si>
  <si>
    <t>Sage Robotics</t>
  </si>
  <si>
    <t>Newport Coast</t>
  </si>
  <si>
    <t>Mechanic Mutts</t>
  </si>
  <si>
    <t>Unity4Tech</t>
  </si>
  <si>
    <t>Blue Whales</t>
  </si>
  <si>
    <t>Nanjing</t>
  </si>
  <si>
    <t>Jiangsu</t>
  </si>
  <si>
    <t>Shock Wave</t>
  </si>
  <si>
    <t>Dawson</t>
  </si>
  <si>
    <t>The Patriots</t>
  </si>
  <si>
    <t>New Port Richey</t>
  </si>
  <si>
    <t>Flurb</t>
  </si>
  <si>
    <t>East China</t>
  </si>
  <si>
    <t>Southcoast Corsairs</t>
  </si>
  <si>
    <t>North Dartmouth</t>
  </si>
  <si>
    <t>Ironclad</t>
  </si>
  <si>
    <t>Bradley</t>
  </si>
  <si>
    <t>ROBO C3</t>
  </si>
  <si>
    <t>Joker</t>
  </si>
  <si>
    <t>Striking Vikings</t>
  </si>
  <si>
    <t>Downey</t>
  </si>
  <si>
    <t xml:space="preserve">Illusion Robotics </t>
  </si>
  <si>
    <t>Merced</t>
  </si>
  <si>
    <t>FEAR The Termigators</t>
  </si>
  <si>
    <t>GLITCH</t>
  </si>
  <si>
    <t>Asheville</t>
  </si>
  <si>
    <t>Blue Collar Bruisers</t>
  </si>
  <si>
    <t>Walnut Valley Robotics</t>
  </si>
  <si>
    <t>Walnut</t>
  </si>
  <si>
    <t xml:space="preserve">Golden Hurricane </t>
  </si>
  <si>
    <t>Full Metal Muskrats</t>
  </si>
  <si>
    <t>Algonac</t>
  </si>
  <si>
    <t>Brusly HS Robotics</t>
  </si>
  <si>
    <t>Port Allen</t>
  </si>
  <si>
    <t>Robo-Pelicans</t>
  </si>
  <si>
    <t>Droide</t>
  </si>
  <si>
    <t>Terrebonne</t>
  </si>
  <si>
    <t>Fe [Iron] Tigers</t>
  </si>
  <si>
    <t>Wolfforth</t>
  </si>
  <si>
    <t>Radical Robotics</t>
  </si>
  <si>
    <t>League of Logic</t>
  </si>
  <si>
    <t>Chickadees</t>
  </si>
  <si>
    <t>Tecmilenio BorderBots 5874</t>
  </si>
  <si>
    <t>Nuevo Laredo</t>
  </si>
  <si>
    <t>Tamaulipas</t>
  </si>
  <si>
    <t>Fernley</t>
  </si>
  <si>
    <t>ARTEMIS</t>
  </si>
  <si>
    <t>Wahroonga</t>
  </si>
  <si>
    <t>Mechalodons</t>
  </si>
  <si>
    <t>Corona</t>
  </si>
  <si>
    <t>The Great Lakers</t>
  </si>
  <si>
    <t>Mackinac Island</t>
  </si>
  <si>
    <t>TVHS Dragons</t>
  </si>
  <si>
    <t>Spice Gears</t>
  </si>
  <si>
    <t>Krasnik</t>
  </si>
  <si>
    <t>Lubelskie</t>
  </si>
  <si>
    <t>Poland</t>
  </si>
  <si>
    <t>Villanova WiredCats</t>
  </si>
  <si>
    <t>LaSalle</t>
  </si>
  <si>
    <t>IMPERATOR</t>
  </si>
  <si>
    <t>M.E.T.A. Robotics</t>
  </si>
  <si>
    <t>Commandobots</t>
  </si>
  <si>
    <t>UASGC Robosquad</t>
  </si>
  <si>
    <t>Energy HEROs</t>
  </si>
  <si>
    <t>J.E.H.S. CyberJags</t>
  </si>
  <si>
    <t>Peddie School Robotics</t>
  </si>
  <si>
    <t>FROST</t>
  </si>
  <si>
    <t>Career Blazer Robotics Team - The Fighting Mongooses</t>
  </si>
  <si>
    <t>Dalton</t>
  </si>
  <si>
    <t>Cougar Pack</t>
  </si>
  <si>
    <t>The Wire Clippers</t>
  </si>
  <si>
    <t>ThorBots</t>
  </si>
  <si>
    <t>Westby</t>
  </si>
  <si>
    <t>Titanium Badgers</t>
  </si>
  <si>
    <t>Bennington</t>
  </si>
  <si>
    <t>Nebraska</t>
  </si>
  <si>
    <t>CC Shambots</t>
  </si>
  <si>
    <t>Supertronix</t>
  </si>
  <si>
    <t>Matane</t>
  </si>
  <si>
    <t>PARAGON</t>
  </si>
  <si>
    <t>Patriotics</t>
  </si>
  <si>
    <t>Pequot Lakes</t>
  </si>
  <si>
    <t>Caledonia Robotic Warriors</t>
  </si>
  <si>
    <t>Caledonia</t>
  </si>
  <si>
    <t xml:space="preserve">Mercy Midnight Storm </t>
  </si>
  <si>
    <t>Pumatron</t>
  </si>
  <si>
    <t>JoCo RoBos</t>
  </si>
  <si>
    <t>Smithfield</t>
  </si>
  <si>
    <t>VIKotics</t>
  </si>
  <si>
    <t>Palouse</t>
  </si>
  <si>
    <t>Binary Power</t>
  </si>
  <si>
    <t>Juggerbots</t>
  </si>
  <si>
    <t>Angleton</t>
  </si>
  <si>
    <t>The Cat Machine</t>
  </si>
  <si>
    <t>Da MOOse</t>
  </si>
  <si>
    <t>iCademy Globetrotters</t>
  </si>
  <si>
    <t>MetalBoost</t>
  </si>
  <si>
    <t>Herzelia</t>
  </si>
  <si>
    <t>The Marauders</t>
  </si>
  <si>
    <t>Lake Park</t>
  </si>
  <si>
    <t>Lunar Kitties</t>
  </si>
  <si>
    <t>Newcastle</t>
  </si>
  <si>
    <t>Tecmilenio Quetzales 5932</t>
  </si>
  <si>
    <t>MÃ©rida</t>
  </si>
  <si>
    <t>YucatÃ¡n</t>
  </si>
  <si>
    <t>JudgeMent Call</t>
  </si>
  <si>
    <t>Salt lake City</t>
  </si>
  <si>
    <t>Crowbotics</t>
  </si>
  <si>
    <t>DeKalb</t>
  </si>
  <si>
    <t>Tech Tigers</t>
  </si>
  <si>
    <t>Grinnell</t>
  </si>
  <si>
    <t>MI-Robotics</t>
  </si>
  <si>
    <t>Mercer Island</t>
  </si>
  <si>
    <t>B.R.E.A.D.</t>
  </si>
  <si>
    <t>SPQL</t>
  </si>
  <si>
    <t>The Bad News Gears</t>
  </si>
  <si>
    <t>Robotic Pioneers</t>
  </si>
  <si>
    <t>|CTRL| (Absolute Control)</t>
  </si>
  <si>
    <t>Robojags</t>
  </si>
  <si>
    <t>Lebotics</t>
  </si>
  <si>
    <t>Xochitepec</t>
  </si>
  <si>
    <t>Morelos</t>
  </si>
  <si>
    <t>TechGarage</t>
  </si>
  <si>
    <t>Dry Fork</t>
  </si>
  <si>
    <t>Makers Assemble</t>
  </si>
  <si>
    <t>RoBuck</t>
  </si>
  <si>
    <t>Verdun</t>
  </si>
  <si>
    <t>NOLABOTS</t>
  </si>
  <si>
    <t>Portable Chargers</t>
  </si>
  <si>
    <t>CAT 5 CyberCanes</t>
  </si>
  <si>
    <t>Titanium Rams</t>
  </si>
  <si>
    <t>Tampico</t>
  </si>
  <si>
    <t>Mighty ROBO-RANGERS</t>
  </si>
  <si>
    <t>perSEVERE</t>
  </si>
  <si>
    <t>CA Frost High School</t>
  </si>
  <si>
    <t>The Praetorians</t>
  </si>
  <si>
    <t>Voorheesville</t>
  </si>
  <si>
    <t>Power Struck Girls</t>
  </si>
  <si>
    <t>Marrero</t>
  </si>
  <si>
    <t>HB Oiler Robotics</t>
  </si>
  <si>
    <t>Cyborg Indians</t>
  </si>
  <si>
    <t>Manhattan</t>
  </si>
  <si>
    <t>BeaverTronics</t>
  </si>
  <si>
    <t>Raider Robotics Team</t>
  </si>
  <si>
    <t>Metairie</t>
  </si>
  <si>
    <t>Moonshots</t>
  </si>
  <si>
    <t>Gates Mills</t>
  </si>
  <si>
    <t>Mechanical Dragons</t>
  </si>
  <si>
    <t>Beta Blues</t>
  </si>
  <si>
    <t>CyberSaders</t>
  </si>
  <si>
    <t>Rosemary Anderson H S/POIC</t>
  </si>
  <si>
    <t>East Grand Rapids Robotics</t>
  </si>
  <si>
    <t xml:space="preserve">Circuits  of Destruction </t>
  </si>
  <si>
    <t>Merrill</t>
  </si>
  <si>
    <t>Blast Furnace Bots</t>
  </si>
  <si>
    <t>Lithgow</t>
  </si>
  <si>
    <t>Project Bucephalus</t>
  </si>
  <si>
    <t>Wollongong</t>
  </si>
  <si>
    <t>â”Œ Iron Fangs â”</t>
  </si>
  <si>
    <t>Galaxia in memory of David Zohar</t>
  </si>
  <si>
    <t>Narooma</t>
  </si>
  <si>
    <t>Ewen</t>
  </si>
  <si>
    <t>TRIGON</t>
  </si>
  <si>
    <t>Modiin</t>
  </si>
  <si>
    <t>Westbrook</t>
  </si>
  <si>
    <t>West Orange</t>
  </si>
  <si>
    <t>Istech Robotic Society</t>
  </si>
  <si>
    <t>Florya</t>
  </si>
  <si>
    <t>Captain Retros</t>
  </si>
  <si>
    <t>R.U.R.</t>
  </si>
  <si>
    <t>Prague</t>
  </si>
  <si>
    <t>Praha 8</t>
  </si>
  <si>
    <t>Czech Republic</t>
  </si>
  <si>
    <t>Knightling Boltz</t>
  </si>
  <si>
    <t>St. Gabriel</t>
  </si>
  <si>
    <t>The Chillbots</t>
  </si>
  <si>
    <t>International Falls</t>
  </si>
  <si>
    <t>Byte Force</t>
  </si>
  <si>
    <t>Milaca</t>
  </si>
  <si>
    <t>Firehawk Robotics</t>
  </si>
  <si>
    <t>CIP</t>
  </si>
  <si>
    <t>Medellin</t>
  </si>
  <si>
    <t>Antioquia</t>
  </si>
  <si>
    <t>Colombia</t>
  </si>
  <si>
    <t>ZooBOTix</t>
  </si>
  <si>
    <t>SUM</t>
  </si>
  <si>
    <t>Buies Creek</t>
  </si>
  <si>
    <t>f(x) Robotics</t>
  </si>
  <si>
    <t>Cardinaltronics</t>
  </si>
  <si>
    <t>Custer</t>
  </si>
  <si>
    <t>RoboPod</t>
  </si>
  <si>
    <t>laurieton</t>
  </si>
  <si>
    <t>CYBERHEART</t>
  </si>
  <si>
    <t>Tecmilenio - Teravolts - 6010</t>
  </si>
  <si>
    <t>MAZATLAN</t>
  </si>
  <si>
    <t>Cyber Trojans</t>
  </si>
  <si>
    <t>Sturgis</t>
  </si>
  <si>
    <t>STEAMROLLERS</t>
  </si>
  <si>
    <t>ARC</t>
  </si>
  <si>
    <t>Hackettstown</t>
  </si>
  <si>
    <t>Cyberius</t>
  </si>
  <si>
    <t>TICK</t>
  </si>
  <si>
    <t>Lanzhou</t>
  </si>
  <si>
    <t>Gansu</t>
  </si>
  <si>
    <t>Metabots</t>
  </si>
  <si>
    <t>JGHS</t>
  </si>
  <si>
    <t>Bay City</t>
  </si>
  <si>
    <t>Team T.I.G.E.R.S</t>
  </si>
  <si>
    <t>Wrench Warmers</t>
  </si>
  <si>
    <t>Blooming Prairie</t>
  </si>
  <si>
    <t>DISCBOTS</t>
  </si>
  <si>
    <t>R Factor</t>
  </si>
  <si>
    <t>Mumbai</t>
  </si>
  <si>
    <t>Maharashtra</t>
  </si>
  <si>
    <t>India</t>
  </si>
  <si>
    <t>Adroit Androids</t>
  </si>
  <si>
    <t>Tiger Strike</t>
  </si>
  <si>
    <t>Brain Waves</t>
  </si>
  <si>
    <t>Railbots</t>
  </si>
  <si>
    <t>Lincoln Park</t>
  </si>
  <si>
    <t>Pirate Robotics</t>
  </si>
  <si>
    <t>Gadget Agents</t>
  </si>
  <si>
    <t>House of Ulladulla</t>
  </si>
  <si>
    <t>Ulladulla</t>
  </si>
  <si>
    <t>Peninsula Robotics</t>
  </si>
  <si>
    <t>ITOBOT</t>
  </si>
  <si>
    <t>Bayrampasa</t>
  </si>
  <si>
    <t>Cypress Circuits</t>
  </si>
  <si>
    <t>Pebble Beach</t>
  </si>
  <si>
    <t>Allegan Tigers Robotics Team</t>
  </si>
  <si>
    <t>Allegan</t>
  </si>
  <si>
    <t>Moose Lake</t>
  </si>
  <si>
    <t>LiGHT SABRES</t>
  </si>
  <si>
    <t>Sartell</t>
  </si>
  <si>
    <t>Proctor Frostbyte</t>
  </si>
  <si>
    <t>Proctor</t>
  </si>
  <si>
    <t>Titan X</t>
  </si>
  <si>
    <t>Wee Waa Bush Bots</t>
  </si>
  <si>
    <t>Wee Waa</t>
  </si>
  <si>
    <t>Clarke Road Trojans</t>
  </si>
  <si>
    <t>Robusters</t>
  </si>
  <si>
    <t>Colon</t>
  </si>
  <si>
    <t>The Dukes</t>
  </si>
  <si>
    <t>Alliance</t>
  </si>
  <si>
    <t>BOSS</t>
  </si>
  <si>
    <t>Batesville</t>
  </si>
  <si>
    <t>Brotherhood of Steel</t>
  </si>
  <si>
    <t>Rothsay</t>
  </si>
  <si>
    <t>Thunderbots</t>
  </si>
  <si>
    <t>System Overload Robotics</t>
  </si>
  <si>
    <t>Livermore</t>
  </si>
  <si>
    <t>Circuit Serpents</t>
  </si>
  <si>
    <t>Rosamond</t>
  </si>
  <si>
    <t>WHAM (Willyama High Advanced Mechatronics)</t>
  </si>
  <si>
    <t>Broken Hill</t>
  </si>
  <si>
    <t>QLA Pineapples</t>
  </si>
  <si>
    <t>Rothwell</t>
  </si>
  <si>
    <t>Queensland</t>
  </si>
  <si>
    <t>IstanBULLS</t>
  </si>
  <si>
    <t>istanbul</t>
  </si>
  <si>
    <t>Titanium Dragons</t>
  </si>
  <si>
    <t>Rambler Robotics</t>
  </si>
  <si>
    <t>McBain</t>
  </si>
  <si>
    <t>Underdogs</t>
  </si>
  <si>
    <t>Delta Overload</t>
  </si>
  <si>
    <t>Indianola</t>
  </si>
  <si>
    <t>Gryphon Machine</t>
  </si>
  <si>
    <t>Bot Central</t>
  </si>
  <si>
    <t>Triton Tech</t>
  </si>
  <si>
    <t>Newport Beach</t>
  </si>
  <si>
    <t>Cav-Bots</t>
  </si>
  <si>
    <t>Robo-Reactors</t>
  </si>
  <si>
    <t>Roscommon</t>
  </si>
  <si>
    <t>Leland Zebrotics</t>
  </si>
  <si>
    <t>Leland</t>
  </si>
  <si>
    <t>Wiking Kujon</t>
  </si>
  <si>
    <t>Posen</t>
  </si>
  <si>
    <t>Holt</t>
  </si>
  <si>
    <t>Powers</t>
  </si>
  <si>
    <t>Digital Dislocators</t>
  </si>
  <si>
    <t>Overlooking</t>
  </si>
  <si>
    <t>Chiayi</t>
  </si>
  <si>
    <t>Swoop Robotics</t>
  </si>
  <si>
    <t>Green Devil Bots</t>
  </si>
  <si>
    <t>Brown City</t>
  </si>
  <si>
    <t>Ignition</t>
  </si>
  <si>
    <t>Mt. Morris</t>
  </si>
  <si>
    <t>Cybertronic Lancers</t>
  </si>
  <si>
    <t>Ellsworth</t>
  </si>
  <si>
    <t>Stephenson Eagles</t>
  </si>
  <si>
    <t>Stephenson</t>
  </si>
  <si>
    <t>Cyber Cougars</t>
  </si>
  <si>
    <t>Dearborn Heights</t>
  </si>
  <si>
    <t>Wayland Wildcats</t>
  </si>
  <si>
    <t>Eagle 1</t>
  </si>
  <si>
    <t>Deckerville</t>
  </si>
  <si>
    <t>Q-Bots</t>
  </si>
  <si>
    <t>Unplugged</t>
  </si>
  <si>
    <t>Sandusky</t>
  </si>
  <si>
    <t>Manic Mechanics</t>
  </si>
  <si>
    <t>Montague</t>
  </si>
  <si>
    <t>UPSM Cobras</t>
  </si>
  <si>
    <t xml:space="preserve">Botcats </t>
  </si>
  <si>
    <t>Brethren</t>
  </si>
  <si>
    <t>bIrobot</t>
  </si>
  <si>
    <t>Beaver Island</t>
  </si>
  <si>
    <t>MSMohawks</t>
  </si>
  <si>
    <t>Morley</t>
  </si>
  <si>
    <t>Strange Quarks</t>
  </si>
  <si>
    <t>Blanchard</t>
  </si>
  <si>
    <t xml:space="preserve">Green Daemons </t>
  </si>
  <si>
    <t>Plaquemine</t>
  </si>
  <si>
    <t>Desert Eagles</t>
  </si>
  <si>
    <t>Ofakim</t>
  </si>
  <si>
    <t>Tec Gear</t>
  </si>
  <si>
    <t>Irapuato</t>
  </si>
  <si>
    <t>Cyber Jagzz</t>
  </si>
  <si>
    <t>Doc Botics</t>
  </si>
  <si>
    <t>Ajax</t>
  </si>
  <si>
    <t>Gear Knights</t>
  </si>
  <si>
    <t>Cyberstangs</t>
  </si>
  <si>
    <t>Munising</t>
  </si>
  <si>
    <t>M.A.R.C. 1</t>
  </si>
  <si>
    <t>Menominee</t>
  </si>
  <si>
    <t>Do the Thing</t>
  </si>
  <si>
    <t>Garden City</t>
  </si>
  <si>
    <t>Wingspan</t>
  </si>
  <si>
    <t>Dunedoo Central School</t>
  </si>
  <si>
    <t>Dunedoo</t>
  </si>
  <si>
    <t>Prototype Pumas</t>
  </si>
  <si>
    <t>Coldwater</t>
  </si>
  <si>
    <t>Grayling</t>
  </si>
  <si>
    <t>Bear Lake</t>
  </si>
  <si>
    <t>BHS Pumatrons</t>
  </si>
  <si>
    <t>Bisbee</t>
  </si>
  <si>
    <t>The Automatics</t>
  </si>
  <si>
    <t>Hart</t>
  </si>
  <si>
    <t>Shadle Park</t>
  </si>
  <si>
    <t>Vipers</t>
  </si>
  <si>
    <t>NLR Robotics</t>
  </si>
  <si>
    <t>North Little Rock</t>
  </si>
  <si>
    <t>Iron Rangers</t>
  </si>
  <si>
    <t>Crosby</t>
  </si>
  <si>
    <t>Haltom Robotics</t>
  </si>
  <si>
    <t>Haltom City</t>
  </si>
  <si>
    <t>Arctos</t>
  </si>
  <si>
    <t>The Raven Redbots</t>
  </si>
  <si>
    <t>Red Theory</t>
  </si>
  <si>
    <t>Constantine</t>
  </si>
  <si>
    <t>Bulldogs</t>
  </si>
  <si>
    <t>Centreville</t>
  </si>
  <si>
    <t>HGCCA</t>
  </si>
  <si>
    <t>SMT Titans</t>
  </si>
  <si>
    <t>Senator O'Connor College School</t>
  </si>
  <si>
    <t>Angelbots Gold</t>
  </si>
  <si>
    <t>War Eagles</t>
  </si>
  <si>
    <t>Crawfordville</t>
  </si>
  <si>
    <t>Blackjacks</t>
  </si>
  <si>
    <t>Tonkabots</t>
  </si>
  <si>
    <t>Mound</t>
  </si>
  <si>
    <t>hand by hand</t>
  </si>
  <si>
    <t>arara negev</t>
  </si>
  <si>
    <t>BlueBotics</t>
  </si>
  <si>
    <t>ROBO-FALCONS</t>
  </si>
  <si>
    <t>DEARBORN HEIGHTS</t>
  </si>
  <si>
    <t>Blue Crew</t>
  </si>
  <si>
    <t>ElektraBots</t>
  </si>
  <si>
    <t>Infinity Robotics Team</t>
  </si>
  <si>
    <t>Ciudad Obregon</t>
  </si>
  <si>
    <t>Ragnarok</t>
  </si>
  <si>
    <t>Benton</t>
  </si>
  <si>
    <t>Bombatrons</t>
  </si>
  <si>
    <t>Barnum</t>
  </si>
  <si>
    <t>Equilibrium</t>
  </si>
  <si>
    <t>Gray</t>
  </si>
  <si>
    <t>Cap Alpaca</t>
  </si>
  <si>
    <t>Moonshot Slaybots</t>
  </si>
  <si>
    <t>Dike</t>
  </si>
  <si>
    <t>Thorobotics</t>
  </si>
  <si>
    <t>Holmen</t>
  </si>
  <si>
    <t>CB Bearbots</t>
  </si>
  <si>
    <t>Hemingway</t>
  </si>
  <si>
    <t>alzahrawi</t>
  </si>
  <si>
    <t>iksal</t>
  </si>
  <si>
    <t>Tecmilenio Vitronik 6170</t>
  </si>
  <si>
    <t>âš› Chain Reaction âš›</t>
  </si>
  <si>
    <t>The Mad Dogs</t>
  </si>
  <si>
    <t>Kaprekar's Constants</t>
  </si>
  <si>
    <t>Winters</t>
  </si>
  <si>
    <t>Mystery Machine</t>
  </si>
  <si>
    <t>Eden Valley-Watkins</t>
  </si>
  <si>
    <t>Atomic-Robotic-Dogs</t>
  </si>
  <si>
    <t>Moose Jaw</t>
  </si>
  <si>
    <t>Saskatchewan</t>
  </si>
  <si>
    <t xml:space="preserve">Mechanical Lions </t>
  </si>
  <si>
    <t>Cryptic Cyborgs</t>
  </si>
  <si>
    <t>Archbold</t>
  </si>
  <si>
    <t>Leon Robotics  State of Florida Aegis Team</t>
  </si>
  <si>
    <t>Tallahassee</t>
  </si>
  <si>
    <t>Hope BotCats</t>
  </si>
  <si>
    <t>Hope</t>
  </si>
  <si>
    <t>Narrabri High School- Kaputar Klockworks</t>
  </si>
  <si>
    <t>Narrabri</t>
  </si>
  <si>
    <t>Sting Robotics</t>
  </si>
  <si>
    <t>Fort Saskatchewan</t>
  </si>
  <si>
    <t>Cyber Raiders</t>
  </si>
  <si>
    <t>Amelia Court House</t>
  </si>
  <si>
    <t>Will-er Run</t>
  </si>
  <si>
    <t>RoboKryptonite</t>
  </si>
  <si>
    <t>The Legend of Robotics</t>
  </si>
  <si>
    <t>The Aftershocks</t>
  </si>
  <si>
    <t>Cumberland</t>
  </si>
  <si>
    <t>GOLDBOTS</t>
  </si>
  <si>
    <t>E-Hawks</t>
  </si>
  <si>
    <t>TorreÃ³n</t>
  </si>
  <si>
    <t>Xrams</t>
  </si>
  <si>
    <t>JuÃ¡rez</t>
  </si>
  <si>
    <t>Chihuahua</t>
  </si>
  <si>
    <t>The Centurions</t>
  </si>
  <si>
    <t>Titanium Knights Robotics</t>
  </si>
  <si>
    <t>Hackensack</t>
  </si>
  <si>
    <t>Team Pedare</t>
  </si>
  <si>
    <t>Team Quantum</t>
  </si>
  <si>
    <t>Bowie</t>
  </si>
  <si>
    <t>PHEnix</t>
  </si>
  <si>
    <t>Burgaw</t>
  </si>
  <si>
    <t>Armored Eagles</t>
  </si>
  <si>
    <t>Rocky Mount</t>
  </si>
  <si>
    <t>Bomb-Botz</t>
  </si>
  <si>
    <t>Cannon Falls</t>
  </si>
  <si>
    <t xml:space="preserve">Tecmilenio - FTM6218 - 6218 </t>
  </si>
  <si>
    <t>Cuttin' Edge Robotics</t>
  </si>
  <si>
    <t>Blountville</t>
  </si>
  <si>
    <t>MEME Team</t>
  </si>
  <si>
    <t>Los Alamitos</t>
  </si>
  <si>
    <t>Flying Tigers</t>
  </si>
  <si>
    <t>Arsenal Engineering</t>
  </si>
  <si>
    <t>Menomonee Falls</t>
  </si>
  <si>
    <t>6224 The Saint Dominators</t>
  </si>
  <si>
    <t>SLC Robotics</t>
  </si>
  <si>
    <t>Fort Pierce</t>
  </si>
  <si>
    <t>Blue Devils</t>
  </si>
  <si>
    <t>Team Koi</t>
  </si>
  <si>
    <t>Florya Bisons</t>
  </si>
  <si>
    <t>Martin Motion</t>
  </si>
  <si>
    <t>Neponset</t>
  </si>
  <si>
    <t>POPCORN PENGUINS</t>
  </si>
  <si>
    <t>The Irrational Engineers</t>
  </si>
  <si>
    <t>Upper Marlboro</t>
  </si>
  <si>
    <t>Eagles of the Knight</t>
  </si>
  <si>
    <t>Northwood School Robotics</t>
  </si>
  <si>
    <t>Lake Placid</t>
  </si>
  <si>
    <t>Nerointellect-sim Engineering &amp; Robot Design Soiree   N.E.R.D.S.</t>
  </si>
  <si>
    <t>Taunton</t>
  </si>
  <si>
    <t>Tech Devils</t>
  </si>
  <si>
    <t>Greeneville</t>
  </si>
  <si>
    <t>Citadel</t>
  </si>
  <si>
    <t>EAGLE</t>
  </si>
  <si>
    <t>zhenjiang</t>
  </si>
  <si>
    <t>Stable Circuits</t>
  </si>
  <si>
    <t>Atonement Academy CrewStators</t>
  </si>
  <si>
    <t>SPCS - Hafabots</t>
  </si>
  <si>
    <t>Yigo</t>
  </si>
  <si>
    <t>Guam</t>
  </si>
  <si>
    <t>SPCS - Koko Tek</t>
  </si>
  <si>
    <t>Hippocampinae</t>
  </si>
  <si>
    <t>Christchurch</t>
  </si>
  <si>
    <t>DM Robotics The WolfPack</t>
  </si>
  <si>
    <t>Code Error 404</t>
  </si>
  <si>
    <t>Laredo</t>
  </si>
  <si>
    <t>Disruptive Innovation</t>
  </si>
  <si>
    <t>Davenport</t>
  </si>
  <si>
    <t>FE Freedom Engineers</t>
  </si>
  <si>
    <t>Freedom</t>
  </si>
  <si>
    <t>Tecmilenio ENKI-NOVA 6319</t>
  </si>
  <si>
    <t>AHOME</t>
  </si>
  <si>
    <t>Iron Hawks</t>
  </si>
  <si>
    <t>â–  R-Cubed  Rouse Raider Robotics â– </t>
  </si>
  <si>
    <t>Leander</t>
  </si>
  <si>
    <t>ONECLAY A.R.M.O.R.Y.</t>
  </si>
  <si>
    <t>Orange Park</t>
  </si>
  <si>
    <t>Hayden Robotics</t>
  </si>
  <si>
    <t>Reset Robotics</t>
  </si>
  <si>
    <t>âš¡ Baltimore Bolts âš¡</t>
  </si>
  <si>
    <t>Baltimore</t>
  </si>
  <si>
    <t>Tin Men</t>
  </si>
  <si>
    <t>Media</t>
  </si>
  <si>
    <t>Mechanical Advantage</t>
  </si>
  <si>
    <t>The Bucks' Wrath</t>
  </si>
  <si>
    <t>Bucksport</t>
  </si>
  <si>
    <t>Sabotage</t>
  </si>
  <si>
    <t>Bull City Botics</t>
  </si>
  <si>
    <t>Scavenger Robotics</t>
  </si>
  <si>
    <t>Putnam</t>
  </si>
  <si>
    <t>Midlothian</t>
  </si>
  <si>
    <t>Terminal Velocity</t>
  </si>
  <si>
    <t>Javawockies</t>
  </si>
  <si>
    <t>Springwater</t>
  </si>
  <si>
    <t>Terror Bytes</t>
  </si>
  <si>
    <t>Pittsfield</t>
  </si>
  <si>
    <t>Pelican Falls First Nations High School</t>
  </si>
  <si>
    <t>Sioux Lookout</t>
  </si>
  <si>
    <t>Marist Screaming Eagles</t>
  </si>
  <si>
    <t>Etowah Electric Eagles</t>
  </si>
  <si>
    <t>BT Robotics</t>
  </si>
  <si>
    <t>Ancaster</t>
  </si>
  <si>
    <t>Steel Ridge Robotics</t>
  </si>
  <si>
    <t>Yale Jiggawattz</t>
  </si>
  <si>
    <t>Yale</t>
  </si>
  <si>
    <t>Nimrod Nation</t>
  </si>
  <si>
    <t>Watersmeet</t>
  </si>
  <si>
    <t>Norwalk High School Robotics</t>
  </si>
  <si>
    <t>Norwalk</t>
  </si>
  <si>
    <t>HORUS</t>
  </si>
  <si>
    <t>COLIMA</t>
  </si>
  <si>
    <t>Colima</t>
  </si>
  <si>
    <t>J.E.D.I.S.</t>
  </si>
  <si>
    <t>Enumclaw</t>
  </si>
  <si>
    <t>Rundle College Robotics</t>
  </si>
  <si>
    <t>LAUNCH TEAM</t>
  </si>
  <si>
    <t>Zodiac</t>
  </si>
  <si>
    <t>Jiayi Superhuman Strength</t>
  </si>
  <si>
    <t>Robots Over Parma</t>
  </si>
  <si>
    <t>MetaRobotics</t>
  </si>
  <si>
    <t>The Spring Konstant</t>
  </si>
  <si>
    <t>Dripping Springs</t>
  </si>
  <si>
    <t xml:space="preserve">The Buhlean Operators </t>
  </si>
  <si>
    <t>Buhl</t>
  </si>
  <si>
    <t>TechKnow Difficulties</t>
  </si>
  <si>
    <t>Quanzhou No.5 Middle School</t>
  </si>
  <si>
    <t>Quanzhou</t>
  </si>
  <si>
    <t>Fujian</t>
  </si>
  <si>
    <t>The Blazer</t>
  </si>
  <si>
    <t>Shengxue Corps</t>
  </si>
  <si>
    <t>BirdBots</t>
  </si>
  <si>
    <t>El Campo</t>
  </si>
  <si>
    <t>Ten Ton Robotics</t>
  </si>
  <si>
    <t>West Vancouver</t>
  </si>
  <si>
    <t>British Columbia</t>
  </si>
  <si>
    <t>RAM Rodz Robotics</t>
  </si>
  <si>
    <t>Simpsonville</t>
  </si>
  <si>
    <t>The ElectroLights</t>
  </si>
  <si>
    <t>Mercenary Robotics</t>
  </si>
  <si>
    <t>McKinney</t>
  </si>
  <si>
    <t>Spencer Robotics</t>
  </si>
  <si>
    <t>Spencer</t>
  </si>
  <si>
    <t>Chi-squared Robotics</t>
  </si>
  <si>
    <t>Further Dream</t>
  </si>
  <si>
    <t>Howdy Bots</t>
  </si>
  <si>
    <t>LYNX</t>
  </si>
  <si>
    <t>Terabyte of Ram</t>
  </si>
  <si>
    <t>Pleasant Hill</t>
  </si>
  <si>
    <t>Orion</t>
  </si>
  <si>
    <t>Red Raider Robotics</t>
  </si>
  <si>
    <t>Sheboygan</t>
  </si>
  <si>
    <t>RoboHornz</t>
  </si>
  <si>
    <t>PLUG&amp;PLAY</t>
  </si>
  <si>
    <t>Guangzhou research robot club</t>
  </si>
  <si>
    <t>GUANGZHOU</t>
  </si>
  <si>
    <t>WonderWorks Robotics</t>
  </si>
  <si>
    <t xml:space="preserve">Hephaestus </t>
  </si>
  <si>
    <t>Surrey</t>
  </si>
  <si>
    <t>Ursuline Bearbotics</t>
  </si>
  <si>
    <t>Dimension Creator</t>
  </si>
  <si>
    <t>Chengdu</t>
  </si>
  <si>
    <t>Sichuan</t>
  </si>
  <si>
    <t>Pioneer</t>
  </si>
  <si>
    <t>Zhengzhou</t>
  </si>
  <si>
    <t>Henan</t>
  </si>
  <si>
    <t>MITO</t>
  </si>
  <si>
    <t>Suzhou</t>
  </si>
  <si>
    <t>Romero Robotics</t>
  </si>
  <si>
    <t>Kilo-bots</t>
  </si>
  <si>
    <t>Santa Paula</t>
  </si>
  <si>
    <t>Jinan foreign language school</t>
  </si>
  <si>
    <t>JINAN</t>
  </si>
  <si>
    <t>The Manhattan Project</t>
  </si>
  <si>
    <t>Clarkstown North 8-Bit Rams</t>
  </si>
  <si>
    <t>New City</t>
  </si>
  <si>
    <t>GOKTURKLER</t>
  </si>
  <si>
    <t>Ä°STANBUL</t>
  </si>
  <si>
    <t>D.P. Todd Secondary</t>
  </si>
  <si>
    <t>Prince George</t>
  </si>
  <si>
    <t>Brazilian Storm</t>
  </si>
  <si>
    <t>SÃ£o JosÃ© dos Campos</t>
  </si>
  <si>
    <t>Cyber Scorpions</t>
  </si>
  <si>
    <t>Salt Spring Island</t>
  </si>
  <si>
    <t>Tecmilenio - DEVOLT - 6407</t>
  </si>
  <si>
    <t>Syntechs</t>
  </si>
  <si>
    <t>Port Moody</t>
  </si>
  <si>
    <t>Supreme Eagles</t>
  </si>
  <si>
    <t>Salinas</t>
  </si>
  <si>
    <t>Jordan High Gravediggers</t>
  </si>
  <si>
    <t>For Sale By Owner</t>
  </si>
  <si>
    <t>Cedar Rapids</t>
  </si>
  <si>
    <t>Degrees of Freedom</t>
  </si>
  <si>
    <t>Voyager</t>
  </si>
  <si>
    <t>GULTEPE ROBOTICS</t>
  </si>
  <si>
    <t>MEV MAKERS</t>
  </si>
  <si>
    <t>BÃ¼yÃ¼kÃ§ekmece</t>
  </si>
  <si>
    <t>Fridolins</t>
  </si>
  <si>
    <t>Glarus</t>
  </si>
  <si>
    <t>Switzerland</t>
  </si>
  <si>
    <t>The Missfits</t>
  </si>
  <si>
    <t>Innovation, Collaboration, and Excellence</t>
  </si>
  <si>
    <t>West Des Moines</t>
  </si>
  <si>
    <t>Fire Island Robotics</t>
  </si>
  <si>
    <t>Muscatine</t>
  </si>
  <si>
    <t>WARRIORBOTS</t>
  </si>
  <si>
    <t>Muskego</t>
  </si>
  <si>
    <t>GearHeadz</t>
  </si>
  <si>
    <t>Rocky Point</t>
  </si>
  <si>
    <t>Ward Melville High School</t>
  </si>
  <si>
    <t>East Setauket</t>
  </si>
  <si>
    <t>Stealth Panther Robotics</t>
  </si>
  <si>
    <t>Knob Noster</t>
  </si>
  <si>
    <t>The Conclave</t>
  </si>
  <si>
    <t>Robo Gladiators</t>
  </si>
  <si>
    <t>STEMINEERS</t>
  </si>
  <si>
    <t>4th Dimension</t>
  </si>
  <si>
    <t>GÃ¼zelbahÃ§e</t>
  </si>
  <si>
    <t>Izmir</t>
  </si>
  <si>
    <t>Kalsedon</t>
  </si>
  <si>
    <t>EskiÅŸehir</t>
  </si>
  <si>
    <t>Eskisehir</t>
  </si>
  <si>
    <t>St Cathodes</t>
  </si>
  <si>
    <t>Waverley</t>
  </si>
  <si>
    <t>To Be Decided</t>
  </si>
  <si>
    <t>Hangzhou</t>
  </si>
  <si>
    <t>Zhejiang</t>
  </si>
  <si>
    <t>Bossley Park High School</t>
  </si>
  <si>
    <t>Bossley Park</t>
  </si>
  <si>
    <t>Jetson's Robotics</t>
  </si>
  <si>
    <t>PARS ROBOTIC TEAM</t>
  </si>
  <si>
    <t>Basaksehir</t>
  </si>
  <si>
    <t>tanx</t>
  </si>
  <si>
    <t>Canobolas</t>
  </si>
  <si>
    <t>Turbo Turtle</t>
  </si>
  <si>
    <t>Modern Americans</t>
  </si>
  <si>
    <t>Pendleton</t>
  </si>
  <si>
    <t>AEMBOT</t>
  </si>
  <si>
    <t>Prepa Tec Chihuahua</t>
  </si>
  <si>
    <t>CTEC Robotics</t>
  </si>
  <si>
    <t>Bad 2 the Bone - Bingara Central School</t>
  </si>
  <si>
    <t>Bingara</t>
  </si>
  <si>
    <t>DigiBots</t>
  </si>
  <si>
    <t>Warnbro</t>
  </si>
  <si>
    <t>Wired Warriors</t>
  </si>
  <si>
    <t>Whiteland</t>
  </si>
  <si>
    <t>Bog Bots!</t>
  </si>
  <si>
    <t>Kelliher</t>
  </si>
  <si>
    <t>The Coded Collective</t>
  </si>
  <si>
    <t>Roots Charter High School</t>
  </si>
  <si>
    <t>Semiahmoo Robotics</t>
  </si>
  <si>
    <t>AG Robotik</t>
  </si>
  <si>
    <t>Air Guardians</t>
  </si>
  <si>
    <t>Iron Stallions</t>
  </si>
  <si>
    <t>Wingham</t>
  </si>
  <si>
    <t xml:space="preserve">NOVA </t>
  </si>
  <si>
    <t>Port Ewen</t>
  </si>
  <si>
    <t>Danger Noodle Danger</t>
  </si>
  <si>
    <t>Seminole</t>
  </si>
  <si>
    <t>Mystic Biscuit</t>
  </si>
  <si>
    <t>Lenox</t>
  </si>
  <si>
    <t>The Positronic Panthers</t>
  </si>
  <si>
    <t>Ponte Vedra</t>
  </si>
  <si>
    <t>Lee County High School Trojans</t>
  </si>
  <si>
    <t>Rock Star Robotics</t>
  </si>
  <si>
    <t>Armijo Robotics</t>
  </si>
  <si>
    <t>Supernova Star Squad</t>
  </si>
  <si>
    <t>Coonabarabran</t>
  </si>
  <si>
    <t>AzTech</t>
  </si>
  <si>
    <t>Parkhill</t>
  </si>
  <si>
    <t>Joseph City</t>
  </si>
  <si>
    <t>Tecmilenio - Charger - 6483</t>
  </si>
  <si>
    <t>juarez</t>
  </si>
  <si>
    <t>TechKnowLogic</t>
  </si>
  <si>
    <t>Greenwich</t>
  </si>
  <si>
    <t>Matheson's Mecha Mustangs</t>
  </si>
  <si>
    <t>Clockwork Knights</t>
  </si>
  <si>
    <t>Bronco Robotics</t>
  </si>
  <si>
    <t>Zachary</t>
  </si>
  <si>
    <t>S.W.A.T</t>
  </si>
  <si>
    <t>Pangburn</t>
  </si>
  <si>
    <t>Red Steel</t>
  </si>
  <si>
    <t>University Center</t>
  </si>
  <si>
    <t>Wings of Liberty</t>
  </si>
  <si>
    <t>Castle High School</t>
  </si>
  <si>
    <t>Newburgh</t>
  </si>
  <si>
    <t>Innovos Robotics</t>
  </si>
  <si>
    <t>GearCats</t>
  </si>
  <si>
    <t>DARC SIDE</t>
  </si>
  <si>
    <t>Iron Dragon</t>
  </si>
  <si>
    <t>Falls Church High School Robotics</t>
  </si>
  <si>
    <t>ElectroPanthers</t>
  </si>
  <si>
    <t>Steel Boot</t>
  </si>
  <si>
    <t>Tecmilenio    ELEKTRON  6507</t>
  </si>
  <si>
    <t>Reynosa</t>
  </si>
  <si>
    <t>Port Macquarie</t>
  </si>
  <si>
    <t>Southern River</t>
  </si>
  <si>
    <t>Gosnells</t>
  </si>
  <si>
    <t>Pymble Pride</t>
  </si>
  <si>
    <t>Pymble</t>
  </si>
  <si>
    <t>Bolivia</t>
  </si>
  <si>
    <t>Wyvern Robotics</t>
  </si>
  <si>
    <t>Woodbridge</t>
  </si>
  <si>
    <t>Sutton Robotics League</t>
  </si>
  <si>
    <t>Sutton West</t>
  </si>
  <si>
    <t>Unimatics</t>
  </si>
  <si>
    <t>Calexico</t>
  </si>
  <si>
    <t>Team FTW</t>
  </si>
  <si>
    <t>JagBots</t>
  </si>
  <si>
    <t>The Vegas Vortechs</t>
  </si>
  <si>
    <t>Hanoi Amsterdam School</t>
  </si>
  <si>
    <t>hanoi</t>
  </si>
  <si>
    <t>Ha Noi</t>
  </si>
  <si>
    <t>Vietnam</t>
  </si>
  <si>
    <t>Wilder Wolves - Cecil Andrews College</t>
  </si>
  <si>
    <t>Seville Grove</t>
  </si>
  <si>
    <t>Greater Sydney Robotics</t>
  </si>
  <si>
    <t>Cyber Rangers</t>
  </si>
  <si>
    <t>Garland</t>
  </si>
  <si>
    <t>Short SirKit</t>
  </si>
  <si>
    <t>Lake Mary</t>
  </si>
  <si>
    <t>Gibraltar</t>
  </si>
  <si>
    <t>Beantown Blitz</t>
  </si>
  <si>
    <t>Roxbury Crossing</t>
  </si>
  <si>
    <t>Ra</t>
  </si>
  <si>
    <t>Redhawks</t>
  </si>
  <si>
    <t>Cedar Springs</t>
  </si>
  <si>
    <t>Ben Carson Blue Jays</t>
  </si>
  <si>
    <t>Beaver Tech</t>
  </si>
  <si>
    <t>Edison Sustainabots</t>
  </si>
  <si>
    <t>TheDarkSide</t>
  </si>
  <si>
    <t>Vinton</t>
  </si>
  <si>
    <t>WIHS Robotics</t>
  </si>
  <si>
    <t>Linc-Bots</t>
  </si>
  <si>
    <t>Dynamo</t>
  </si>
  <si>
    <t>Mont-Royal</t>
  </si>
  <si>
    <t>T-FROGS</t>
  </si>
  <si>
    <t>LA TALAUDIERE</t>
  </si>
  <si>
    <t>Loire</t>
  </si>
  <si>
    <t>pumaTECH</t>
  </si>
  <si>
    <t>Oakton</t>
  </si>
  <si>
    <t>A-Team Robotics</t>
  </si>
  <si>
    <t>Amherstburg</t>
  </si>
  <si>
    <t>Tawas Braves</t>
  </si>
  <si>
    <t>Tawas City</t>
  </si>
  <si>
    <t>NaatsisÊ¼Ã¡Ã¡n Robotics</t>
  </si>
  <si>
    <t>Navajo Mountain</t>
  </si>
  <si>
    <t>Flaming Metal Robotics</t>
  </si>
  <si>
    <t>Magnolia</t>
  </si>
  <si>
    <t>Perry High School RAMBOTS</t>
  </si>
  <si>
    <t>Perry</t>
  </si>
  <si>
    <t xml:space="preserve">Wildcat Robotics </t>
  </si>
  <si>
    <t>Evart</t>
  </si>
  <si>
    <t>Houghton Lake</t>
  </si>
  <si>
    <t>Roboticus</t>
  </si>
  <si>
    <t>Oxnard</t>
  </si>
  <si>
    <t>Phoenix Robotics</t>
  </si>
  <si>
    <t>La Mirada</t>
  </si>
  <si>
    <t>Waldron Bot Heads</t>
  </si>
  <si>
    <t>Waldron</t>
  </si>
  <si>
    <t>Baraga</t>
  </si>
  <si>
    <t>Aluminum Sting</t>
  </si>
  <si>
    <t>Lanse</t>
  </si>
  <si>
    <t>Bay-Arenac</t>
  </si>
  <si>
    <t>Charging Champions</t>
  </si>
  <si>
    <t>Omecha Wolf Pack</t>
  </si>
  <si>
    <t>Scottville</t>
  </si>
  <si>
    <t>ROBO CORR</t>
  </si>
  <si>
    <t>Quesnel</t>
  </si>
  <si>
    <t>TDSS Titans</t>
  </si>
  <si>
    <t xml:space="preserve">Team Bobcat </t>
  </si>
  <si>
    <t>Arapahoe</t>
  </si>
  <si>
    <t>Lamphere Robotics</t>
  </si>
  <si>
    <t xml:space="preserve">Lake Shore High School </t>
  </si>
  <si>
    <t>Decatur Robotics Team</t>
  </si>
  <si>
    <t>Ontonagon</t>
  </si>
  <si>
    <t>Whiteford Bobcats</t>
  </si>
  <si>
    <t>Ottawa Lake</t>
  </si>
  <si>
    <t>Alanson Vikings</t>
  </si>
  <si>
    <t>Alanson</t>
  </si>
  <si>
    <t>Ferradermis</t>
  </si>
  <si>
    <t>Whitewater</t>
  </si>
  <si>
    <t>Tempe T-Rex</t>
  </si>
  <si>
    <t>Komplete Kaos Inc</t>
  </si>
  <si>
    <t>Helensburgh</t>
  </si>
  <si>
    <t>Positive Charge</t>
  </si>
  <si>
    <t xml:space="preserve">Hancock Bulldogs </t>
  </si>
  <si>
    <t>Hancock</t>
  </si>
  <si>
    <t>Vestabots</t>
  </si>
  <si>
    <t>Vestaburg</t>
  </si>
  <si>
    <t>AHC Transformers</t>
  </si>
  <si>
    <t>Kensington</t>
  </si>
  <si>
    <t>Many Farms</t>
  </si>
  <si>
    <t>Arkansas High School</t>
  </si>
  <si>
    <t>Texarkana</t>
  </si>
  <si>
    <t>Counter-Torque Robotics</t>
  </si>
  <si>
    <t>Cardinal.EXE</t>
  </si>
  <si>
    <t>Bloomingdale</t>
  </si>
  <si>
    <t>SaviTech</t>
  </si>
  <si>
    <t>Panther Powered</t>
  </si>
  <si>
    <t>Stockbridge</t>
  </si>
  <si>
    <t>Sexton Redbots</t>
  </si>
  <si>
    <t>Lansing</t>
  </si>
  <si>
    <t>Lions</t>
  </si>
  <si>
    <t>Richmond Hill</t>
  </si>
  <si>
    <t>EV ROBOTICS</t>
  </si>
  <si>
    <t>QUAKE</t>
  </si>
  <si>
    <t>Northport Wildcats</t>
  </si>
  <si>
    <t>Baldwin Panthers</t>
  </si>
  <si>
    <t>Easy Company</t>
  </si>
  <si>
    <t>Tecmilenio - Equipo ITAC - 6604</t>
  </si>
  <si>
    <t>CULIACAN</t>
  </si>
  <si>
    <t>Tecmilenio - Synergy - 6605</t>
  </si>
  <si>
    <t>Cuernavaca</t>
  </si>
  <si>
    <t>Tecmilenio PINK HAWKS 6606</t>
  </si>
  <si>
    <t>Tecmilenio - ARMY ROBOT TECHNOLOGY - 6607</t>
  </si>
  <si>
    <t>Veracruz</t>
  </si>
  <si>
    <t>Tecmilenio ARCADIA 6608</t>
  </si>
  <si>
    <t>Tlaquepaque</t>
  </si>
  <si>
    <t>Jalisco</t>
  </si>
  <si>
    <t>Robot Roll Call</t>
  </si>
  <si>
    <t>Au Gres Robotics</t>
  </si>
  <si>
    <t>Au Gres</t>
  </si>
  <si>
    <t>NexGen</t>
  </si>
  <si>
    <t>Gogebic Range Robotics</t>
  </si>
  <si>
    <t>Hurley</t>
  </si>
  <si>
    <t>ROBOTEDIST</t>
  </si>
  <si>
    <t>Belle Voxel - Bots</t>
  </si>
  <si>
    <t>Belleville</t>
  </si>
  <si>
    <t>Mechanical Pumas</t>
  </si>
  <si>
    <t>WARHBOTS</t>
  </si>
  <si>
    <t>Flat Rock</t>
  </si>
  <si>
    <t>GravitechX</t>
  </si>
  <si>
    <t>The Northmengineers</t>
  </si>
  <si>
    <t>Slatersville</t>
  </si>
  <si>
    <t>Artemis Robotics Team (ART)</t>
  </si>
  <si>
    <t>Stan Robotix</t>
  </si>
  <si>
    <t>Outremont</t>
  </si>
  <si>
    <t>Marinette RoboMarines</t>
  </si>
  <si>
    <t>Marinette</t>
  </si>
  <si>
    <t>Andrews' Robohana</t>
  </si>
  <si>
    <t>Andrews</t>
  </si>
  <si>
    <t>Niles Nordic Knights</t>
  </si>
  <si>
    <t>KMS ROBOTICS</t>
  </si>
  <si>
    <t>Kerkhoven</t>
  </si>
  <si>
    <t>F.U.N.  (Fiercely Uknighted Nation)</t>
  </si>
  <si>
    <t>La Porte City</t>
  </si>
  <si>
    <t>Reese Rockets High School Robotics</t>
  </si>
  <si>
    <t>Reese</t>
  </si>
  <si>
    <t>Supreme Robotics</t>
  </si>
  <si>
    <t>Robo-Elephants</t>
  </si>
  <si>
    <t>Jaxon Falcon Works</t>
  </si>
  <si>
    <t>Full Metal Beavers</t>
  </si>
  <si>
    <t>BetaWolves</t>
  </si>
  <si>
    <t>Carney</t>
  </si>
  <si>
    <t>Fulton Pirates</t>
  </si>
  <si>
    <t>Middleton</t>
  </si>
  <si>
    <t xml:space="preserve">The Mechanical Minds </t>
  </si>
  <si>
    <t>Hickory</t>
  </si>
  <si>
    <t>Metal Eagles</t>
  </si>
  <si>
    <t>Mayflower</t>
  </si>
  <si>
    <t>Harrison Stingers of Steel</t>
  </si>
  <si>
    <t>Walnuts and Bolts</t>
  </si>
  <si>
    <t>Racine</t>
  </si>
  <si>
    <t>Atomic Automatons</t>
  </si>
  <si>
    <t>Rocklin</t>
  </si>
  <si>
    <t>Alloy Obsession</t>
  </si>
  <si>
    <t>The Belton New Tech SpaceMakers</t>
  </si>
  <si>
    <t>Belton</t>
  </si>
  <si>
    <t>VOLTEC Robotics</t>
  </si>
  <si>
    <t>MONTERREY</t>
  </si>
  <si>
    <t>MechaSpartans</t>
  </si>
  <si>
    <t>Ozone Park</t>
  </si>
  <si>
    <t xml:space="preserve">CHA Circuits </t>
  </si>
  <si>
    <t>Saint Helen</t>
  </si>
  <si>
    <t>Tribebots</t>
  </si>
  <si>
    <t>Golden Bots</t>
  </si>
  <si>
    <t>Sterling</t>
  </si>
  <si>
    <t>TigreRobotics</t>
  </si>
  <si>
    <t>West Wyalong</t>
  </si>
  <si>
    <t>Central Robobcatics</t>
  </si>
  <si>
    <t>Ryu Botics</t>
  </si>
  <si>
    <t>Payson</t>
  </si>
  <si>
    <t>Arborbotics</t>
  </si>
  <si>
    <t>Visalia</t>
  </si>
  <si>
    <t>Rockbotics</t>
  </si>
  <si>
    <t>MarkerBots</t>
  </si>
  <si>
    <t>FalconX</t>
  </si>
  <si>
    <t>LADYBOTS</t>
  </si>
  <si>
    <t>Nuns and Bolts</t>
  </si>
  <si>
    <t>Tecmilenio- Regiobots -6666</t>
  </si>
  <si>
    <t>Guadalupe</t>
  </si>
  <si>
    <t>STEM Clippers</t>
  </si>
  <si>
    <t>Chester</t>
  </si>
  <si>
    <t xml:space="preserve">Scorpion </t>
  </si>
  <si>
    <t>Hesperia</t>
  </si>
  <si>
    <t>Red Cat Robots</t>
  </si>
  <si>
    <t>Adamas Robotics</t>
  </si>
  <si>
    <t>Fusion Corps</t>
  </si>
  <si>
    <t>Alexis Tech Warriors</t>
  </si>
  <si>
    <t>Glenevis</t>
  </si>
  <si>
    <t>MIT Iron Eagles</t>
  </si>
  <si>
    <t>Thunder Hawks</t>
  </si>
  <si>
    <t>ObregÃ³n</t>
  </si>
  <si>
    <t>Team Avengers</t>
  </si>
  <si>
    <t>Pascagoula</t>
  </si>
  <si>
    <t>TESLA Robotics</t>
  </si>
  <si>
    <t>TRIObotics</t>
  </si>
  <si>
    <t>Team Outreach A.S.T.R.O. Vikings</t>
  </si>
  <si>
    <t>La Luz</t>
  </si>
  <si>
    <t>The ROAR-Botics</t>
  </si>
  <si>
    <t>Carrizo Springs</t>
  </si>
  <si>
    <t>Bionic Broncos</t>
  </si>
  <si>
    <t>West Valley Middle College Robotics Team</t>
  </si>
  <si>
    <t>MV roboPride</t>
  </si>
  <si>
    <t>PiRho Tech</t>
  </si>
  <si>
    <t>Robofalcons</t>
  </si>
  <si>
    <t>San Bernardino</t>
  </si>
  <si>
    <t>TrailBLAZERS</t>
  </si>
  <si>
    <t>INNOBOTICS</t>
  </si>
  <si>
    <t>Alpha Knights</t>
  </si>
  <si>
    <t>Cardinal Dynamics</t>
  </si>
  <si>
    <t>Corbett</t>
  </si>
  <si>
    <t>EUROBOTICS</t>
  </si>
  <si>
    <t>Atwater</t>
  </si>
  <si>
    <t>Patriot Robotics</t>
  </si>
  <si>
    <t xml:space="preserve">Phoenix </t>
  </si>
  <si>
    <t>StingBots Santa Anita</t>
  </si>
  <si>
    <t>Tlajomulco de ZuÃ±iga</t>
  </si>
  <si>
    <t>Mid Pacific Owl Robotics</t>
  </si>
  <si>
    <t>WildCat 5e</t>
  </si>
  <si>
    <t>GOLEM</t>
  </si>
  <si>
    <t>RCW   Jaguar Robosapiens</t>
  </si>
  <si>
    <t>Renville</t>
  </si>
  <si>
    <t>Lobos Conalep</t>
  </si>
  <si>
    <t>Almoloya del Rio</t>
  </si>
  <si>
    <t>Spudinc</t>
  </si>
  <si>
    <t>Big Lake</t>
  </si>
  <si>
    <t>Millenial Falcons</t>
  </si>
  <si>
    <t>Mountaineers</t>
  </si>
  <si>
    <t>Chatsworth</t>
  </si>
  <si>
    <t>A. R. Johnson's Panthers</t>
  </si>
  <si>
    <t>HZB Robotics</t>
  </si>
  <si>
    <t>Hephzibah</t>
  </si>
  <si>
    <t>Circuit Br8kers</t>
  </si>
  <si>
    <t>SPARTANS</t>
  </si>
  <si>
    <t>Castle Dale</t>
  </si>
  <si>
    <t>Rocket Dogs</t>
  </si>
  <si>
    <t>Walker-Hackensack-Akeley</t>
  </si>
  <si>
    <t>Walker</t>
  </si>
  <si>
    <t>Tindley Trailblazers</t>
  </si>
  <si>
    <t>Seahawk Metal</t>
  </si>
  <si>
    <t>Team redbot        Mt Greylock Regional High School</t>
  </si>
  <si>
    <t>Williamstown</t>
  </si>
  <si>
    <t>Westminster SS</t>
  </si>
  <si>
    <t>HOT Bots</t>
  </si>
  <si>
    <t>RobCoBots</t>
  </si>
  <si>
    <t>Lumberton</t>
  </si>
  <si>
    <t>CCS Nuclear Knights</t>
  </si>
  <si>
    <t xml:space="preserve">Record Robotics </t>
  </si>
  <si>
    <t>BHS RoboRaiders</t>
  </si>
  <si>
    <t>Bruce</t>
  </si>
  <si>
    <t>Knights of the Sea</t>
  </si>
  <si>
    <t>AKKO</t>
  </si>
  <si>
    <t>Excalibur</t>
  </si>
  <si>
    <t>Modi'in</t>
  </si>
  <si>
    <t>Tel Shevaa</t>
  </si>
  <si>
    <t>tel sheva</t>
  </si>
  <si>
    <t>g3- glue gun &amp; glitter</t>
  </si>
  <si>
    <t>pardes hana</t>
  </si>
  <si>
    <t>Space monkeys</t>
  </si>
  <si>
    <t>rishon le tzion</t>
  </si>
  <si>
    <t>Blue Jays</t>
  </si>
  <si>
    <t>Westland</t>
  </si>
  <si>
    <t>Tiger Engineering</t>
  </si>
  <si>
    <t>Fort Myers</t>
  </si>
  <si>
    <t>Mehville Pi</t>
  </si>
  <si>
    <t>Syosset</t>
  </si>
  <si>
    <t>MustangRobotics</t>
  </si>
  <si>
    <t>tERAbytes</t>
  </si>
  <si>
    <t>PackAttack</t>
  </si>
  <si>
    <t>RoboFlash</t>
  </si>
  <si>
    <t>CBA RoboKings</t>
  </si>
  <si>
    <t xml:space="preserve">Trailbots </t>
  </si>
  <si>
    <t>Overdrive</t>
  </si>
  <si>
    <t>Fontana</t>
  </si>
  <si>
    <t xml:space="preserve">Otternauts </t>
  </si>
  <si>
    <t>Kasson</t>
  </si>
  <si>
    <t>Oscats</t>
  </si>
  <si>
    <t>FUSION</t>
  </si>
  <si>
    <t>Flash Drives</t>
  </si>
  <si>
    <t>Fillmore</t>
  </si>
  <si>
    <t>Columbus City Schools Walnut Ridge Scotts</t>
  </si>
  <si>
    <t>Atom Storm</t>
  </si>
  <si>
    <t>Denison Robo-Jackets</t>
  </si>
  <si>
    <t>Denison</t>
  </si>
  <si>
    <t>Future Star</t>
  </si>
  <si>
    <t>Raven</t>
  </si>
  <si>
    <t>ViperBots Valor</t>
  </si>
  <si>
    <t xml:space="preserve">Robot Crabshell </t>
  </si>
  <si>
    <t>Guangzhou</t>
  </si>
  <si>
    <t>The Mean Caimans</t>
  </si>
  <si>
    <t>Cedar Bluff</t>
  </si>
  <si>
    <t>HAI-Panda</t>
  </si>
  <si>
    <t>Team Wolfpack</t>
  </si>
  <si>
    <t>Livingston</t>
  </si>
  <si>
    <t>1878 sum pi</t>
  </si>
  <si>
    <t>Omaha</t>
  </si>
  <si>
    <t>Mineola Wild Reds</t>
  </si>
  <si>
    <t>Mineola</t>
  </si>
  <si>
    <t>REAL Robotics</t>
  </si>
  <si>
    <t>William Tennent Robotics</t>
  </si>
  <si>
    <t>Warminster</t>
  </si>
  <si>
    <t xml:space="preserve">Ace Robotics </t>
  </si>
  <si>
    <t>Enid</t>
  </si>
  <si>
    <t>Starship Robotics</t>
  </si>
  <si>
    <t>Maringouin</t>
  </si>
  <si>
    <t>Gunnery Gears</t>
  </si>
  <si>
    <t>Andover Snowflakes</t>
  </si>
  <si>
    <t>American School of Bombay</t>
  </si>
  <si>
    <t xml:space="preserve">Ellipse </t>
  </si>
  <si>
    <t>10 Factorial</t>
  </si>
  <si>
    <t>Rolla</t>
  </si>
  <si>
    <t>Navigator</t>
  </si>
  <si>
    <t>VÃ¤xjÃ¶</t>
  </si>
  <si>
    <t>Kronobergs lÃ¤n</t>
  </si>
  <si>
    <t>Sweden</t>
  </si>
  <si>
    <t>Tecmilenio - Scorpion Bots - 6820</t>
  </si>
  <si>
    <t>DURANGO</t>
  </si>
  <si>
    <t>Rogue Techs</t>
  </si>
  <si>
    <t>Mira Loma</t>
  </si>
  <si>
    <t>THE SHISHKABOTS</t>
  </si>
  <si>
    <t>LVA Robot Pigeons</t>
  </si>
  <si>
    <t>The Stronghorns</t>
  </si>
  <si>
    <t>Equipo Academy</t>
  </si>
  <si>
    <t>hexagon</t>
  </si>
  <si>
    <t>Ignite Robotics</t>
  </si>
  <si>
    <t>Southwest system overload</t>
  </si>
  <si>
    <t xml:space="preserve"> A-05 Annex</t>
  </si>
  <si>
    <t>Hood River</t>
  </si>
  <si>
    <t>Robotrojans STEAMex</t>
  </si>
  <si>
    <t>San Pedro Garza GarcÃ­a</t>
  </si>
  <si>
    <t>Phoenix Coding Academy Pythons</t>
  </si>
  <si>
    <t>Bionic Warriors</t>
  </si>
  <si>
    <t>Etna</t>
  </si>
  <si>
    <t>Steel Satyr</t>
  </si>
  <si>
    <t>The Tinkerers</t>
  </si>
  <si>
    <t>Manly</t>
  </si>
  <si>
    <t>Tecmilenio - Bellum - 6837</t>
  </si>
  <si>
    <t>Azcapotzalco</t>
  </si>
  <si>
    <t>X-SHARC</t>
  </si>
  <si>
    <t>Ã‡EKMEKÃ–Y</t>
  </si>
  <si>
    <t>Kirby</t>
  </si>
  <si>
    <t>Cerberus 2.0</t>
  </si>
  <si>
    <t>Polaris</t>
  </si>
  <si>
    <t>St Michael the Archangel High School</t>
  </si>
  <si>
    <t>Provotypes</t>
  </si>
  <si>
    <t>Provo</t>
  </si>
  <si>
    <t>River Bots</t>
  </si>
  <si>
    <t>Central Magnet Robotics</t>
  </si>
  <si>
    <t>Murfreesboro</t>
  </si>
  <si>
    <t>Les Lions</t>
  </si>
  <si>
    <t>Cell-Ticks</t>
  </si>
  <si>
    <t>Empereurs</t>
  </si>
  <si>
    <t>Laval</t>
  </si>
  <si>
    <t>AB Lucas VIKING Robotics</t>
  </si>
  <si>
    <t>Arkadelphia High School Badger Robotics</t>
  </si>
  <si>
    <t>Arkadelphia</t>
  </si>
  <si>
    <t>Fanshawe RoboRaptors</t>
  </si>
  <si>
    <t>Fern Creek Tiger Robotics</t>
  </si>
  <si>
    <t>BML Robotics</t>
  </si>
  <si>
    <t>Bracebridge</t>
  </si>
  <si>
    <t>Equitum Robotics</t>
  </si>
  <si>
    <t>Paterson</t>
  </si>
  <si>
    <t xml:space="preserve">The Tyros Team </t>
  </si>
  <si>
    <t>The Reavers</t>
  </si>
  <si>
    <t>Stone Lake HOA FRC</t>
  </si>
  <si>
    <t>Laurel</t>
  </si>
  <si>
    <t>Gravenhurst High School</t>
  </si>
  <si>
    <t>Gravenhurst</t>
  </si>
  <si>
    <t>Manitoulin Metal</t>
  </si>
  <si>
    <t>M'Chigeeng</t>
  </si>
  <si>
    <t>The Space Invaders</t>
  </si>
  <si>
    <t>JPCI Jaguars</t>
  </si>
  <si>
    <t>Cadet Robotics</t>
  </si>
  <si>
    <t>Hilton</t>
  </si>
  <si>
    <t>Gladiateurs</t>
  </si>
  <si>
    <t>Saint-Jerome</t>
  </si>
  <si>
    <t>BEAM Robots</t>
  </si>
  <si>
    <t>QC DogSquad</t>
  </si>
  <si>
    <t>Queen Creek</t>
  </si>
  <si>
    <t>PantheraFerro</t>
  </si>
  <si>
    <t>Brossard</t>
  </si>
  <si>
    <t>Imperium</t>
  </si>
  <si>
    <t>DÃ¶semealti</t>
  </si>
  <si>
    <t>Antalya</t>
  </si>
  <si>
    <t>Build A Dream Robotics  -  Amazon Warriors</t>
  </si>
  <si>
    <t>SJB Robotics</t>
  </si>
  <si>
    <t>Universal Serial Brawlers (USB)</t>
  </si>
  <si>
    <t>Yorktown Heights</t>
  </si>
  <si>
    <t>South Lions Roarbotics</t>
  </si>
  <si>
    <t>Fahrenheit Robotics</t>
  </si>
  <si>
    <t>Fredericksburg</t>
  </si>
  <si>
    <t>Leviathan Robotics</t>
  </si>
  <si>
    <t>Mechanical Overload</t>
  </si>
  <si>
    <t>Hollister</t>
  </si>
  <si>
    <t>The Pilots</t>
  </si>
  <si>
    <t>Benton County 4-H Robotics</t>
  </si>
  <si>
    <t>Warsaw</t>
  </si>
  <si>
    <t>Dalton Catabots</t>
  </si>
  <si>
    <t>Cav-A-Gears</t>
  </si>
  <si>
    <t>Connelly Springs</t>
  </si>
  <si>
    <t>DC Current</t>
  </si>
  <si>
    <t>Indians</t>
  </si>
  <si>
    <t>Asher</t>
  </si>
  <si>
    <t>Big Cat Robotics 6892</t>
  </si>
  <si>
    <t>Wellsville</t>
  </si>
  <si>
    <t>Bladerunners</t>
  </si>
  <si>
    <t>Bladensburg</t>
  </si>
  <si>
    <t>Iced Java</t>
  </si>
  <si>
    <t>Mechanical Madness 4-H</t>
  </si>
  <si>
    <t>CABOTS</t>
  </si>
  <si>
    <t>Heroica Caborca</t>
  </si>
  <si>
    <t>Astraea Robotics</t>
  </si>
  <si>
    <t>East Brunswick</t>
  </si>
  <si>
    <t xml:space="preserve">The Undergraduate School of Carrots </t>
  </si>
  <si>
    <t>Makin' Bots FRC</t>
  </si>
  <si>
    <t>Hoddie-bots</t>
  </si>
  <si>
    <t>Maud</t>
  </si>
  <si>
    <t>Knights Robotics</t>
  </si>
  <si>
    <t>Frisco</t>
  </si>
  <si>
    <t>S.T.R.I.K.E</t>
  </si>
  <si>
    <t>FOZ DO IGUAÃ‡U</t>
  </si>
  <si>
    <t>ParanÃ¡</t>
  </si>
  <si>
    <t>TeraWatts</t>
  </si>
  <si>
    <t>TEAR-A-BYTE</t>
  </si>
  <si>
    <t>Cristo Rey Cristeros</t>
  </si>
  <si>
    <t>The G.O.A.T</t>
  </si>
  <si>
    <t>Infuzed</t>
  </si>
  <si>
    <t>SAKURA Tempesta</t>
  </si>
  <si>
    <t>Chiba</t>
  </si>
  <si>
    <t>Mill Creek High School FIRST Hawks</t>
  </si>
  <si>
    <t>Hoschton</t>
  </si>
  <si>
    <t>Tappan Zee High School</t>
  </si>
  <si>
    <t>Orangeburg</t>
  </si>
  <si>
    <t>Gentry Robotics</t>
  </si>
  <si>
    <t>North Crawford Robotics Club</t>
  </si>
  <si>
    <t>Soldiers Grove</t>
  </si>
  <si>
    <t>Retro5ive</t>
  </si>
  <si>
    <t>Melvindale</t>
  </si>
  <si>
    <t>Iron Thunder</t>
  </si>
  <si>
    <t>The Voyageurs</t>
  </si>
  <si>
    <t>Atikokan</t>
  </si>
  <si>
    <t>Napa High School Robotics</t>
  </si>
  <si>
    <t>Napa</t>
  </si>
  <si>
    <t>The Commodores</t>
  </si>
  <si>
    <t>Force Fusion</t>
  </si>
  <si>
    <t>PennTech Tornados Robotics</t>
  </si>
  <si>
    <t>Apache Genesis</t>
  </si>
  <si>
    <t>Nogales</t>
  </si>
  <si>
    <t>Royal Blue Robotics [RB]^2</t>
  </si>
  <si>
    <t>Saint Francisville</t>
  </si>
  <si>
    <t>W.A.Robotics</t>
  </si>
  <si>
    <t>College Park</t>
  </si>
  <si>
    <t>CHS RobotiCats</t>
  </si>
  <si>
    <t>The Franklinton Firebirds</t>
  </si>
  <si>
    <t>Short Circuit Robotics</t>
  </si>
  <si>
    <t>Cuivre &amp; Or</t>
  </si>
  <si>
    <t>Rouyn-Noranda</t>
  </si>
  <si>
    <t xml:space="preserve">The Red Company </t>
  </si>
  <si>
    <t>Smoky Mountain High School</t>
  </si>
  <si>
    <t>Sylva</t>
  </si>
  <si>
    <t>Archytas, sponsored by NASA</t>
  </si>
  <si>
    <t>Sharon</t>
  </si>
  <si>
    <t>Scorps</t>
  </si>
  <si>
    <t>Ingram Tom Moore Warriors</t>
  </si>
  <si>
    <t>Ingram</t>
  </si>
  <si>
    <t>Beaver Bots - Vault 6936</t>
  </si>
  <si>
    <t>McCallie Robotics</t>
  </si>
  <si>
    <t>STEM3 West Robotics</t>
  </si>
  <si>
    <t>The Houde Academy</t>
  </si>
  <si>
    <t>Violet Z</t>
  </si>
  <si>
    <t>IronPulse Robotics</t>
  </si>
  <si>
    <t>Blue Bears</t>
  </si>
  <si>
    <t>NWR Children of the Corn</t>
  </si>
  <si>
    <t>Blairstown</t>
  </si>
  <si>
    <t>TBD</t>
  </si>
  <si>
    <t>Savage Tumaz</t>
  </si>
  <si>
    <t>EAGLES</t>
  </si>
  <si>
    <t>Kartal</t>
  </si>
  <si>
    <t>The Smurfs</t>
  </si>
  <si>
    <t>West Central Valley TAG</t>
  </si>
  <si>
    <t>Porter</t>
  </si>
  <si>
    <t>Trigger Hole</t>
  </si>
  <si>
    <t>Quetzals</t>
  </si>
  <si>
    <t>Early College Robotics</t>
  </si>
  <si>
    <t>Los Chilis</t>
  </si>
  <si>
    <t>SHAM-ROCK-BOTICS â˜˜</t>
  </si>
  <si>
    <t>Westfield</t>
  </si>
  <si>
    <t>LMCA</t>
  </si>
  <si>
    <t>Centralia Circuit Breakers #6959</t>
  </si>
  <si>
    <t>Centralia</t>
  </si>
  <si>
    <t>Rusty Huskies</t>
  </si>
  <si>
    <t>SIbots</t>
  </si>
  <si>
    <t>Spartanburg</t>
  </si>
  <si>
    <t>RobotX</t>
  </si>
  <si>
    <t>Chippewa Hills High School</t>
  </si>
  <si>
    <t>Remus</t>
  </si>
  <si>
    <t>Upper Arlington HS</t>
  </si>
  <si>
    <t>Tecmilenio RoboMov 6965</t>
  </si>
  <si>
    <t>Cancun</t>
  </si>
  <si>
    <t>Quintana Roo</t>
  </si>
  <si>
    <t xml:space="preserve">Sons Of God </t>
  </si>
  <si>
    <t>A.T.Vortex</t>
  </si>
  <si>
    <t>Team Pi</t>
  </si>
  <si>
    <t>Orange Blinking Lights</t>
  </si>
  <si>
    <t>West Nyack</t>
  </si>
  <si>
    <t>Barbarian</t>
  </si>
  <si>
    <t>The Sky Savior</t>
  </si>
  <si>
    <t>ZhengZhou</t>
  </si>
  <si>
    <t>Galaxy Computer Technology</t>
  </si>
  <si>
    <t>Adama</t>
  </si>
  <si>
    <t>Oromiya</t>
  </si>
  <si>
    <t>Ethiopia</t>
  </si>
  <si>
    <t>Zia Robotics</t>
  </si>
  <si>
    <t>Socorro</t>
  </si>
  <si>
    <t>Neil McNeil Maroons</t>
  </si>
  <si>
    <t>Cyber Squad</t>
  </si>
  <si>
    <t>QuickStrike Niagara</t>
  </si>
  <si>
    <t>St. Catharines</t>
  </si>
  <si>
    <t>URL FRC</t>
  </si>
  <si>
    <t>Lacombe</t>
  </si>
  <si>
    <t>Minute(men) to Win It</t>
  </si>
  <si>
    <t>Team CEL Paraguay</t>
  </si>
  <si>
    <t>AsunciÃ³n</t>
  </si>
  <si>
    <t>Paraguay</t>
  </si>
  <si>
    <t>Tecmilenio - STEMHAWKS - 6983</t>
  </si>
  <si>
    <t>Magical Monkey</t>
  </si>
  <si>
    <t>ENKA TECH.</t>
  </si>
  <si>
    <t>DilovasÄ±</t>
  </si>
  <si>
    <t>Frantic metal</t>
  </si>
  <si>
    <t>Falcon Automation</t>
  </si>
  <si>
    <t>Fenelon Falls</t>
  </si>
  <si>
    <t>ACI 35</t>
  </si>
  <si>
    <t>KAISER</t>
  </si>
  <si>
    <t>ISTANBUL</t>
  </si>
  <si>
    <t>Ambition</t>
  </si>
  <si>
    <t>Crosbotics</t>
  </si>
  <si>
    <t>FrancoBots</t>
  </si>
  <si>
    <t xml:space="preserve">JJAEP - Juvenile Justice Alternate Education Program </t>
  </si>
  <si>
    <t xml:space="preserve">Lubbock </t>
  </si>
  <si>
    <t>FRC Team NOMAD</t>
  </si>
  <si>
    <t>Koalafied</t>
  </si>
  <si>
    <t>Chongqing Hot Pot</t>
  </si>
  <si>
    <t>Chongqing</t>
  </si>
  <si>
    <t>NNKIEH</t>
  </si>
  <si>
    <t>Tainan</t>
  </si>
  <si>
    <t>B.E.S.T.</t>
  </si>
  <si>
    <t>Sinop</t>
  </si>
  <si>
    <t>Newton's 4th Law</t>
  </si>
  <si>
    <t>Buning Power</t>
  </si>
  <si>
    <t xml:space="preserve">Zhengzhou </t>
  </si>
  <si>
    <t>é£Žäº‘è¹¦è±†</t>
  </si>
  <si>
    <t>Taiyuan</t>
  </si>
  <si>
    <t>Shanxi</t>
  </si>
  <si>
    <t>Ossining Omegas</t>
  </si>
  <si>
    <t>YakRob</t>
  </si>
  <si>
    <t>Ä°stanbul</t>
  </si>
  <si>
    <t>Carp &amp; Donkey</t>
  </si>
  <si>
    <t>SÄ°NFEN</t>
  </si>
  <si>
    <t>MERKEZ</t>
  </si>
  <si>
    <t>ACCN</t>
  </si>
  <si>
    <t>PV Shock Bots</t>
  </si>
  <si>
    <t>Putnam Valley</t>
  </si>
  <si>
    <t>Fellowship of the Gear</t>
  </si>
  <si>
    <t>EOLOTICS</t>
  </si>
  <si>
    <t>El Espinal</t>
  </si>
  <si>
    <t>Oaxaca</t>
  </si>
  <si>
    <t>Tech NoLogic:  Powered by NASA</t>
  </si>
  <si>
    <t>TBA Iron Mountain High School</t>
  </si>
  <si>
    <t>Iron Mountain</t>
  </si>
  <si>
    <t>TC Robotics</t>
  </si>
  <si>
    <t>Hal-9000</t>
  </si>
  <si>
    <t>Oxley High School Robotics Team</t>
  </si>
  <si>
    <t>Tamworth</t>
  </si>
  <si>
    <t>ENFORCERS</t>
  </si>
  <si>
    <t>Egg Harbor Township</t>
  </si>
  <si>
    <t>ACSC</t>
  </si>
  <si>
    <t>Fountain Valley</t>
  </si>
  <si>
    <t>Radioactive Rebels Robotics</t>
  </si>
  <si>
    <t>Parish</t>
  </si>
  <si>
    <t>Binary Battalion</t>
  </si>
  <si>
    <t>Saint Michael</t>
  </si>
  <si>
    <t>Scotbotics</t>
  </si>
  <si>
    <t>Laurinburg</t>
  </si>
  <si>
    <t>Lake Placid Robotics</t>
  </si>
  <si>
    <t>Duanesburg Jr./Sr. High School</t>
  </si>
  <si>
    <t>Delanson</t>
  </si>
  <si>
    <t>La Pine High FRC</t>
  </si>
  <si>
    <t>La Pine</t>
  </si>
  <si>
    <t>Roosters</t>
  </si>
  <si>
    <t>Medianeira</t>
  </si>
  <si>
    <t>2B Determined</t>
  </si>
  <si>
    <t>West Linn</t>
  </si>
  <si>
    <t>MEF Thunder</t>
  </si>
  <si>
    <t>Ä°stanbul/BeÅŸiktaÅŸ</t>
  </si>
  <si>
    <t>Beta Gamma Robotica</t>
  </si>
  <si>
    <t>Jeunes d'argent</t>
  </si>
  <si>
    <t>Fresnillo</t>
  </si>
  <si>
    <t>Zacatecas</t>
  </si>
  <si>
    <t>TG Eagles</t>
  </si>
  <si>
    <t>âŒâ­•</t>
  </si>
  <si>
    <t xml:space="preserve">Kfar hanoar Neurim </t>
  </si>
  <si>
    <t>POTROBOTS</t>
  </si>
  <si>
    <t>TURUACHI</t>
  </si>
  <si>
    <t xml:space="preserve">Doomsday Dogs </t>
  </si>
  <si>
    <t>Carlton</t>
  </si>
  <si>
    <t>Poly Rabbotics</t>
  </si>
  <si>
    <t>Rocky River High School</t>
  </si>
  <si>
    <t>Rocky River</t>
  </si>
  <si>
    <t>MCCrusaders</t>
  </si>
  <si>
    <t>Denville</t>
  </si>
  <si>
    <t>UNIMATE</t>
  </si>
  <si>
    <t xml:space="preserve">  ARTï¼ˆawesome robotic team)</t>
  </si>
  <si>
    <t xml:space="preserve">zhengzhou </t>
  </si>
  <si>
    <t>Red River Rage</t>
  </si>
  <si>
    <t>Fargo</t>
  </si>
  <si>
    <t>SARNIC</t>
  </si>
  <si>
    <t>RoboDons</t>
  </si>
  <si>
    <t>Baldwin Park</t>
  </si>
  <si>
    <t>SIH Robotics</t>
  </si>
  <si>
    <t>Robo Huskies</t>
  </si>
  <si>
    <t>St-Hubert</t>
  </si>
  <si>
    <t>SC Sailors</t>
  </si>
  <si>
    <t>Quantum Steam</t>
  </si>
  <si>
    <t>Bay Village</t>
  </si>
  <si>
    <t>The F.A.S.T. Team - Fowlerville Area Scientific Technicians</t>
  </si>
  <si>
    <t>Fowlerville</t>
  </si>
  <si>
    <t>Titanators</t>
  </si>
  <si>
    <t>Orange Cove</t>
  </si>
  <si>
    <t>Strathroy</t>
  </si>
  <si>
    <t>Prescott Robotics</t>
  </si>
  <si>
    <t>Prescott</t>
  </si>
  <si>
    <t xml:space="preserve">Riverside Military Academy Eagle Bots </t>
  </si>
  <si>
    <t>Wagner TSTEM FRC 1</t>
  </si>
  <si>
    <t>Voltron Robotics</t>
  </si>
  <si>
    <t>Leavenworth</t>
  </si>
  <si>
    <t xml:space="preserve">Wolverine 1 </t>
  </si>
  <si>
    <t>Montgomery</t>
  </si>
  <si>
    <t>Faulkner County Library Gadget Droids</t>
  </si>
  <si>
    <t>Team Streak</t>
  </si>
  <si>
    <t>jerusalem</t>
  </si>
  <si>
    <t>Mechanical Masterminds</t>
  </si>
  <si>
    <t>Saint Francis</t>
  </si>
  <si>
    <t>Taipei 101</t>
  </si>
  <si>
    <t>SRT</t>
  </si>
  <si>
    <t>ITU-Robee</t>
  </si>
  <si>
    <t>Opelika High School</t>
  </si>
  <si>
    <t>Opelika</t>
  </si>
  <si>
    <t>Ottawa Hills High School</t>
  </si>
  <si>
    <t>Reapers</t>
  </si>
  <si>
    <t>North Sydney</t>
  </si>
  <si>
    <t>Midland Mustangs</t>
  </si>
  <si>
    <t>Pleasant Plains</t>
  </si>
  <si>
    <t>WestTech Sentinels</t>
  </si>
  <si>
    <t xml:space="preserve">0352 Sun Devils Fire </t>
  </si>
  <si>
    <t>BENG DOU</t>
  </si>
  <si>
    <t>TAIYUAN</t>
  </si>
  <si>
    <t>Co-Bot - Haifa Tech Center</t>
  </si>
  <si>
    <t>Vision</t>
  </si>
  <si>
    <t>NEYC</t>
  </si>
  <si>
    <t>Green Hekma</t>
  </si>
  <si>
    <t>Nazareth</t>
  </si>
  <si>
    <t>Hillman Pyrobots</t>
  </si>
  <si>
    <t>Hillman</t>
  </si>
  <si>
    <t>Waccamaw High School</t>
  </si>
  <si>
    <t>Pawleys Island</t>
  </si>
  <si>
    <t xml:space="preserve">IOROBOT </t>
  </si>
  <si>
    <t>Bulldog Bots</t>
  </si>
  <si>
    <t>Atlas Orbis</t>
  </si>
  <si>
    <t>Lyford</t>
  </si>
  <si>
    <t>Veritas Valiants</t>
  </si>
  <si>
    <t>Alpha Omega</t>
  </si>
  <si>
    <t>Bay Saint Louis</t>
  </si>
  <si>
    <t>HiMach</t>
  </si>
  <si>
    <t>Educated Business</t>
  </si>
  <si>
    <t xml:space="preserve">The Archers </t>
  </si>
  <si>
    <t>Genesee Robotic Wolves</t>
  </si>
  <si>
    <t>Genesee</t>
  </si>
  <si>
    <t>Zapopan</t>
  </si>
  <si>
    <t>Robo Remedy @ MLHS</t>
  </si>
  <si>
    <t>Manitowoc</t>
  </si>
  <si>
    <t>Benedictine Military School Bot Brothers</t>
  </si>
  <si>
    <t>MPV StingerBots</t>
  </si>
  <si>
    <t>Mulberry</t>
  </si>
  <si>
    <t>Blazer Robotics</t>
  </si>
  <si>
    <t>volTRan</t>
  </si>
  <si>
    <t>Fatih</t>
  </si>
  <si>
    <t>Clare Chaos Theory</t>
  </si>
  <si>
    <t>Clare</t>
  </si>
  <si>
    <t>Haddon Heights</t>
  </si>
  <si>
    <t>RAD Robotics</t>
  </si>
  <si>
    <t>EverGreen</t>
  </si>
  <si>
    <t>Kadima-Zoran</t>
  </si>
  <si>
    <t>Armadale Senior High School</t>
  </si>
  <si>
    <t>Red Lion Bots</t>
  </si>
  <si>
    <t>Cactus Ã‰lectriks</t>
  </si>
  <si>
    <t>Shawinigan</t>
  </si>
  <si>
    <t>De Soto</t>
  </si>
  <si>
    <t>ScotBots</t>
  </si>
  <si>
    <t>Shoreline</t>
  </si>
  <si>
    <t>Sunset RoboBison</t>
  </si>
  <si>
    <t>ThunderChicas</t>
  </si>
  <si>
    <t>Keller Robotics</t>
  </si>
  <si>
    <t>Keller</t>
  </si>
  <si>
    <t>Des Moines - Central Campus</t>
  </si>
  <si>
    <t>Cranebrook High School</t>
  </si>
  <si>
    <t>Tigerbotics</t>
  </si>
  <si>
    <t>Glen Rose</t>
  </si>
  <si>
    <t>RoboMules</t>
  </si>
  <si>
    <t>Newmarket</t>
  </si>
  <si>
    <t>LongMetal Robitics 7127</t>
  </si>
  <si>
    <t>Longmeadow</t>
  </si>
  <si>
    <t>Greater Melbourne Area High Schools Team 2</t>
  </si>
  <si>
    <t>Hedland Senior High School</t>
  </si>
  <si>
    <t>South Hedland</t>
  </si>
  <si>
    <t>FABLAB MDHS</t>
  </si>
  <si>
    <t>Wuri Dist.</t>
  </si>
  <si>
    <t>Taichung</t>
  </si>
  <si>
    <t>STEAM Makers</t>
  </si>
  <si>
    <t>rOctopus</t>
  </si>
  <si>
    <t>Aydin</t>
  </si>
  <si>
    <t>CHS Robotics</t>
  </si>
  <si>
    <t>Thistletown Scot Bots</t>
  </si>
  <si>
    <t>Project 212 Warriors Robotics</t>
  </si>
  <si>
    <t>Canyon Lake Hawks</t>
  </si>
  <si>
    <t>Fischer</t>
  </si>
  <si>
    <t>AERO</t>
  </si>
  <si>
    <t>MANIZALES</t>
  </si>
  <si>
    <t>Caldas</t>
  </si>
  <si>
    <t>OKSEF ROBOTICS</t>
  </si>
  <si>
    <t>IZMIR</t>
  </si>
  <si>
    <t>Cyberhounds</t>
  </si>
  <si>
    <t>Fort Madison</t>
  </si>
  <si>
    <t>Saydel High School Robotics Team---Vulcan Eagles</t>
  </si>
  <si>
    <t>The Cyber-Eagles</t>
  </si>
  <si>
    <t>NexTech High School of Lansing</t>
  </si>
  <si>
    <t>Infinity Robotics</t>
  </si>
  <si>
    <t xml:space="preserve">Falcons Senior Robo Team </t>
  </si>
  <si>
    <t>Chiron</t>
  </si>
  <si>
    <t>WuKong</t>
  </si>
  <si>
    <t xml:space="preserve">Ogemaw Heights </t>
  </si>
  <si>
    <t>Real Robotics</t>
  </si>
  <si>
    <t>Herriman</t>
  </si>
  <si>
    <t>Owltonomous</t>
  </si>
  <si>
    <t>Aetos Dios</t>
  </si>
  <si>
    <t>KHS Flivver Robotics</t>
  </si>
  <si>
    <t>Kingsford</t>
  </si>
  <si>
    <t>The Robotic Rangers</t>
  </si>
  <si>
    <t>Manton</t>
  </si>
  <si>
    <t>NV Knights</t>
  </si>
  <si>
    <t>Norway</t>
  </si>
  <si>
    <t xml:space="preserve"> Î¼Botics</t>
  </si>
  <si>
    <t>Brea</t>
  </si>
  <si>
    <t>The One Liners</t>
  </si>
  <si>
    <t>Langley</t>
  </si>
  <si>
    <t>Burnaby Central Secondary</t>
  </si>
  <si>
    <t>Burnaby</t>
  </si>
  <si>
    <t>Ludington O' Bots</t>
  </si>
  <si>
    <t>Ludington</t>
  </si>
  <si>
    <t xml:space="preserve">CECYTOS </t>
  </si>
  <si>
    <t>Zacazonapan</t>
  </si>
  <si>
    <t>CollÃ¨ge Laval</t>
  </si>
  <si>
    <t>Youth Off The Streets</t>
  </si>
  <si>
    <t>Merrylands</t>
  </si>
  <si>
    <t>Mount Pleasant Robotics</t>
  </si>
  <si>
    <t xml:space="preserve">Perkins Pirates </t>
  </si>
  <si>
    <t>Red Thunder Robotics</t>
  </si>
  <si>
    <t>Laingsburg</t>
  </si>
  <si>
    <t>Spectrum ThunderBots</t>
  </si>
  <si>
    <t xml:space="preserve">Belmont Bytes </t>
  </si>
  <si>
    <t>Spooky Action Robotics</t>
  </si>
  <si>
    <t>Comox</t>
  </si>
  <si>
    <t>Wolverine Wildcats</t>
  </si>
  <si>
    <t>Wolverine</t>
  </si>
  <si>
    <t>AEA - Iosco (HS)</t>
  </si>
  <si>
    <t>Oscoda</t>
  </si>
  <si>
    <t>Iris Robotics</t>
  </si>
  <si>
    <t>Maple Ridge</t>
  </si>
  <si>
    <t>ProtoBots</t>
  </si>
  <si>
    <t>CHS - Lafata</t>
  </si>
  <si>
    <t>ROC</t>
  </si>
  <si>
    <t>Unionville</t>
  </si>
  <si>
    <t>Amal Taybe</t>
  </si>
  <si>
    <t>taybe</t>
  </si>
  <si>
    <t>More Monsters</t>
  </si>
  <si>
    <t>Crossfire</t>
  </si>
  <si>
    <t>Wellstone Lions</t>
  </si>
  <si>
    <t>Robotic Indians</t>
  </si>
  <si>
    <t>Leighton</t>
  </si>
  <si>
    <t>WAR Club</t>
  </si>
  <si>
    <t>BIT CHALLENGE</t>
  </si>
  <si>
    <t>Foushan</t>
  </si>
  <si>
    <t xml:space="preserve">Glendora High School Robotics </t>
  </si>
  <si>
    <t>Glendora</t>
  </si>
  <si>
    <t>Gear Cats</t>
  </si>
  <si>
    <t>Delton</t>
  </si>
  <si>
    <t>SaddleBots</t>
  </si>
  <si>
    <t>EX NIHILO</t>
  </si>
  <si>
    <t>Kelowna</t>
  </si>
  <si>
    <t>Templeton Secondary</t>
  </si>
  <si>
    <t>ABT Gators</t>
  </si>
  <si>
    <t>Blue Thunderneers</t>
  </si>
  <si>
    <t>Croswell</t>
  </si>
  <si>
    <t>She-Bot</t>
  </si>
  <si>
    <t>iRam</t>
  </si>
  <si>
    <t>Portland Raiders</t>
  </si>
  <si>
    <t>Mountie MegaBots</t>
  </si>
  <si>
    <t>TL Fearsome Gears</t>
  </si>
  <si>
    <t>Thunder</t>
  </si>
  <si>
    <t>Banting Memorial high school</t>
  </si>
  <si>
    <t>Alliston</t>
  </si>
  <si>
    <t>Crobotics</t>
  </si>
  <si>
    <t>Rijeka</t>
  </si>
  <si>
    <t>Primorsko-goranska Å¾upanija</t>
  </si>
  <si>
    <t>Croatia</t>
  </si>
  <si>
    <t>Cyber Orioles</t>
  </si>
  <si>
    <t>Morrice</t>
  </si>
  <si>
    <t>BCPS 21st Century Bearcats</t>
  </si>
  <si>
    <t>Prospect Cougars</t>
  </si>
  <si>
    <t>Prospect</t>
  </si>
  <si>
    <t>La Loche</t>
  </si>
  <si>
    <t>MCS Robo Defenders</t>
  </si>
  <si>
    <t>Angry Birds</t>
  </si>
  <si>
    <t>Delta</t>
  </si>
  <si>
    <t>CMA Navigators</t>
  </si>
  <si>
    <t>Homer Robotics Club</t>
  </si>
  <si>
    <t>Homer</t>
  </si>
  <si>
    <t>Greenville High School</t>
  </si>
  <si>
    <t>Holly</t>
  </si>
  <si>
    <t>LCS Warriors</t>
  </si>
  <si>
    <t>GladWINites</t>
  </si>
  <si>
    <t>Gladwin</t>
  </si>
  <si>
    <t>Tiger-Ops Robotics</t>
  </si>
  <si>
    <t>CHARGERS ROBOTICS</t>
  </si>
  <si>
    <t>SallaBots / Universidad La Salle Laguna</t>
  </si>
  <si>
    <t>Bradford Academy Bot Dogs</t>
  </si>
  <si>
    <t>Olivet Eagles</t>
  </si>
  <si>
    <t>Olivet</t>
  </si>
  <si>
    <t>Falcon Bots</t>
  </si>
  <si>
    <t>JHS Viking Robotics</t>
  </si>
  <si>
    <t xml:space="preserve">The Fighting Anomalocari </t>
  </si>
  <si>
    <t>Parma</t>
  </si>
  <si>
    <t>MVHS Robotics</t>
  </si>
  <si>
    <t>Vermontville</t>
  </si>
  <si>
    <t>RoboDrakens</t>
  </si>
  <si>
    <t>Hazel Park</t>
  </si>
  <si>
    <t>WHCA Mustangs</t>
  </si>
  <si>
    <t>Error 404</t>
  </si>
  <si>
    <t>Tornado</t>
  </si>
  <si>
    <t>Kayseri</t>
  </si>
  <si>
    <t>Electronic Eagles</t>
  </si>
  <si>
    <t>Irvine RoboTechs</t>
  </si>
  <si>
    <t>Team Freedom</t>
  </si>
  <si>
    <t>Distrito Nacional (Santo Domingo)</t>
  </si>
  <si>
    <t>Pharaohs</t>
  </si>
  <si>
    <t>Rebel Robotics</t>
  </si>
  <si>
    <t>Red Lake Ogichidaag</t>
  </si>
  <si>
    <t>Redlake</t>
  </si>
  <si>
    <t>Universal Stars</t>
  </si>
  <si>
    <t>Bridgeview</t>
  </si>
  <si>
    <t>coolker</t>
  </si>
  <si>
    <t>zhengzhou</t>
  </si>
  <si>
    <t>Hell Robotics</t>
  </si>
  <si>
    <t>HELL</t>
  </si>
  <si>
    <t>Nord-TrÃ¸ndelag</t>
  </si>
  <si>
    <t>Nitro Knights</t>
  </si>
  <si>
    <t>RedGreenBlue</t>
  </si>
  <si>
    <t>Hong Kong</t>
  </si>
  <si>
    <t>Hong Kong (Xianggang)</t>
  </si>
  <si>
    <t>High Tech Early College</t>
  </si>
  <si>
    <t>Huskies Robotics</t>
  </si>
  <si>
    <t>Lion Bots</t>
  </si>
  <si>
    <t>San Lorenzo</t>
  </si>
  <si>
    <t>Thom Collegiate Trojans</t>
  </si>
  <si>
    <t>Regina</t>
  </si>
  <si>
    <t>Anchor Bay High School Tars</t>
  </si>
  <si>
    <t>Fair Haven</t>
  </si>
  <si>
    <t>Tactical Hams</t>
  </si>
  <si>
    <t>CVH SPARTANS</t>
  </si>
  <si>
    <t>Oscoda FIRST</t>
  </si>
  <si>
    <t>Warrior 1.0</t>
  </si>
  <si>
    <t>Salamanca</t>
  </si>
  <si>
    <t>Potterville High School</t>
  </si>
  <si>
    <t>Potterville</t>
  </si>
  <si>
    <t>Mechanical Mettle</t>
  </si>
  <si>
    <t>Sauk Centre STREET RATS</t>
  </si>
  <si>
    <t>Sauk Centre</t>
  </si>
  <si>
    <t>Hiawatha Collegiate</t>
  </si>
  <si>
    <t>Diamondback Turtles  (Heritage High School)</t>
  </si>
  <si>
    <t>QBOT</t>
  </si>
  <si>
    <t>TOPPS TECH</t>
  </si>
  <si>
    <t>Pine Bluff</t>
  </si>
  <si>
    <t>Topsail Pirates</t>
  </si>
  <si>
    <t>Hampstead</t>
  </si>
  <si>
    <t>NBHS Robotics Club</t>
  </si>
  <si>
    <t>North Brookfield</t>
  </si>
  <si>
    <t>Lisgar Robotics Club</t>
  </si>
  <si>
    <t>BCNY Gerry Robotic Lions (East Harlem)</t>
  </si>
  <si>
    <t>ISB VoltBots</t>
  </si>
  <si>
    <t>Area 51 Robotics</t>
  </si>
  <si>
    <t>High School for Environmental Studies</t>
  </si>
  <si>
    <t>ZooM Robotics</t>
  </si>
  <si>
    <t>Zumbrota</t>
  </si>
  <si>
    <t>Brashear Bulls Robotics</t>
  </si>
  <si>
    <t>Lusher Robotics</t>
  </si>
  <si>
    <t>Mandela United FRC Team</t>
  </si>
  <si>
    <t>Toormina High School</t>
  </si>
  <si>
    <t>Toormina</t>
  </si>
  <si>
    <t>Xishan Senior High School Team</t>
  </si>
  <si>
    <t>Wuxi</t>
  </si>
  <si>
    <t>Star Dust</t>
  </si>
  <si>
    <t>F.G.</t>
  </si>
  <si>
    <t>Semia United 1</t>
  </si>
  <si>
    <t>Semia United 2</t>
  </si>
  <si>
    <t>Semia United 3</t>
  </si>
  <si>
    <t>Enigma</t>
  </si>
  <si>
    <t xml:space="preserve">daliat el carmel </t>
  </si>
  <si>
    <t>Esquimalt Atom Smashers</t>
  </si>
  <si>
    <t>NOMMA Bulldogs</t>
  </si>
  <si>
    <t>Blue Eagles</t>
  </si>
  <si>
    <t>Fowler</t>
  </si>
  <si>
    <t>TARHUNDA</t>
  </si>
  <si>
    <t>ADANA</t>
  </si>
  <si>
    <t>Adana</t>
  </si>
  <si>
    <t>TYANA - NÄ°ÄžDE GAZOZU</t>
  </si>
  <si>
    <t>NÄ°ÄžDE</t>
  </si>
  <si>
    <t>Nigde</t>
  </si>
  <si>
    <t>HITIT ANGELS</t>
  </si>
  <si>
    <t>Ã‡orum</t>
  </si>
  <si>
    <t>FYF - 4</t>
  </si>
  <si>
    <t>RoboCirak</t>
  </si>
  <si>
    <t>SPECTRUM</t>
  </si>
  <si>
    <t>SAMSUN</t>
  </si>
  <si>
    <t>Samsun</t>
  </si>
  <si>
    <t>TeRoBoT</t>
  </si>
  <si>
    <t>Levent</t>
  </si>
  <si>
    <t>SELÄ°M ÅžEHÄ°T TEÄžMEN GÃ–KHAN YAÅžARTÃœRK Ã‡PAL</t>
  </si>
  <si>
    <t>KARS</t>
  </si>
  <si>
    <t>Kars</t>
  </si>
  <si>
    <t>TOROS</t>
  </si>
  <si>
    <t>Dectro</t>
  </si>
  <si>
    <t>Edirne</t>
  </si>
  <si>
    <t>Jackbots</t>
  </si>
  <si>
    <t>Saint Maries</t>
  </si>
  <si>
    <t xml:space="preserve">afaq school team </t>
  </si>
  <si>
    <t>kfar manda</t>
  </si>
  <si>
    <t>Reach Robotics</t>
  </si>
  <si>
    <t>Haslet</t>
  </si>
  <si>
    <t>Rambo Robotics</t>
  </si>
  <si>
    <t>Snow Hill</t>
  </si>
  <si>
    <t>Epping High School</t>
  </si>
  <si>
    <t>Epping</t>
  </si>
  <si>
    <t>DeepVision</t>
  </si>
  <si>
    <t>Green Lightning</t>
  </si>
  <si>
    <t>Storm Lake</t>
  </si>
  <si>
    <t>T3</t>
  </si>
  <si>
    <t>Tomball</t>
  </si>
  <si>
    <t>SBA Eaglebots</t>
  </si>
  <si>
    <t>Cordova</t>
  </si>
  <si>
    <t>Tornados</t>
  </si>
  <si>
    <t>Giga-Kyghts</t>
  </si>
  <si>
    <t xml:space="preserve">Ursuline Academy High School </t>
  </si>
  <si>
    <t>Riordan Robotics</t>
  </si>
  <si>
    <t>Nanuet Knightronz</t>
  </si>
  <si>
    <t>Nanuet</t>
  </si>
  <si>
    <t>GRCTC</t>
  </si>
  <si>
    <t>Astralis</t>
  </si>
  <si>
    <t>Diyarbakir</t>
  </si>
  <si>
    <t>Aguila Robotica</t>
  </si>
  <si>
    <t>YVHS Robotics</t>
  </si>
  <si>
    <t>Yucca Valley</t>
  </si>
  <si>
    <t>Pacifica High School</t>
  </si>
  <si>
    <t>Channel Islands High School</t>
  </si>
  <si>
    <t xml:space="preserve">ASU  Brave Guide Right </t>
  </si>
  <si>
    <t>Lorman</t>
  </si>
  <si>
    <t>Hueneme High School</t>
  </si>
  <si>
    <t>Oxnard High School</t>
  </si>
  <si>
    <t>Frontier High School</t>
  </si>
  <si>
    <t>The Afghan Dreamers</t>
  </si>
  <si>
    <t>McKinley High School Robotics</t>
  </si>
  <si>
    <t>AutoBaseline</t>
  </si>
  <si>
    <t>AutoSwitch</t>
  </si>
  <si>
    <t>Climb</t>
  </si>
  <si>
    <t>Ave</t>
  </si>
  <si>
    <t>Stdev</t>
  </si>
  <si>
    <t>Median</t>
  </si>
  <si>
    <t>(blank)</t>
  </si>
  <si>
    <t>Grand Total</t>
  </si>
  <si>
    <t>Row Labels</t>
  </si>
  <si>
    <t>Count of Match#</t>
  </si>
  <si>
    <t>Average of AutoBaseline?</t>
  </si>
  <si>
    <t>Average of AutoSwitch?</t>
  </si>
  <si>
    <t>Average of AutoScale</t>
  </si>
  <si>
    <t>Average of Did the robot get the 30 points for climbing?</t>
  </si>
  <si>
    <t xml:space="preserve">Average of # of cubes for the scale </t>
  </si>
  <si>
    <t xml:space="preserve">Average of # of cubes for the exchange zone </t>
  </si>
  <si>
    <t>Count of What is your autonomous goal?</t>
  </si>
  <si>
    <t>Count of What are your TeleOp cube capabilities?</t>
  </si>
  <si>
    <t>Count of What is your climb mechanism?</t>
  </si>
  <si>
    <t>Count of How does your robot get cubes?</t>
  </si>
  <si>
    <t>Count of What drive train do you use?</t>
  </si>
  <si>
    <t>Count of How many drive CIM motors do you have?</t>
  </si>
  <si>
    <t>tank</t>
  </si>
  <si>
    <t>baseline</t>
  </si>
  <si>
    <t>switch</t>
  </si>
  <si>
    <t>scale</t>
  </si>
  <si>
    <t>Clmib</t>
  </si>
  <si>
    <t>StdDev</t>
  </si>
  <si>
    <t>Overall Stats</t>
  </si>
  <si>
    <t>AutoGoal</t>
  </si>
  <si>
    <t>CubeAcquisition</t>
  </si>
  <si>
    <t>DriveTrain</t>
  </si>
  <si>
    <t>AnythingElse</t>
  </si>
  <si>
    <t>Coach'sName</t>
  </si>
  <si>
    <t>PitScouting</t>
  </si>
  <si>
    <t>ClimbPts</t>
  </si>
  <si>
    <t>MatchScouting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</si>
  <si>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</si>
  <si>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</si>
  <si>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</si>
  <si>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</si>
  <si>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</si>
  <si>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</si>
  <si>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</si>
  <si>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</si>
  <si>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</si>
  <si>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</si>
  <si>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</si>
  <si>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Average</t>
  </si>
  <si>
    <t>ClimbMethod</t>
  </si>
  <si>
    <t>PowerUps</t>
  </si>
  <si>
    <t>StDev</t>
  </si>
  <si>
    <t>TeleOpGoal</t>
  </si>
  <si>
    <t>#OfCIMmotors</t>
  </si>
  <si>
    <t>AUTONOMOUS</t>
  </si>
  <si>
    <t>TELEOP</t>
  </si>
  <si>
    <t>MatchCount</t>
  </si>
  <si>
    <t>SkillRanking</t>
  </si>
  <si>
    <t>DashBoard</t>
  </si>
  <si>
    <t>Dashboard</t>
  </si>
  <si>
    <t>Ranking</t>
  </si>
  <si>
    <t>PR</t>
  </si>
  <si>
    <t>OPR</t>
  </si>
  <si>
    <t>Column1</t>
  </si>
  <si>
    <t># of cubes for own switch</t>
  </si>
  <si>
    <t># of cubes for other switch</t>
  </si>
  <si>
    <t>Average of # of cubes for own switch</t>
  </si>
  <si>
    <t>Max of # of cubes for own switch</t>
  </si>
  <si>
    <t>Min of # of cubes for own switch</t>
  </si>
  <si>
    <t>Average of # of cubes for other switch</t>
  </si>
  <si>
    <t>Max of # of cubes for other switch</t>
  </si>
  <si>
    <t>Min of # of cubes for other switch</t>
  </si>
  <si>
    <t xml:space="preserve">Max of # of cubes for the scale </t>
  </si>
  <si>
    <t xml:space="preserve">Min of # of cubes for the scale </t>
  </si>
  <si>
    <t xml:space="preserve">Max of # of cubes for the exchange zone </t>
  </si>
  <si>
    <t xml:space="preserve">Min of # of cubes for the exchange zone </t>
  </si>
  <si>
    <t>OwnSwitchCubes</t>
  </si>
  <si>
    <t>OtherSwitchCubes</t>
  </si>
  <si>
    <t>OwnSwitch</t>
  </si>
  <si>
    <t>OtherSwitch</t>
  </si>
  <si>
    <t>M</t>
  </si>
  <si>
    <t>StdDev of # of cubes for own switch</t>
  </si>
  <si>
    <t>StdDev of # of cubes for other switch</t>
  </si>
  <si>
    <t xml:space="preserve">StdDev of # of cubes for the scale </t>
  </si>
  <si>
    <t xml:space="preserve">StdDev of # of cubes for the exchange zone </t>
  </si>
  <si>
    <t>Name.2</t>
  </si>
  <si>
    <t>Value</t>
  </si>
  <si>
    <t>rank</t>
  </si>
  <si>
    <t>matches_played</t>
  </si>
  <si>
    <t>dq</t>
  </si>
  <si>
    <t>extra_stats</t>
  </si>
  <si>
    <t>qual_average</t>
  </si>
  <si>
    <t>eventName</t>
  </si>
  <si>
    <t>eventYear</t>
  </si>
  <si>
    <t>record.losses</t>
  </si>
  <si>
    <t>record.ties</t>
  </si>
  <si>
    <t>record.wins</t>
  </si>
  <si>
    <t>None</t>
  </si>
  <si>
    <t>Depending on the human player</t>
  </si>
  <si>
    <t>PitSheet</t>
  </si>
  <si>
    <t>MatchSheet</t>
  </si>
  <si>
    <t>sort_orders.1</t>
  </si>
  <si>
    <t>sort_orders.2</t>
  </si>
  <si>
    <t>sort_orders.3</t>
  </si>
  <si>
    <t>sort_orders.4</t>
  </si>
  <si>
    <t>sort_orders.5</t>
  </si>
  <si>
    <t>sort_orders.6</t>
  </si>
  <si>
    <t>0</t>
  </si>
  <si>
    <t>Column1.key</t>
  </si>
  <si>
    <t>TeleCube</t>
  </si>
  <si>
    <t>match_number</t>
  </si>
  <si>
    <t>alliances.blue.team_keys.1.2</t>
  </si>
  <si>
    <t>alliances.blue.team_keys.2.2</t>
  </si>
  <si>
    <t>alliances.blue.team_keys.3.2</t>
  </si>
  <si>
    <t>alliances.red.team_keys.1.2</t>
  </si>
  <si>
    <t>alliances.red.team_keys.2.2</t>
  </si>
  <si>
    <t>alliances.red.team_keys.3.2</t>
  </si>
  <si>
    <t>alliances.blue.score</t>
  </si>
  <si>
    <t>alliances.red.score</t>
  </si>
  <si>
    <t>winning_alliance</t>
  </si>
  <si>
    <t>Column2</t>
  </si>
  <si>
    <t>Column3</t>
  </si>
  <si>
    <t>Column4</t>
  </si>
  <si>
    <t>Column5</t>
  </si>
  <si>
    <t>Column6</t>
  </si>
  <si>
    <t>time</t>
  </si>
  <si>
    <t>Column1.team_number</t>
  </si>
  <si>
    <t>Column1.nickname</t>
  </si>
  <si>
    <t>Column1.city</t>
  </si>
  <si>
    <t>Column1.state_prov</t>
  </si>
  <si>
    <t>Column1.country</t>
  </si>
  <si>
    <t>Column1.address</t>
  </si>
  <si>
    <t>Column1.gmaps_place_id</t>
  </si>
  <si>
    <t>Column1.gmaps_url</t>
  </si>
  <si>
    <t>Column1.home_championship</t>
  </si>
  <si>
    <t>Column1.lat</t>
  </si>
  <si>
    <t>Column1.lng</t>
  </si>
  <si>
    <t>Column1.location_name</t>
  </si>
  <si>
    <t>Column1.motto</t>
  </si>
  <si>
    <t>Column1.name</t>
  </si>
  <si>
    <t>Column1.postal_code</t>
  </si>
  <si>
    <t>Column1.rookie_year</t>
  </si>
  <si>
    <t>Column1.website</t>
  </si>
  <si>
    <t>[Record]</t>
  </si>
  <si>
    <t>http://www.firstinspires.org/</t>
  </si>
  <si>
    <t>TeleOpOwnSwitch</t>
  </si>
  <si>
    <t>TeleOpOtherSwitch</t>
  </si>
  <si>
    <t>TeleOpScale</t>
  </si>
  <si>
    <t>TeleOpPowerUpCubes</t>
  </si>
  <si>
    <t>EventTeam</t>
  </si>
  <si>
    <t>ctrl + b</t>
  </si>
  <si>
    <t>2018</t>
  </si>
  <si>
    <t>Auto</t>
  </si>
  <si>
    <t>OwnerShip</t>
  </si>
  <si>
    <t>Vault</t>
  </si>
  <si>
    <t>Cimb</t>
  </si>
  <si>
    <t>TBA</t>
  </si>
  <si>
    <t>Number of Team in the event</t>
  </si>
  <si>
    <t>Scheduled Start</t>
  </si>
  <si>
    <t>FRCranking</t>
  </si>
  <si>
    <t>BlueScore</t>
  </si>
  <si>
    <t>RedScore</t>
  </si>
  <si>
    <t>Win</t>
  </si>
  <si>
    <t>Ownership</t>
  </si>
  <si>
    <t>TBAauto</t>
  </si>
  <si>
    <t>TBAownership</t>
  </si>
  <si>
    <t>TBAvault</t>
  </si>
  <si>
    <t>TBAclimb</t>
  </si>
  <si>
    <t>mawor</t>
  </si>
  <si>
    <t>mechnum</t>
  </si>
  <si>
    <t>RankingFeed</t>
  </si>
  <si>
    <t>CurrentOPR</t>
  </si>
  <si>
    <t>nhgrs</t>
  </si>
  <si>
    <t>ctwat</t>
  </si>
  <si>
    <t>mabri</t>
  </si>
  <si>
    <t>ctsct</t>
  </si>
  <si>
    <t>marea</t>
  </si>
  <si>
    <t>melew</t>
  </si>
  <si>
    <t>risri</t>
  </si>
  <si>
    <t>nedur</t>
  </si>
  <si>
    <t>cthar</t>
  </si>
  <si>
    <t>mabos</t>
  </si>
  <si>
    <t>necmp</t>
  </si>
  <si>
    <t>maworTeams</t>
  </si>
  <si>
    <t>nhgrsTeams</t>
  </si>
  <si>
    <t>ctwatTeams</t>
  </si>
  <si>
    <t>mabriTeams</t>
  </si>
  <si>
    <t>frc230</t>
  </si>
  <si>
    <t>Victory in our grasp!</t>
  </si>
  <si>
    <t>06484</t>
  </si>
  <si>
    <t>http://www.shsrobotics.org</t>
  </si>
  <si>
    <t>frc2067</t>
  </si>
  <si>
    <t>How 'bout them apples?</t>
  </si>
  <si>
    <t>Bishop's Orchards/United Technologies/Rockwell Automation/Moroso Performance Products/Lockheed/Butterfly Network/Intuitive Surgical/Medtronic&amp;4H</t>
  </si>
  <si>
    <t>06437</t>
  </si>
  <si>
    <t>http://www.applepirobotics.org</t>
  </si>
  <si>
    <t>frc3104</t>
  </si>
  <si>
    <t>Thunder Rolls</t>
  </si>
  <si>
    <t>&amp;the Academy of Information Technology</t>
  </si>
  <si>
    <t>06905</t>
  </si>
  <si>
    <t>http://www.cyberrobotics.org</t>
  </si>
  <si>
    <t>06457</t>
  </si>
  <si>
    <t>EventSchedule</t>
  </si>
  <si>
    <t>Query</t>
  </si>
  <si>
    <t>EventTeams</t>
  </si>
  <si>
    <t>Display</t>
  </si>
  <si>
    <t>TeamTab</t>
  </si>
  <si>
    <t>FRC_Ranking</t>
  </si>
  <si>
    <t>Schedule</t>
  </si>
  <si>
    <t>MatchPivot</t>
  </si>
  <si>
    <t>MatchStats</t>
  </si>
  <si>
    <t>PitCleaned</t>
  </si>
  <si>
    <t>MatchCleaned</t>
  </si>
  <si>
    <t>Specs</t>
  </si>
  <si>
    <t>OPRs</t>
  </si>
  <si>
    <t>TBAranking</t>
  </si>
  <si>
    <t>TBAopr</t>
  </si>
  <si>
    <t>PitRaw</t>
  </si>
  <si>
    <t>MatchRaw</t>
  </si>
  <si>
    <t>UpdateEventTeams</t>
  </si>
  <si>
    <t>Rank</t>
  </si>
  <si>
    <t>Team #</t>
  </si>
  <si>
    <t>What is your autonomous goal?</t>
  </si>
  <si>
    <t>What are your TeleOp cube capabilities?</t>
  </si>
  <si>
    <t>What is your climb mechanism?</t>
  </si>
  <si>
    <t>How does your robot get cubes?</t>
  </si>
  <si>
    <t>What drive train do you use?</t>
  </si>
  <si>
    <t>How many drive CIM motors do you have?</t>
  </si>
  <si>
    <t>Is there anything else you want to tell us about your robot?</t>
  </si>
  <si>
    <t>What is your coach's name?</t>
  </si>
  <si>
    <t>ButtonBoard</t>
  </si>
  <si>
    <t>QuickAccess</t>
  </si>
  <si>
    <t>frc155</t>
  </si>
  <si>
    <t>It has to be fun!</t>
  </si>
  <si>
    <t>United Techologies Pratt &amp; Whitney Division, East Hartford, CT/Comcast&amp;Berlin High School&amp;Catherine M. Mcgee Middle School</t>
  </si>
  <si>
    <t>06037</t>
  </si>
  <si>
    <t>http://usfirst.berlinwall.org/</t>
  </si>
  <si>
    <t>frc195</t>
  </si>
  <si>
    <t>Build It- Break It -Fix It -Repeat</t>
  </si>
  <si>
    <t>06489</t>
  </si>
  <si>
    <t>http://www.team195.com</t>
  </si>
  <si>
    <t>frc1027</t>
  </si>
  <si>
    <t>01089</t>
  </si>
  <si>
    <t>http://www.team1027.com</t>
  </si>
  <si>
    <t>frc2064</t>
  </si>
  <si>
    <t>United Rentals/Google/United Technologies/Sikorsky of Lockheed Martin/Nexus Design/Ace Hardware of Woodbury&amp;Pomperaug Regional High School</t>
  </si>
  <si>
    <t>06488</t>
  </si>
  <si>
    <t>http://www.frc2064.com/</t>
  </si>
  <si>
    <t>frc2836</t>
  </si>
  <si>
    <t>"We're working on it"</t>
  </si>
  <si>
    <t>ebm-papst Inc./United Technologies Corporation/Sealed Air/ionBank/Thomaston Savings Bank &amp; Nonnewaug High School</t>
  </si>
  <si>
    <t>06798</t>
  </si>
  <si>
    <t>http://www.teambeta.org</t>
  </si>
  <si>
    <t>frc3634</t>
  </si>
  <si>
    <t>06610</t>
  </si>
  <si>
    <t>frc3654</t>
  </si>
  <si>
    <t>Building the robots and women of tomorrow.</t>
  </si>
  <si>
    <t>Arconic Foundation/UTC/Bob's Discount Furniture/Microsoft/Solid Works/Lauren States/Hobson Motzer/Swanny Seirup/Tom and Nancy Clayton/4-H&amp;Mercy High School</t>
  </si>
  <si>
    <t>http://techtigers3654.org</t>
  </si>
  <si>
    <t>frc5746</t>
  </si>
  <si>
    <t>Whelen Engineering / SavvyOptics / Paulson Training &amp; Valley Regional High School</t>
  </si>
  <si>
    <t>06417</t>
  </si>
  <si>
    <t>frc6346</t>
  </si>
  <si>
    <t>Norwalk High School</t>
  </si>
  <si>
    <t>06851</t>
  </si>
  <si>
    <t>frc6811</t>
  </si>
  <si>
    <t>NASA/Washington Supply/John's Trucking/Click Bond/&amp;The Gunnery Inc.</t>
  </si>
  <si>
    <t>06793</t>
  </si>
  <si>
    <t>frc7127</t>
  </si>
  <si>
    <t>01106</t>
  </si>
  <si>
    <t>frc7153</t>
  </si>
  <si>
    <t>06042</t>
  </si>
  <si>
    <t>United Technologies/XL Catlin/Ametek-Hayden Kerk Motion Solutions/Lockheed Martin/Mohawk Northeast/Pyramid Technologies/Tiger Enterprises &amp; Southington High School</t>
  </si>
  <si>
    <t>United Technologies/Sikorsky, Lockheed Martin/OEM Controls/Ametek-Hayden Kerk/Shelton Public School System/Hubbell/Intuitive Surgical/Logicbroker/Valley Community Foundation&amp;Shelton High School</t>
  </si>
  <si>
    <t>Levitate</t>
  </si>
  <si>
    <t>2</t>
  </si>
  <si>
    <t>blue</t>
  </si>
  <si>
    <t>red</t>
  </si>
  <si>
    <t>Match&amp;PitCleaning</t>
  </si>
  <si>
    <t>Current</t>
  </si>
  <si>
    <t>auto</t>
  </si>
  <si>
    <t>Fairfield University/Lockheed Martin Company/NASA CT Space Grant/NEATEC/Stanley Black and Decker/Bridgeport Public Schools/Bridgeport Fittings/Connecticut Innovations/Bigelow Tea&amp;Harding High School&amp;Family/Community</t>
  </si>
  <si>
    <t>http://www.sparkcityrobotics.com/</t>
  </si>
  <si>
    <t>ctsctTeams</t>
  </si>
  <si>
    <t>mareaTeams</t>
  </si>
  <si>
    <t>ownership</t>
  </si>
  <si>
    <t>onwership</t>
  </si>
  <si>
    <t>dash</t>
  </si>
  <si>
    <t>Manual</t>
  </si>
  <si>
    <t>Nos</t>
  </si>
  <si>
    <t>Hide</t>
  </si>
  <si>
    <t>Unhide</t>
  </si>
  <si>
    <t>eventKey</t>
  </si>
  <si>
    <t>Python Scraper</t>
  </si>
  <si>
    <t>MatchDetails</t>
  </si>
  <si>
    <t>pythonSpecs</t>
  </si>
  <si>
    <t>ImportMatchDetails</t>
  </si>
  <si>
    <t>matchCount</t>
  </si>
  <si>
    <t>last completed match</t>
  </si>
  <si>
    <t>United Technologies/Mass-West Construction &amp; West Springfield High</t>
  </si>
  <si>
    <t>PlateConfig</t>
  </si>
  <si>
    <t>FoulCount</t>
  </si>
  <si>
    <t>FoulPts</t>
  </si>
  <si>
    <t>ForcePlayed</t>
  </si>
  <si>
    <t>ForceTotal</t>
  </si>
  <si>
    <t>BoostPlayed</t>
  </si>
  <si>
    <t>BoostTotal</t>
  </si>
  <si>
    <t>LevitatePlayed</t>
  </si>
  <si>
    <t>LevitateTotal</t>
  </si>
  <si>
    <t>VaultTotal</t>
  </si>
  <si>
    <t>Status</t>
  </si>
  <si>
    <t>GrandCleaning</t>
  </si>
  <si>
    <t>Refresh &amp; Cleaning</t>
  </si>
  <si>
    <t>matchNumber</t>
  </si>
  <si>
    <t>matchKey</t>
  </si>
  <si>
    <t>blue1</t>
  </si>
  <si>
    <t>blue2</t>
  </si>
  <si>
    <t>blue3</t>
  </si>
  <si>
    <t>red1</t>
  </si>
  <si>
    <t>red2</t>
  </si>
  <si>
    <t>red3</t>
  </si>
  <si>
    <t>blueScore</t>
  </si>
  <si>
    <t>redScore</t>
  </si>
  <si>
    <t>post_result_time</t>
  </si>
  <si>
    <t>predicted_time</t>
  </si>
  <si>
    <t>blueAdjustPoints</t>
  </si>
  <si>
    <t>blueAutoOwnership</t>
  </si>
  <si>
    <t>blueAutoPts</t>
  </si>
  <si>
    <t>blueAutoRanking</t>
  </si>
  <si>
    <t>blueAutoBot1</t>
  </si>
  <si>
    <t>blueAutoBot2</t>
  </si>
  <si>
    <t>blueAutoBot3</t>
  </si>
  <si>
    <t>blueAutoRunPoints</t>
  </si>
  <si>
    <t>blueAutoScaleOwnershipSec</t>
  </si>
  <si>
    <t>blueAutoSwitchAtZero</t>
  </si>
  <si>
    <t>blueAutoSwitchOwnershipSpec</t>
  </si>
  <si>
    <t>blueEndGamePoints</t>
  </si>
  <si>
    <t>blueEndGameBot1</t>
  </si>
  <si>
    <t>blueEndGameBot2</t>
  </si>
  <si>
    <t>blueEndGameBot3</t>
  </si>
  <si>
    <t>blueEndGameRP</t>
  </si>
  <si>
    <t>blueFoulCount</t>
  </si>
  <si>
    <t>blueFoulPts</t>
  </si>
  <si>
    <t>blueRP</t>
  </si>
  <si>
    <t>tbaGameData</t>
  </si>
  <si>
    <t>blueTechFoulCount</t>
  </si>
  <si>
    <t>blueTOownership</t>
  </si>
  <si>
    <t>blueTOpts</t>
  </si>
  <si>
    <t>blueScaleBoost</t>
  </si>
  <si>
    <t>blueScaleForce</t>
  </si>
  <si>
    <t>blueTOscaleOwnershipSec</t>
  </si>
  <si>
    <t>blueTOswitchBoost</t>
  </si>
  <si>
    <t>blueTOswitchForce</t>
  </si>
  <si>
    <t>blueTOswitchOwnershipSec</t>
  </si>
  <si>
    <t>blueBoostPlayed</t>
  </si>
  <si>
    <t>blueBoostTotal</t>
  </si>
  <si>
    <t>blueForcePlayed</t>
  </si>
  <si>
    <t>blueForceTotal</t>
  </si>
  <si>
    <t>blueLevitatePlayed</t>
  </si>
  <si>
    <t>blueLevitateTotal</t>
  </si>
  <si>
    <t>blueVaultPts</t>
  </si>
  <si>
    <t>redAdjustPoints</t>
  </si>
  <si>
    <t>redAutoOwnership</t>
  </si>
  <si>
    <t>redAutoPts</t>
  </si>
  <si>
    <t>redAutoRanking</t>
  </si>
  <si>
    <t>redAutoBot1</t>
  </si>
  <si>
    <t>redAutoBot2</t>
  </si>
  <si>
    <t>redAutoBot3</t>
  </si>
  <si>
    <t>redAutoRunPoints</t>
  </si>
  <si>
    <t>redAutoScaleOwnershipSec</t>
  </si>
  <si>
    <t>redAutoSwitchAtZero</t>
  </si>
  <si>
    <t>redAutoSwitchOwnershipSpec</t>
  </si>
  <si>
    <t>redEndGamePoints</t>
  </si>
  <si>
    <t>redEndGameBot1</t>
  </si>
  <si>
    <t>redEndGameBot2</t>
  </si>
  <si>
    <t>redEndGameBot3</t>
  </si>
  <si>
    <t>redEndGameRP</t>
  </si>
  <si>
    <t>redFoulCount</t>
  </si>
  <si>
    <t>redFoulPts</t>
  </si>
  <si>
    <t>redRP</t>
  </si>
  <si>
    <t>redTechFoulCount</t>
  </si>
  <si>
    <t>redTOownership</t>
  </si>
  <si>
    <t>redTOpts</t>
  </si>
  <si>
    <t>redScaleBoost</t>
  </si>
  <si>
    <t>redScaleForce</t>
  </si>
  <si>
    <t>redTOscaleOwnershipSec</t>
  </si>
  <si>
    <t>redTOswitchBoost</t>
  </si>
  <si>
    <t>redTOswitchForce</t>
  </si>
  <si>
    <t>redTOswitchOwnershipSec</t>
  </si>
  <si>
    <t>redBoostPlayed</t>
  </si>
  <si>
    <t>redBoostTotal</t>
  </si>
  <si>
    <t>redForcePlayed</t>
  </si>
  <si>
    <t>redForceTotal</t>
  </si>
  <si>
    <t>redLevitatePlayed</t>
  </si>
  <si>
    <t>redLevitateTotal</t>
  </si>
  <si>
    <t>redVaultPts</t>
  </si>
  <si>
    <t>AutoRun</t>
  </si>
  <si>
    <t>Parking</t>
  </si>
  <si>
    <t>LRL</t>
  </si>
  <si>
    <t>Climbing</t>
  </si>
  <si>
    <t>RLR</t>
  </si>
  <si>
    <t>RRR</t>
  </si>
  <si>
    <t>LLL</t>
  </si>
  <si>
    <t>QueryRefresh</t>
  </si>
  <si>
    <t>PythonRefresh</t>
  </si>
  <si>
    <t>https://docs.google.com/spreadsheets/d/e/2PACX-1vRxh5HYxSruWDZxLVQmX0DwaWQYWfnNWDfCE0AD8VOu2DV1bK5a3Yt0I8ukSqWXqZlDFtLYyHXlDEmW/pub?output=xlsx</t>
  </si>
  <si>
    <t>https://docs.google.com/spreadsheets/d/e/2PACX-1vQnEXJl-4rUGczuGhaHZXKg3ihKxxEtHYAiNwO6w8knAYmbL7QUsOXcxSwArZ2cbHHlojgbcu9MiTZo/pub?output=xlsx</t>
  </si>
  <si>
    <t>Set Up Guide</t>
  </si>
  <si>
    <t>1.EventTeam</t>
  </si>
  <si>
    <t>2.UpdateEventTeams</t>
  </si>
  <si>
    <t>3.EventSchedule (when available)</t>
  </si>
  <si>
    <t>4. QueryRefresh</t>
  </si>
  <si>
    <t>5.PythonRefresh</t>
  </si>
  <si>
    <t>6.GrandCleaning</t>
  </si>
  <si>
    <t>7. one of the display pages</t>
  </si>
  <si>
    <t># to return to the button board, press Ctrl +B</t>
  </si>
  <si>
    <t>NHDUR</t>
  </si>
  <si>
    <t>Force3, Boost1</t>
  </si>
  <si>
    <t xml:space="preserve">6 wheel tank </t>
  </si>
  <si>
    <t xml:space="preserve">Tank </t>
  </si>
  <si>
    <t>C++ for proramming</t>
  </si>
  <si>
    <t>MR O'Brien</t>
  </si>
  <si>
    <t xml:space="preserve">6 wheel west coast </t>
  </si>
  <si>
    <t>Score on both's sides</t>
  </si>
  <si>
    <t>Colline</t>
  </si>
  <si>
    <t>6 wheel drop center (4.6in)</t>
  </si>
  <si>
    <t xml:space="preserve">Good at scale. </t>
  </si>
  <si>
    <t>Demien</t>
  </si>
  <si>
    <t>Meccanum</t>
  </si>
  <si>
    <t>Powerful during auto</t>
  </si>
  <si>
    <t>Steve Sboldy</t>
  </si>
  <si>
    <t>6 wheel archade</t>
  </si>
  <si>
    <t xml:space="preserve">Inspired by Lego movie </t>
  </si>
  <si>
    <t>Kadri</t>
  </si>
  <si>
    <t>Sworf</t>
  </si>
  <si>
    <t xml:space="preserve">Nothing in particular </t>
  </si>
  <si>
    <t>Christ (Mentor)</t>
  </si>
  <si>
    <t xml:space="preserve">Java for programming </t>
  </si>
  <si>
    <t>Tank drive</t>
  </si>
  <si>
    <t xml:space="preserve">Java.  </t>
  </si>
  <si>
    <t>Sam</t>
  </si>
  <si>
    <t>frc173</t>
  </si>
  <si>
    <t>Motivate, educate, innovate</t>
  </si>
  <si>
    <t>United Technologies/Stanley/CNC Software/Eppendorf&amp;Tolland High School&amp;Ellington High School&amp;Connecticut Ib Academy&amp;East Hartford High School</t>
  </si>
  <si>
    <t>06084</t>
  </si>
  <si>
    <t>http://ragerobotics.com</t>
  </si>
  <si>
    <t>frc175</t>
  </si>
  <si>
    <t>Safety FIRST</t>
  </si>
  <si>
    <t>06082</t>
  </si>
  <si>
    <t>http://buzzrobotics.org</t>
  </si>
  <si>
    <t>frc176</t>
  </si>
  <si>
    <t>Laying down the Cards</t>
  </si>
  <si>
    <t>UTC Aerospace Systems&amp;Windsor Locks High School&amp;Suffield High School</t>
  </si>
  <si>
    <t>06096</t>
  </si>
  <si>
    <t>http://www.aceshigh176.org</t>
  </si>
  <si>
    <t>frc177</t>
  </si>
  <si>
    <t>Have Fun!</t>
  </si>
  <si>
    <t>United Technologies &amp; South Windsor High School</t>
  </si>
  <si>
    <t>06074</t>
  </si>
  <si>
    <t>http://www.bobcatrobotics.org</t>
  </si>
  <si>
    <t>frc181</t>
  </si>
  <si>
    <t>You Can't Rock da Pub!</t>
  </si>
  <si>
    <t>United Technologies/Pratt &amp; Whitney/Stanley Black &amp; Decker&amp;Hphs Academy of Engineering and Green Technology&amp;Pathways to Technology Magnet School</t>
  </si>
  <si>
    <t>06106</t>
  </si>
  <si>
    <t>http://www.birdsofprey181.org</t>
  </si>
  <si>
    <t>frc190</t>
  </si>
  <si>
    <t>Student designed, built, and operated.</t>
  </si>
  <si>
    <t>WPI&amp;Ma Academy for Math and Science School</t>
  </si>
  <si>
    <t>01609</t>
  </si>
  <si>
    <t>http://users.wpi.edu/~first/</t>
  </si>
  <si>
    <t>frc236</t>
  </si>
  <si>
    <t>It's in your blood!</t>
  </si>
  <si>
    <t>Dominion Millstone Power Station/Lyme-Old Lyme Education Foundation (LOLEF)/Lyme-Old Lyme Public Schools/Brooks Associates Precision Machine Tools &amp; Lyme-Old Lyme High School</t>
  </si>
  <si>
    <t>06371</t>
  </si>
  <si>
    <t>http://www.technoticks236.com</t>
  </si>
  <si>
    <t>frc558</t>
  </si>
  <si>
    <t>Family, School, Robots</t>
  </si>
  <si>
    <t>Yale University/United Illuminating-Avangrid/United Technologies/Comcast NBCUniversal/Parker Hannifin/Best Buy/Frederick A. DeLuca Foundation&amp;Hill Regional Career High School</t>
  </si>
  <si>
    <t>06519</t>
  </si>
  <si>
    <t>http://www.elmcityrobosquad.org/</t>
  </si>
  <si>
    <t>frc571</t>
  </si>
  <si>
    <t>Spirit Works</t>
  </si>
  <si>
    <t>The Town of Windsor Connecticut/Otis Elevator/UTC&amp;Windsor High School</t>
  </si>
  <si>
    <t>06095</t>
  </si>
  <si>
    <t>http://www.team-paragon.org/</t>
  </si>
  <si>
    <t>frc839</t>
  </si>
  <si>
    <t>"No drama, just results"</t>
  </si>
  <si>
    <t>United Technologies Aerospace Systems/G &amp; L Tool/PTC/Kaman Specialty Bearings and Engineered Products/Agawam Robotics Education Association Inc./Agawam Lions Club/TW Metals &amp; Agawam High</t>
  </si>
  <si>
    <t>01001</t>
  </si>
  <si>
    <t>http://rosie.agawamrobotics.org/</t>
  </si>
  <si>
    <t>frc999</t>
  </si>
  <si>
    <t>Cheshire Public Schools/UTC Pratt &amp; Whitney/Parker Hannifin/Lockheed Martin Sikorsky/Stanley Black and Decker&amp;Cheshire High School</t>
  </si>
  <si>
    <t>06410</t>
  </si>
  <si>
    <t>http://frcteam999.com</t>
  </si>
  <si>
    <t>frc1085</t>
  </si>
  <si>
    <t>Valley 4-H Robotics/United Technologies Corporation &amp; 4-H &amp; Avon High School</t>
  </si>
  <si>
    <t>06001</t>
  </si>
  <si>
    <t>http://www.aquaticrobotics.org</t>
  </si>
  <si>
    <t>frc1124</t>
  </si>
  <si>
    <t>We eat Kryptonite for breakfast!</t>
  </si>
  <si>
    <t>Avon High School</t>
  </si>
  <si>
    <t>http://www.uberbots.org</t>
  </si>
  <si>
    <t>frc1740</t>
  </si>
  <si>
    <t>Carpe diem</t>
  </si>
  <si>
    <t>Dominion Millstone Power Station&amp;Ledyard High School</t>
  </si>
  <si>
    <t>06339</t>
  </si>
  <si>
    <t>http://lcc1740.net/</t>
  </si>
  <si>
    <t>frc1973</t>
  </si>
  <si>
    <t>Keep On Burning Brightly</t>
  </si>
  <si>
    <t>Boston Scientific/Gentle Giants Moving Company/The Makery @ Coolidge Corner/Gelfand Family Foundation/Textron Corporation/Harvard Business School/Irene Chan/MIT/Boston University College of Engineering/Joan K Sexton Foundation/Search Results The Hamilton Company/Tufts University&amp;Brighton High&amp;Family/Community&amp;Family/Community</t>
  </si>
  <si>
    <t>02135</t>
  </si>
  <si>
    <t>http://brightonburningtigers.org</t>
  </si>
  <si>
    <t>frc1991</t>
  </si>
  <si>
    <t>Failure is Not an Option</t>
  </si>
  <si>
    <t>UTC/Pratt &amp; Whitney/University of Hartford/Hartford Public Schools/Law Offices of Joseph Prokop/Tsunami Tsolutions/Saybrook Hardware/Aetna/Nutmeg State Federal Credit Union/Lagana Florist/Schaller Acura &amp; 4-H &amp; University High School</t>
  </si>
  <si>
    <t>06112</t>
  </si>
  <si>
    <t>https://frc1991.github.io/</t>
  </si>
  <si>
    <t>frc2170</t>
  </si>
  <si>
    <t>UTC&amp;Glastonbury High School</t>
  </si>
  <si>
    <t>06033</t>
  </si>
  <si>
    <t>https://sites.google.com/a/glastonburyus.org/ghs-first-robotics/</t>
  </si>
  <si>
    <t>frc2785</t>
  </si>
  <si>
    <t>Bringing technology to Kent</t>
  </si>
  <si>
    <t>United Technologies Corporation/Stanley Works &amp; Kent School</t>
  </si>
  <si>
    <t>06757</t>
  </si>
  <si>
    <t>frc3146</t>
  </si>
  <si>
    <t>United Technologies/Granby Education Foundation/Joining Technologies, Inc./Dri-Air Industries/Solidworks/Granby Lions/Singularity Prime/Fluid Control Solutions/Farmington Machine Tools, LLC/AIM Insurance/Laird Plastics/Pearse Bertram/Granby Senior Mens Club/Wittmann Battenfeld INC/Kaman/Minarik/Christine Winslow/Travelers Inc. &amp; Granby Memorial High School</t>
  </si>
  <si>
    <t>06035</t>
  </si>
  <si>
    <t>http://granbygrunts.com</t>
  </si>
  <si>
    <t>frc3182</t>
  </si>
  <si>
    <t>Kids Who Kick Bot</t>
  </si>
  <si>
    <t>United Technologies Corporation/MakeHartford/Hartford County 4-H/Peening Technologies/Pratt and Whitney Women's Council/SolidWorks/CSC/SWI Glass &amp; Metal&amp;Neighborhood Group</t>
  </si>
  <si>
    <t>06107</t>
  </si>
  <si>
    <t>http://team3182.org/</t>
  </si>
  <si>
    <t>frc3464</t>
  </si>
  <si>
    <t>Geared for Success</t>
  </si>
  <si>
    <t>United Technologies Corporation/Friends of Sim-City/Dyno Nobel&amp;Simsbury High School</t>
  </si>
  <si>
    <t>06070</t>
  </si>
  <si>
    <t>https://sites.google.com/simsburyschools.net/first-3464/</t>
  </si>
  <si>
    <t>frc4987</t>
  </si>
  <si>
    <t>"Achieve the honorable."</t>
  </si>
  <si>
    <t>Worcester Academy</t>
  </si>
  <si>
    <t>01604</t>
  </si>
  <si>
    <t>http://megarams4987.tumblr.com/</t>
  </si>
  <si>
    <t>frc5129</t>
  </si>
  <si>
    <t>Plainville Board of Education&amp;Plainville High School</t>
  </si>
  <si>
    <t>06062</t>
  </si>
  <si>
    <t>West Haven</t>
  </si>
  <si>
    <t>frc5142</t>
  </si>
  <si>
    <t>United Technologies/Northeastern Utilities/NextGen Technologies LLC &amp; Engineering - Science University Magnet School &amp; GForce STEM</t>
  </si>
  <si>
    <t>06516</t>
  </si>
  <si>
    <t>frc5686</t>
  </si>
  <si>
    <t>United Technologies/Simsbury Precision&amp;Ethel Walker School</t>
  </si>
  <si>
    <t>http://frc5686.wix.com/wirecats#!meet-the-team/cshm</t>
  </si>
  <si>
    <t>frc6333</t>
  </si>
  <si>
    <t>NASA/United Technologies Corporation/Linemaster Switch Corporation/Rational Accoustics&amp;Putnam High School</t>
  </si>
  <si>
    <t>06260</t>
  </si>
  <si>
    <t>frc6812</t>
  </si>
  <si>
    <t>NASA&amp;Phillips Academy, Andover&amp;Phillips Academy, Andover</t>
  </si>
  <si>
    <t>01810</t>
  </si>
  <si>
    <t>frc6895</t>
  </si>
  <si>
    <t>NASA/Hypertherm HOPE Foundation/Applied Bolting Technology/The Kingsbury Fund&amp;4-H</t>
  </si>
  <si>
    <t>03608</t>
  </si>
  <si>
    <t xml:space="preserve">LongMetal </t>
  </si>
  <si>
    <t>The Longmeadow Educational Excellence Foundation (LEEF)/Western New England University - College of Engineering/NorthStar Recycling/Baystate OB/GYN Group, Inc./Raising Nerd/Guardair Corporation/Whalley Computer Associates, Inc. /Lenox/Pearce’s Offsider&amp;Longmeadow High</t>
  </si>
  <si>
    <t>http://www.Longmetal.org</t>
  </si>
  <si>
    <t>Vic</t>
  </si>
  <si>
    <t>6 wheels drop two</t>
  </si>
  <si>
    <t xml:space="preserve">9 cubes in 60s: fast climb in the side </t>
  </si>
  <si>
    <t xml:space="preserve">Kat </t>
  </si>
  <si>
    <t>6 wheel arcade</t>
  </si>
  <si>
    <t xml:space="preserve">Phenomenal robot, confident. Experienced driver, drive team with 3 years experience </t>
  </si>
  <si>
    <t>Akash</t>
  </si>
  <si>
    <t>6 wheel tank</t>
  </si>
  <si>
    <t xml:space="preserve">6 cubes a game; 3 seconds for climb. </t>
  </si>
  <si>
    <t>Chris</t>
  </si>
  <si>
    <t xml:space="preserve">Java. </t>
  </si>
  <si>
    <t>Ryan</t>
  </si>
  <si>
    <t>Java. Purple and pretty.</t>
  </si>
  <si>
    <t xml:space="preserve">Amber </t>
  </si>
  <si>
    <t>Java</t>
  </si>
  <si>
    <t>Mr Pierce</t>
  </si>
  <si>
    <t>2 speed 6 wheel tank</t>
  </si>
  <si>
    <t>Java for programming. Get out of way on the bar</t>
  </si>
  <si>
    <t>Paul</t>
  </si>
  <si>
    <t>6 wheel tabk</t>
  </si>
  <si>
    <t>Programming language Java. Flexible</t>
  </si>
  <si>
    <t>Mr. Colling</t>
  </si>
  <si>
    <t xml:space="preserve">8 wheel tank  (5in) </t>
  </si>
  <si>
    <t xml:space="preserve">12-13ft/sec. </t>
  </si>
  <si>
    <t>Nick</t>
  </si>
  <si>
    <t xml:space="preserve">8 wheel tank </t>
  </si>
  <si>
    <t xml:space="preserve">Fast. Wheel intake, reliable climber. </t>
  </si>
  <si>
    <t>JT</t>
  </si>
  <si>
    <t xml:space="preserve">6 track wheel and 2  meccanum at the front </t>
  </si>
  <si>
    <t>Java for programming. Wide robot. 15 ft/sec without gear.</t>
  </si>
  <si>
    <t>Ms Poom.</t>
  </si>
  <si>
    <t>6 wheel tank west coast</t>
  </si>
  <si>
    <t xml:space="preserve">Programming language is Java. Score on both sides. </t>
  </si>
  <si>
    <t>Colline.</t>
  </si>
  <si>
    <t>Mini CIMs. Absolutely tiny but will push you across the field</t>
  </si>
  <si>
    <t>Andy</t>
  </si>
  <si>
    <t>West coast</t>
  </si>
  <si>
    <t>Min CIMs! Programming language is Java.</t>
  </si>
  <si>
    <t>Rob</t>
  </si>
  <si>
    <t xml:space="preserve">Very fast, 17 ft/sec. good at switch. </t>
  </si>
  <si>
    <t>Dale</t>
  </si>
  <si>
    <t xml:space="preserve">4 meccanum </t>
  </si>
  <si>
    <t>Programming language is Java.  Really fast. Epic spins. Fly over the field.</t>
  </si>
  <si>
    <t xml:space="preserve">Mike </t>
  </si>
  <si>
    <t xml:space="preserve">4 4in wheel tank </t>
  </si>
  <si>
    <t>C++. Hook and a rope for climbing.</t>
  </si>
  <si>
    <t>AJ</t>
  </si>
  <si>
    <t>Anthony Van</t>
  </si>
  <si>
    <t>Tank</t>
  </si>
  <si>
    <t xml:space="preserve">Programmed with Java. </t>
  </si>
  <si>
    <t>Morgan or Tyler</t>
  </si>
  <si>
    <t>Programmed by Java</t>
  </si>
  <si>
    <t>Etha</t>
  </si>
  <si>
    <t>LabView</t>
  </si>
  <si>
    <t xml:space="preserve">Head coach </t>
  </si>
  <si>
    <t xml:space="preserve">Programmed by Java </t>
  </si>
  <si>
    <t>Joe</t>
  </si>
  <si>
    <t>4 wheel Omni and 2 traction (4 wheel)</t>
  </si>
  <si>
    <t xml:space="preserve">Shooter bot! WoW! </t>
  </si>
  <si>
    <t>Anna</t>
  </si>
  <si>
    <t xml:space="preserve">It has a heart. The team has a good sense of humor! Bot can play defense. </t>
  </si>
  <si>
    <t>Chris/Adrian/Mike</t>
  </si>
  <si>
    <t>Omni</t>
  </si>
  <si>
    <t xml:space="preserve">Wheel feeder. Multistage lift. Programmed by Java. </t>
  </si>
  <si>
    <t>Katie</t>
  </si>
  <si>
    <t>8 wheel tank</t>
  </si>
  <si>
    <t>Elevator is pretty freaking sick</t>
  </si>
  <si>
    <t>Shahbano Rao (the proud)</t>
  </si>
  <si>
    <t>8 wheel Mechannum</t>
  </si>
  <si>
    <t>String loaded intake. 16 ft/sec. programmed by Java.</t>
  </si>
  <si>
    <t xml:space="preserve">Scott. </t>
  </si>
  <si>
    <t>Swif</t>
  </si>
  <si>
    <t xml:space="preserve">Maneuverability </t>
  </si>
  <si>
    <t>Kaitlyn</t>
  </si>
  <si>
    <t>Programmed by C++.  Arms.</t>
  </si>
  <si>
    <t>Mary</t>
  </si>
  <si>
    <t>Programming by hotlin</t>
  </si>
  <si>
    <t>Alex</t>
  </si>
  <si>
    <t>Programmed by LabView. Good sense of humor.</t>
  </si>
  <si>
    <t>Joy/Mike</t>
  </si>
  <si>
    <t xml:space="preserve">Java for programming. </t>
  </si>
  <si>
    <t>Anson</t>
  </si>
  <si>
    <t>NONE</t>
  </si>
  <si>
    <t>Boost2, Levitate</t>
  </si>
  <si>
    <t>Force2, Boost3</t>
  </si>
  <si>
    <t>Arms were stuck</t>
  </si>
  <si>
    <t>Smooth driving, paid attention to when the other alliance left their scale unprotected</t>
  </si>
  <si>
    <t>Boost1, Levitate</t>
  </si>
  <si>
    <t>Force3, Boost1, Levitate</t>
  </si>
  <si>
    <t xml:space="preserve">Not sturdy arms </t>
  </si>
  <si>
    <t xml:space="preserve">Shooter is unreliable </t>
  </si>
  <si>
    <t>Were indecisive/unable to move (could be lack of practice); turned off 30sec into teleop</t>
  </si>
  <si>
    <t xml:space="preserve">Hit the scale SEVERAL times </t>
  </si>
  <si>
    <t>Boost1</t>
  </si>
  <si>
    <t>Hands are thick so grabbing cubes was hard for them</t>
  </si>
  <si>
    <t>The drive team is attractive; had a very hard time doing the exchange, robot could not proper align exchange and robot to push cube in</t>
  </si>
  <si>
    <t>Force3</t>
  </si>
  <si>
    <t xml:space="preserve">Arms not good </t>
  </si>
  <si>
    <t>Force3, Boost3</t>
  </si>
  <si>
    <t>Boost3, Levitate</t>
  </si>
  <si>
    <t>They were fast but at the end it seemed like they didn't know where to go with the robot</t>
  </si>
  <si>
    <t>Force2, Boost2, Levitate</t>
  </si>
  <si>
    <t>Force3, Levitate</t>
  </si>
  <si>
    <t>they had no communication/ didn't move the whole match</t>
  </si>
  <si>
    <t>Drops cubes a lot</t>
  </si>
  <si>
    <t>When putting cubes on scale, they get too close to the scale and hit it</t>
  </si>
  <si>
    <t xml:space="preserve">Is missing a wheel on arms so had to push cubes into exchange </t>
  </si>
  <si>
    <t>Force3, Boost2</t>
  </si>
  <si>
    <t>Driving seemed weird</t>
  </si>
  <si>
    <t xml:space="preserve">Robot wasn’t there </t>
  </si>
  <si>
    <t>Assisted (climb on ramp)</t>
  </si>
  <si>
    <t>Force3, Boost3, Levitate</t>
  </si>
  <si>
    <t xml:space="preserve">Was really slowly didn’t really pick up cubes </t>
  </si>
  <si>
    <t>Didn’t pick up any cubes</t>
  </si>
  <si>
    <t>They tried to play defense but got a lot of foul points because they kept going into th</t>
  </si>
  <si>
    <t>Doesn’t hold cube well  at all</t>
  </si>
  <si>
    <t xml:space="preserve">Hit the scale in autorun </t>
  </si>
  <si>
    <t>Fast and consistent only dropped one cube</t>
  </si>
  <si>
    <t>Disabled</t>
  </si>
  <si>
    <t>Good cycle time</t>
  </si>
  <si>
    <t xml:space="preserve">Hit the elevator a couple of times </t>
  </si>
  <si>
    <t>Seemed to have a connection problem.</t>
  </si>
  <si>
    <t>2018cthar_qm1</t>
  </si>
  <si>
    <t>2018cthar_qm2</t>
  </si>
  <si>
    <t>2018cthar_qm3</t>
  </si>
  <si>
    <t>2018cthar_qm4</t>
  </si>
  <si>
    <t>2018cthar_qm5</t>
  </si>
  <si>
    <t>2018cthar_qm6</t>
  </si>
  <si>
    <t>2018cthar_qm7</t>
  </si>
  <si>
    <t>2018cthar_qm8</t>
  </si>
  <si>
    <t>2018cthar_qm9</t>
  </si>
  <si>
    <t xml:space="preserve">Is really quick </t>
  </si>
  <si>
    <t>Force2, Boost3, Levitate</t>
  </si>
  <si>
    <t xml:space="preserve">Bumpers were falling apart </t>
  </si>
  <si>
    <t xml:space="preserve">Kept hitting the scale </t>
  </si>
  <si>
    <t>Force1, Force3, Boost1, Levitate</t>
  </si>
  <si>
    <t>Really good climb!!!</t>
  </si>
  <si>
    <t>Looked a little slow</t>
  </si>
  <si>
    <t>2018cthar_qm10</t>
  </si>
  <si>
    <t>9</t>
  </si>
  <si>
    <t>Good cycle time for exchange but looked lost after they filled it</t>
  </si>
  <si>
    <t>Can’t pick up a cube on its own</t>
  </si>
  <si>
    <t>Slow</t>
  </si>
  <si>
    <t xml:space="preserve">Git the elevator once during autonomous </t>
  </si>
  <si>
    <t xml:space="preserve">Not very balanced </t>
  </si>
  <si>
    <t>Force2, Levitate</t>
  </si>
  <si>
    <t>Decent job</t>
  </si>
  <si>
    <t>Really good auto (2 cubes)</t>
  </si>
  <si>
    <t>Force2, Boost1</t>
  </si>
  <si>
    <t>Driving was weird</t>
  </si>
  <si>
    <t>Did not know how many power ups were used</t>
  </si>
  <si>
    <t>Looks slow</t>
  </si>
  <si>
    <t>Lost a shooter wheel</t>
  </si>
  <si>
    <t>Double climb!!!</t>
  </si>
  <si>
    <t>It's legit just a chassis that pushes into the exchange</t>
  </si>
  <si>
    <t>Doesn’t have good cube pickup</t>
  </si>
  <si>
    <t>Force1, Boost3, Levitate</t>
  </si>
  <si>
    <t>Driving was not good</t>
  </si>
  <si>
    <t xml:space="preserve">Used their climb but couldn’t get up in the air </t>
  </si>
  <si>
    <t>Okay cycle time</t>
  </si>
  <si>
    <t>Decent</t>
  </si>
  <si>
    <t>Did not Show.</t>
  </si>
  <si>
    <t>Had trouble picking up cubes</t>
  </si>
  <si>
    <t>They got a lot of foul points for blocking the blue alliance from the exchange</t>
  </si>
  <si>
    <t xml:space="preserve">Hit the scale </t>
  </si>
  <si>
    <t>2018cthar_qm11</t>
  </si>
  <si>
    <t>2018cthar_qm12</t>
  </si>
  <si>
    <t>2018cthar_qm13</t>
  </si>
  <si>
    <t>2018cthar_qm14</t>
  </si>
  <si>
    <t>2018cthar_qm15</t>
  </si>
  <si>
    <t>2018cthar_qm16</t>
  </si>
  <si>
    <t>2018cthar_qm17</t>
  </si>
  <si>
    <t>2018cthar_qm18</t>
  </si>
  <si>
    <t>2018cthar_qm19</t>
  </si>
  <si>
    <t>2018cthar_qm20</t>
  </si>
  <si>
    <t>235</t>
  </si>
  <si>
    <t>12</t>
  </si>
  <si>
    <t>295</t>
  </si>
  <si>
    <t>16</t>
  </si>
  <si>
    <t>14</t>
  </si>
  <si>
    <t>17</t>
  </si>
  <si>
    <t>265</t>
  </si>
  <si>
    <t>310</t>
  </si>
  <si>
    <t>250</t>
  </si>
  <si>
    <t>They basically spent the match trying to push a cube into the exchange and couldn't</t>
  </si>
  <si>
    <t>Boost3</t>
  </si>
  <si>
    <t xml:space="preserve">They didn’t really do anything. It seemed like they were struggling to be able to do anything </t>
  </si>
  <si>
    <t>There intake makes it easy to get a cube loose from it</t>
  </si>
  <si>
    <t>Climb failed and they fell over</t>
  </si>
  <si>
    <t xml:space="preserve">Driver seemed to lose control </t>
  </si>
  <si>
    <t>For some reason they weren’t able to pick up a cube which prevented them from contributing more. They also didn’t climb on time</t>
  </si>
  <si>
    <t>Did not participate in this match</t>
  </si>
  <si>
    <t xml:space="preserve">Not very good driving </t>
  </si>
  <si>
    <t>The bot wasn’t working. It started to move towards the end but it didn’t do anything</t>
  </si>
  <si>
    <t>They have our design but can drive better than us</t>
  </si>
  <si>
    <t xml:space="preserve">Wheels on the right side of their bot aren’t turning. Caused the robot to not go anywhere but in circles </t>
  </si>
  <si>
    <t>Kinda slow when trying to do exchange</t>
  </si>
  <si>
    <t>Intake was loose around cubes</t>
  </si>
  <si>
    <t xml:space="preserve">Something was wrong with their bot. </t>
  </si>
  <si>
    <t xml:space="preserve">Robot stop working </t>
  </si>
  <si>
    <t>Still in love with their driver; good cycle time with exchange</t>
  </si>
  <si>
    <t xml:space="preserve">They were really fast </t>
  </si>
  <si>
    <t>Force1, Boost1, Levitate</t>
  </si>
  <si>
    <t>I love their drive train; some cubes got stuck in their chassis, had an interesting way to use human player</t>
  </si>
  <si>
    <t>Force1, Force3, Boost1</t>
  </si>
  <si>
    <t>They seemed like they didn’t seem to have a purpose</t>
  </si>
  <si>
    <t xml:space="preserve">Didn’t do much </t>
  </si>
  <si>
    <t>Slow AF</t>
  </si>
  <si>
    <t xml:space="preserve">They tried to put a cube on the opposite switch but they failed </t>
  </si>
  <si>
    <t>Not best exchange bot, weird defense l</t>
  </si>
  <si>
    <t xml:space="preserve">They seemed to be struggling </t>
  </si>
  <si>
    <t>Good</t>
  </si>
  <si>
    <t>They have a weird mechanism for picking up cubes</t>
  </si>
  <si>
    <t>Boost2</t>
  </si>
  <si>
    <t xml:space="preserve">Thy were struggling to put in cubes through the exchange </t>
  </si>
  <si>
    <t>Got stuck on scale</t>
  </si>
  <si>
    <t>Good. I believe in you guys! Go drive team!! Go TechTigers!!!!</t>
  </si>
  <si>
    <t xml:space="preserve">They didn’t do anything </t>
  </si>
  <si>
    <t>Autonomous missed; good all round robot</t>
  </si>
  <si>
    <t>Intake is still loose around cubes</t>
  </si>
  <si>
    <t xml:space="preserve">They aren’t very fast </t>
  </si>
  <si>
    <t xml:space="preserve">Fast with exchange </t>
  </si>
  <si>
    <t>Kinda slow</t>
  </si>
  <si>
    <t>2018cthar_qm21</t>
  </si>
  <si>
    <t>2018cthar_qm22</t>
  </si>
  <si>
    <t>2018cthar_qm23</t>
  </si>
  <si>
    <t>2018cthar_qm24</t>
  </si>
  <si>
    <t>2018cthar_qm25</t>
  </si>
  <si>
    <t>2018cthar_qm26</t>
  </si>
  <si>
    <t>2018cthar_qm27</t>
  </si>
  <si>
    <t>2018cthar_qm28</t>
  </si>
  <si>
    <t>2018cthar_qm29</t>
  </si>
  <si>
    <t>2018cthar_qm30</t>
  </si>
  <si>
    <t>2018cthar_qm31</t>
  </si>
  <si>
    <t>2018cthar_qm32</t>
  </si>
  <si>
    <t>2018cthar_qm33</t>
  </si>
  <si>
    <t>2018cthar_qm34</t>
  </si>
  <si>
    <t>2018cthar_qm35</t>
  </si>
  <si>
    <t>20</t>
  </si>
  <si>
    <t>370</t>
  </si>
  <si>
    <t>375</t>
  </si>
  <si>
    <t>290</t>
  </si>
  <si>
    <t>305</t>
  </si>
  <si>
    <t>Force2, Boost1, Levitate</t>
  </si>
  <si>
    <t>Kinda went all over the place and didn't know what to do</t>
  </si>
  <si>
    <t>Force1, Levitate</t>
  </si>
  <si>
    <t>Very fast and good at switch</t>
  </si>
  <si>
    <t xml:space="preserve">Jerky and hands aren’t secure </t>
  </si>
  <si>
    <t xml:space="preserve">We’re getting block the whole time </t>
  </si>
  <si>
    <t>Dropped one cube for the scale</t>
  </si>
  <si>
    <t>Great climb</t>
  </si>
  <si>
    <t>Double climb!!</t>
  </si>
  <si>
    <t xml:space="preserve">This robot stopped working </t>
  </si>
  <si>
    <t>Double scale-auto</t>
  </si>
  <si>
    <t>Autonomous missed; almost fell over</t>
  </si>
  <si>
    <t>Seems like something is wrong with robot</t>
  </si>
  <si>
    <t>Really good at picking up cubes</t>
  </si>
  <si>
    <t>Boost1, Boost2, Boost3, Levitate</t>
  </si>
  <si>
    <t>Slow going around field. Has trouble picking up cubes sometimes. Attempted to climb but was very slow</t>
  </si>
  <si>
    <t>Really fast exchange bot</t>
  </si>
  <si>
    <t>Force1, Force2, Force3, Boost1, Boost2, Boost3, Levitate</t>
  </si>
  <si>
    <t>Fast Bois. Live love Chris. Gud team</t>
  </si>
  <si>
    <t>Really fast driving</t>
  </si>
  <si>
    <t xml:space="preserve">Actually 9 cubes for exchange. </t>
  </si>
  <si>
    <t xml:space="preserve">Stopped during match </t>
  </si>
  <si>
    <t>Had suction cup to grab the cubes that never worked</t>
  </si>
  <si>
    <t>Force3, Boost2, Levitate</t>
  </si>
  <si>
    <t>My best friends did amazing :)</t>
  </si>
  <si>
    <t>Extremely fast robot</t>
  </si>
  <si>
    <t>Force1, Force2, Boost1, Boost2, Boost3, Levitate</t>
  </si>
  <si>
    <t>They got a cube into the switch by bumping into the pile lol</t>
  </si>
  <si>
    <t>Stopped at the end of the match</t>
  </si>
  <si>
    <t>Robot stop working</t>
  </si>
  <si>
    <t>Very bad</t>
  </si>
  <si>
    <t>Rough match. Couldnt control the robot when it came time to climb. Kept missing the switch. Auto switch missed</t>
  </si>
  <si>
    <t>Force2</t>
  </si>
  <si>
    <t>No drivers?</t>
  </si>
  <si>
    <t>Not a fast exchange bot</t>
  </si>
  <si>
    <t>Choppy driving. Soooo close to getting the climb</t>
  </si>
  <si>
    <t>Auto Missed; THEY DIDN'T CLIMB BUT I STILL LOVE IT SO MUCH!!!</t>
  </si>
  <si>
    <t>Better turns</t>
  </si>
  <si>
    <t xml:space="preserve">Slow </t>
  </si>
  <si>
    <t>Force1, Boost1, Boost2, Boost3, Levitate</t>
  </si>
  <si>
    <t>Spicy</t>
  </si>
  <si>
    <t>2 cube auto. Yes Chris I believed in you!!</t>
  </si>
  <si>
    <t>2018cthar_qm36</t>
  </si>
  <si>
    <t>2018cthar_qm37</t>
  </si>
  <si>
    <t>2018cthar_qm38</t>
  </si>
  <si>
    <t>2018cthar_qm39</t>
  </si>
  <si>
    <t>2018cthar_qm40</t>
  </si>
  <si>
    <t>2018cthar_qm41</t>
  </si>
  <si>
    <t>2018cthar_qm42</t>
  </si>
  <si>
    <t>2018cthar_qm43</t>
  </si>
  <si>
    <t>2018cthar_qm44</t>
  </si>
  <si>
    <t>2018cthar_qm45</t>
  </si>
  <si>
    <t>2018cthar_qm46</t>
  </si>
  <si>
    <t>2018cthar_qm47</t>
  </si>
  <si>
    <t>2018cthar_qm48</t>
  </si>
  <si>
    <t>2018cthar_qm49</t>
  </si>
  <si>
    <t>2018cthar_qm50</t>
  </si>
  <si>
    <t>22</t>
  </si>
  <si>
    <t>325</t>
  </si>
  <si>
    <t>330</t>
  </si>
  <si>
    <t>315</t>
  </si>
  <si>
    <t>THE CLIMB IS BEATIFUL BUT INCONSISTENT</t>
  </si>
  <si>
    <t>Actually 8 cubes in exchange</t>
  </si>
  <si>
    <t>Learning curve with the exchange</t>
  </si>
  <si>
    <t xml:space="preserve">Auto exchange. Ran out of time to climb </t>
  </si>
  <si>
    <t>Force1, Boost2, Levitate</t>
  </si>
  <si>
    <t>Force1, Force2, Force3, Levitate</t>
  </si>
  <si>
    <t>Disabled 2 minutes in</t>
  </si>
  <si>
    <t>I mean, they're okay at driving</t>
  </si>
  <si>
    <t>3 penalties</t>
  </si>
  <si>
    <t>Played defense this match</t>
  </si>
  <si>
    <t>Force1, Boost3</t>
  </si>
  <si>
    <t>2018cthar_qm51</t>
  </si>
  <si>
    <t>2018cthar_qm52</t>
  </si>
  <si>
    <t>2018cthar_qm53</t>
  </si>
  <si>
    <t>2018cthar_qm54</t>
  </si>
  <si>
    <t>Boost1, Boost2, Levitate</t>
  </si>
  <si>
    <t>2018cthar_qm55</t>
  </si>
  <si>
    <t>280</t>
  </si>
  <si>
    <t>285</t>
  </si>
  <si>
    <t>470</t>
  </si>
  <si>
    <t>24</t>
  </si>
  <si>
    <t>585</t>
  </si>
  <si>
    <t>18</t>
  </si>
  <si>
    <t>420</t>
  </si>
  <si>
    <t>550</t>
  </si>
  <si>
    <t>505</t>
  </si>
  <si>
    <t>480</t>
  </si>
  <si>
    <t>380</t>
  </si>
  <si>
    <t>Climbed and assisted and got another cube in auto</t>
  </si>
  <si>
    <t>Weak Grip.</t>
  </si>
  <si>
    <t xml:space="preserve">Could not pick up cubes </t>
  </si>
  <si>
    <t>Auto missed; robot has HELLA SHAKES</t>
  </si>
  <si>
    <t xml:space="preserve">Another bot attached to its back and also climbed </t>
  </si>
  <si>
    <t>Cube mechanism doesn’t hold</t>
  </si>
  <si>
    <t>Good really good</t>
  </si>
  <si>
    <t xml:space="preserve">Didn’t. Do. Anything. </t>
  </si>
  <si>
    <t xml:space="preserve">Shaky robot </t>
  </si>
  <si>
    <t xml:space="preserve">Died toward the end </t>
  </si>
  <si>
    <t>2018cthar_qm56</t>
  </si>
  <si>
    <t>2018cthar_qm57</t>
  </si>
  <si>
    <t>2018cthar_qm58</t>
  </si>
  <si>
    <t>2018cthar_qm59</t>
  </si>
  <si>
    <t>2018cthar_qm60</t>
  </si>
  <si>
    <t>27</t>
  </si>
  <si>
    <t>345</t>
  </si>
  <si>
    <t>308</t>
  </si>
  <si>
    <t>395</t>
  </si>
  <si>
    <t>35</t>
  </si>
  <si>
    <t>28</t>
  </si>
  <si>
    <t>570</t>
  </si>
  <si>
    <t>2075</t>
  </si>
  <si>
    <t>400</t>
  </si>
  <si>
    <t>605</t>
  </si>
  <si>
    <t>23</t>
  </si>
  <si>
    <t>660</t>
  </si>
  <si>
    <t>348</t>
  </si>
  <si>
    <t>415</t>
  </si>
  <si>
    <t>275</t>
  </si>
  <si>
    <t>312</t>
  </si>
  <si>
    <t>545</t>
  </si>
  <si>
    <t>15</t>
  </si>
  <si>
    <t>410</t>
  </si>
  <si>
    <t>635</t>
  </si>
  <si>
    <t>640</t>
  </si>
  <si>
    <t>500</t>
  </si>
  <si>
    <t>525</t>
  </si>
  <si>
    <t>333</t>
  </si>
  <si>
    <t>490</t>
  </si>
  <si>
    <t>297</t>
  </si>
  <si>
    <t>Auto cube in exchange as well as the switch</t>
  </si>
  <si>
    <t xml:space="preserve">Good with switch </t>
  </si>
  <si>
    <t>Climb was AMAZINGGGGGG</t>
  </si>
  <si>
    <t xml:space="preserve">9 in exchange </t>
  </si>
  <si>
    <t>They dropped two cubes</t>
  </si>
  <si>
    <t>Auto switch missed</t>
  </si>
  <si>
    <t>Great with switch and scale</t>
  </si>
  <si>
    <t>They dropped a cube so that it landed on them self so they couldn’t pick anymore cubes</t>
  </si>
  <si>
    <t>9 cubes in exchange</t>
  </si>
  <si>
    <t>They dropped a cube</t>
  </si>
  <si>
    <t xml:space="preserve">Fast, amazing at scale and switch and good with vault </t>
  </si>
  <si>
    <t xml:space="preserve">They have trouble picking up cubes </t>
  </si>
  <si>
    <t xml:space="preserve">2 cube auto. Inconsistent shooting mechanism </t>
  </si>
  <si>
    <t>Good with scale</t>
  </si>
  <si>
    <t xml:space="preserve">They dropped a cube during autonomous </t>
  </si>
  <si>
    <t>Robot didnt go out on the field</t>
  </si>
  <si>
    <t>2752</t>
  </si>
  <si>
    <t>26</t>
  </si>
  <si>
    <t>2.1600000000000001</t>
  </si>
  <si>
    <t>2971</t>
  </si>
  <si>
    <t>2.25</t>
  </si>
  <si>
    <t>481</t>
  </si>
  <si>
    <t>2978</t>
  </si>
  <si>
    <t>560</t>
  </si>
  <si>
    <t>31</t>
  </si>
  <si>
    <t>2.5800000000000001</t>
  </si>
  <si>
    <t>377</t>
  </si>
  <si>
    <t>2921</t>
  </si>
  <si>
    <t>845</t>
  </si>
  <si>
    <t>2.9100000000000001</t>
  </si>
  <si>
    <t>2473</t>
  </si>
  <si>
    <t>755</t>
  </si>
  <si>
    <t>1.6599999999999999</t>
  </si>
  <si>
    <t>398</t>
  </si>
  <si>
    <t>3051</t>
  </si>
  <si>
    <t>365</t>
  </si>
  <si>
    <t>535</t>
  </si>
  <si>
    <t>25</t>
  </si>
  <si>
    <t>2.0800000000000001</t>
  </si>
  <si>
    <t>450</t>
  </si>
  <si>
    <t>452</t>
  </si>
  <si>
    <t>3187</t>
  </si>
  <si>
    <t>740</t>
  </si>
  <si>
    <t>34</t>
  </si>
  <si>
    <t>2.8300000000000001</t>
  </si>
  <si>
    <t>413</t>
  </si>
  <si>
    <t>2351</t>
  </si>
  <si>
    <t>1.9099999999999999</t>
  </si>
  <si>
    <t>422</t>
  </si>
  <si>
    <t>2539</t>
  </si>
  <si>
    <t>445</t>
  </si>
  <si>
    <t>735</t>
  </si>
  <si>
    <t>2.3300000000000001</t>
  </si>
  <si>
    <t>369</t>
  </si>
  <si>
    <t>2352</t>
  </si>
  <si>
    <t>342</t>
  </si>
  <si>
    <t>2491</t>
  </si>
  <si>
    <t>725</t>
  </si>
  <si>
    <t>2818</t>
  </si>
  <si>
    <t>580</t>
  </si>
  <si>
    <t>11</t>
  </si>
  <si>
    <t>1</t>
  </si>
  <si>
    <t>337</t>
  </si>
  <si>
    <t>2252</t>
  </si>
  <si>
    <t>1.3300000000000001</t>
  </si>
  <si>
    <t>254</t>
  </si>
  <si>
    <t>1492</t>
  </si>
  <si>
    <t>245</t>
  </si>
  <si>
    <t>0.75</t>
  </si>
  <si>
    <t>331</t>
  </si>
  <si>
    <t>2028</t>
  </si>
  <si>
    <t>1.8300000000000001</t>
  </si>
  <si>
    <t>388</t>
  </si>
  <si>
    <t>2411</t>
  </si>
  <si>
    <t>467</t>
  </si>
  <si>
    <t>2858</t>
  </si>
  <si>
    <t>690</t>
  </si>
  <si>
    <t>32</t>
  </si>
  <si>
    <t>2.6600000000000001</t>
  </si>
  <si>
    <t>1799</t>
  </si>
  <si>
    <t>600</t>
  </si>
  <si>
    <t>1.4099999999999999</t>
  </si>
  <si>
    <t>392</t>
  </si>
  <si>
    <t>2495</t>
  </si>
  <si>
    <t>750</t>
  </si>
  <si>
    <t>2017</t>
  </si>
  <si>
    <t>2106</t>
  </si>
  <si>
    <t>645</t>
  </si>
  <si>
    <t>374</t>
  </si>
  <si>
    <t>2426</t>
  </si>
  <si>
    <t>350</t>
  </si>
  <si>
    <t>327</t>
  </si>
  <si>
    <t>1798</t>
  </si>
  <si>
    <t>540</t>
  </si>
  <si>
    <t>1.5</t>
  </si>
  <si>
    <t>336</t>
  </si>
  <si>
    <t>2044</t>
  </si>
  <si>
    <t>565</t>
  </si>
  <si>
    <t>1.25</t>
  </si>
  <si>
    <t>1816</t>
  </si>
  <si>
    <t>304</t>
  </si>
  <si>
    <t>401</t>
  </si>
  <si>
    <t>2566</t>
  </si>
  <si>
    <t>321</t>
  </si>
  <si>
    <t>2214</t>
  </si>
  <si>
    <t>329</t>
  </si>
  <si>
    <t>1764</t>
  </si>
  <si>
    <t>530</t>
  </si>
  <si>
    <t>0.91000000000000003</t>
  </si>
  <si>
    <t>396</t>
  </si>
  <si>
    <t>2243</t>
  </si>
  <si>
    <t>287</t>
  </si>
  <si>
    <t>1318</t>
  </si>
  <si>
    <t>278</t>
  </si>
  <si>
    <t>1730</t>
  </si>
  <si>
    <t>1.1599999999999999</t>
  </si>
  <si>
    <t>279</t>
  </si>
  <si>
    <t>1640</t>
  </si>
  <si>
    <t>2530</t>
  </si>
  <si>
    <t>307</t>
  </si>
  <si>
    <t>2034</t>
  </si>
  <si>
    <t>Fast on switch</t>
  </si>
  <si>
    <t>They are doing much better</t>
  </si>
  <si>
    <t>Auto exchange. Knocked some cubes off scale</t>
  </si>
  <si>
    <t>Hey struggle with cubes</t>
  </si>
  <si>
    <t>Robot wasn’t on the field</t>
  </si>
  <si>
    <t>Great at switch!!!!</t>
  </si>
  <si>
    <t>They were slow and struggled with cubes</t>
  </si>
  <si>
    <t xml:space="preserve">They stopped working </t>
  </si>
  <si>
    <t>Auto exchange</t>
  </si>
  <si>
    <t>Tried to climb but was too slow</t>
  </si>
  <si>
    <t>They are fast</t>
  </si>
  <si>
    <t>SO GOOD</t>
  </si>
  <si>
    <t xml:space="preserve">They dropped two cubes </t>
  </si>
  <si>
    <t>Climb was so close but a second to slow</t>
  </si>
  <si>
    <t xml:space="preserve">Had three cubes in auto scale </t>
  </si>
  <si>
    <t>2018cthar_qm61</t>
  </si>
  <si>
    <t>2018cthar_qm62</t>
  </si>
  <si>
    <t>2018cthar_qm63</t>
  </si>
  <si>
    <t>2018cthar_qm64</t>
  </si>
  <si>
    <t>2018cthar_qm65</t>
  </si>
  <si>
    <t>2018cthar_qm66</t>
  </si>
  <si>
    <t>2018cthar_qm67</t>
  </si>
  <si>
    <t>2018cthar_qm68</t>
  </si>
  <si>
    <t>2018cthar_qm69</t>
  </si>
  <si>
    <t>2018cthar_qm70</t>
  </si>
  <si>
    <t>2018cthar_qm71</t>
  </si>
  <si>
    <t>2018cthar_qm72</t>
  </si>
  <si>
    <t>2018cthar_qm73</t>
  </si>
  <si>
    <t>2018cthar_qm74</t>
  </si>
  <si>
    <t>2018cthar_qm75</t>
  </si>
  <si>
    <t>2018cthar_qm76</t>
  </si>
  <si>
    <t>2018cthar_qm77</t>
  </si>
  <si>
    <t>United Technologies Aerospace Systems - Space Systems&amp;Enfield High School</t>
  </si>
  <si>
    <t>SpaceFitters/Argosy Foundation&amp;East Catholic High School</t>
  </si>
  <si>
    <t>432</t>
  </si>
  <si>
    <t>1988</t>
  </si>
  <si>
    <t>465</t>
  </si>
  <si>
    <t>3558</t>
  </si>
  <si>
    <t>830</t>
  </si>
  <si>
    <t>41</t>
  </si>
  <si>
    <t>3.4100000000000001</t>
  </si>
  <si>
    <t>1784</t>
  </si>
  <si>
    <t>314</t>
  </si>
  <si>
    <t>2562</t>
  </si>
  <si>
    <t>745</t>
  </si>
  <si>
    <t>343</t>
  </si>
  <si>
    <t>2345</t>
  </si>
  <si>
    <t>610</t>
  </si>
  <si>
    <t>1994</t>
  </si>
  <si>
    <t>13</t>
  </si>
  <si>
    <t>1.0800000000000001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</si>
</sst>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23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24"/>
      <color theme="1"/>
      <name val="Century Gothic"/>
      <family val="2"/>
    </font>
    <font>
      <sz val="20"/>
      <color theme="1"/>
      <name val="Calibri"/>
      <family val="2"/>
      <scheme val="minor"/>
    </font>
    <font>
      <b/>
      <sz val="18"/>
      <color theme="1"/>
      <name val="Centuty gothic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entury Gothic"/>
      <family val="2"/>
    </font>
    <font>
      <i/>
      <u/>
      <sz val="11"/>
      <color theme="1"/>
      <name val="Calibri"/>
      <family val="2"/>
      <scheme val="minor"/>
    </font>
    <font>
      <sz val="11"/>
      <color theme="2" tint="-0.2499465926084170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entury Gothic"/>
      <family val="2"/>
    </font>
    <font>
      <sz val="12"/>
      <color theme="1"/>
      <name val="Calibri"/>
      <family val="2"/>
      <scheme val="minor"/>
    </font>
    <font>
      <b/>
      <sz val="14"/>
      <color theme="1"/>
      <name val="Century Gothic"/>
      <family val="2"/>
    </font>
    <font>
      <sz val="11"/>
      <color theme="2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66CCFF"/>
        <bgColor indexed="64"/>
      </patternFill>
    </fill>
  </fills>
  <borders count="7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3">
    <xf numFmtId="0" fontId="0" fillId="0" borderId="0"/>
    <xf numFmtId="2" fontId="13" fillId="0" borderId="24" applyBorder="0">
      <alignment horizontal="center" vertical="center"/>
    </xf>
    <xf numFmtId="0" fontId="17" fillId="0" borderId="0" applyNumberFormat="0" applyFill="0" applyBorder="0" applyAlignment="0" applyProtection="0"/>
  </cellStyleXfs>
  <cellXfs count="378">
    <xf numFmtId="0" fontId="0" fillId="0" borderId="0" xfId="0"/>
    <xf numFmtId="22" fontId="0" fillId="0" borderId="0" xfId="0" applyNumberFormat="1"/>
    <xf numFmtId="0" fontId="0" fillId="0" borderId="0" xfId="0" applyNumberForma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/>
    <xf numFmtId="0" fontId="0" fillId="0" borderId="4" xfId="0" applyBorder="1"/>
    <xf numFmtId="0" fontId="0" fillId="0" borderId="5" xfId="0" applyBorder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2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9" xfId="0" applyNumberFormat="1" applyBorder="1"/>
    <xf numFmtId="2" fontId="0" fillId="0" borderId="10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2" fontId="0" fillId="0" borderId="12" xfId="0" applyNumberFormat="1" applyBorder="1"/>
    <xf numFmtId="0" fontId="0" fillId="0" borderId="13" xfId="0" applyBorder="1"/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0" borderId="35" xfId="0" applyNumberFormat="1" applyBorder="1" applyAlignment="1">
      <alignment horizontal="center" vertical="center"/>
    </xf>
    <xf numFmtId="2" fontId="0" fillId="0" borderId="36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0" fontId="2" fillId="0" borderId="16" xfId="0" applyNumberFormat="1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38" xfId="0" applyNumberFormat="1" applyBorder="1" applyAlignment="1">
      <alignment horizontal="center" vertical="center"/>
    </xf>
    <xf numFmtId="2" fontId="0" fillId="0" borderId="39" xfId="0" applyNumberForma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12" fillId="3" borderId="16" xfId="0" applyFont="1" applyFill="1" applyBorder="1" applyAlignment="1">
      <alignment vertical="center" wrapText="1"/>
    </xf>
    <xf numFmtId="0" fontId="3" fillId="3" borderId="20" xfId="0" applyFont="1" applyFill="1" applyBorder="1" applyAlignment="1">
      <alignment vertical="center" wrapText="1"/>
    </xf>
    <xf numFmtId="0" fontId="0" fillId="2" borderId="16" xfId="0" applyFill="1" applyBorder="1" applyAlignment="1">
      <alignment horizontal="center" vertical="center" wrapText="1"/>
    </xf>
    <xf numFmtId="0" fontId="12" fillId="2" borderId="16" xfId="0" applyFont="1" applyFill="1" applyBorder="1" applyAlignment="1">
      <alignment vertical="center" wrapText="1"/>
    </xf>
    <xf numFmtId="0" fontId="3" fillId="2" borderId="20" xfId="0" applyFont="1" applyFill="1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2" fontId="0" fillId="0" borderId="4" xfId="0" applyNumberForma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5" fillId="0" borderId="16" xfId="0" applyFont="1" applyBorder="1" applyAlignment="1" applyProtection="1">
      <alignment horizontal="center" vertical="center"/>
      <protection locked="0"/>
    </xf>
    <xf numFmtId="0" fontId="14" fillId="0" borderId="16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2" fontId="0" fillId="0" borderId="5" xfId="0" applyNumberFormat="1" applyBorder="1" applyAlignment="1">
      <alignment vertical="center"/>
    </xf>
    <xf numFmtId="1" fontId="0" fillId="3" borderId="5" xfId="0" applyNumberFormat="1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2" fillId="0" borderId="16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16" xfId="0" applyFont="1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1" fontId="0" fillId="0" borderId="53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6" xfId="0" applyNumberFormat="1" applyBorder="1" applyAlignment="1">
      <alignment vertical="center"/>
    </xf>
    <xf numFmtId="2" fontId="0" fillId="0" borderId="7" xfId="0" applyNumberFormat="1" applyBorder="1" applyAlignment="1">
      <alignment vertical="center"/>
    </xf>
    <xf numFmtId="2" fontId="0" fillId="0" borderId="8" xfId="0" applyNumberFormat="1" applyBorder="1" applyAlignment="1">
      <alignment vertical="center"/>
    </xf>
    <xf numFmtId="2" fontId="0" fillId="0" borderId="9" xfId="0" applyNumberFormat="1" applyBorder="1" applyAlignment="1">
      <alignment vertical="center"/>
    </xf>
    <xf numFmtId="2" fontId="0" fillId="0" borderId="10" xfId="0" applyNumberFormat="1" applyBorder="1" applyAlignment="1">
      <alignment vertical="center"/>
    </xf>
    <xf numFmtId="1" fontId="0" fillId="0" borderId="49" xfId="0" applyNumberFormat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47" xfId="0" applyFill="1" applyBorder="1"/>
    <xf numFmtId="0" fontId="0" fillId="0" borderId="0" xfId="0" applyFill="1" applyBorder="1"/>
    <xf numFmtId="49" fontId="0" fillId="0" borderId="0" xfId="0" applyNumberFormat="1"/>
    <xf numFmtId="0" fontId="4" fillId="0" borderId="20" xfId="0" applyFont="1" applyBorder="1" applyAlignment="1">
      <alignment vertical="center"/>
    </xf>
    <xf numFmtId="0" fontId="0" fillId="0" borderId="18" xfId="0" applyBorder="1"/>
    <xf numFmtId="0" fontId="0" fillId="0" borderId="20" xfId="0" applyBorder="1"/>
    <xf numFmtId="0" fontId="0" fillId="0" borderId="16" xfId="0" applyFill="1" applyBorder="1"/>
    <xf numFmtId="0" fontId="0" fillId="0" borderId="32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18" xfId="0" applyFill="1" applyBorder="1"/>
    <xf numFmtId="0" fontId="0" fillId="0" borderId="20" xfId="0" applyFill="1" applyBorder="1"/>
    <xf numFmtId="0" fontId="0" fillId="0" borderId="33" xfId="0" applyBorder="1"/>
    <xf numFmtId="0" fontId="0" fillId="0" borderId="0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7" fillId="0" borderId="0" xfId="2"/>
    <xf numFmtId="1" fontId="0" fillId="0" borderId="55" xfId="0" applyNumberFormat="1" applyBorder="1" applyAlignment="1">
      <alignment horizontal="center" vertical="center"/>
    </xf>
    <xf numFmtId="2" fontId="0" fillId="0" borderId="54" xfId="0" applyNumberFormat="1" applyBorder="1" applyAlignment="1">
      <alignment vertical="center"/>
    </xf>
    <xf numFmtId="2" fontId="0" fillId="0" borderId="51" xfId="0" applyNumberFormat="1" applyBorder="1" applyAlignment="1">
      <alignment vertical="center"/>
    </xf>
    <xf numFmtId="2" fontId="0" fillId="0" borderId="52" xfId="0" applyNumberFormat="1" applyBorder="1" applyAlignment="1">
      <alignment vertical="center"/>
    </xf>
    <xf numFmtId="1" fontId="0" fillId="0" borderId="56" xfId="0" applyNumberFormat="1" applyBorder="1" applyAlignment="1">
      <alignment horizontal="center" vertical="center"/>
    </xf>
    <xf numFmtId="2" fontId="0" fillId="0" borderId="17" xfId="0" applyNumberFormat="1" applyBorder="1" applyAlignment="1">
      <alignment vertical="center"/>
    </xf>
    <xf numFmtId="2" fontId="0" fillId="0" borderId="4" xfId="0" applyNumberFormat="1" applyBorder="1" applyAlignment="1">
      <alignment vertical="center"/>
    </xf>
    <xf numFmtId="2" fontId="0" fillId="0" borderId="21" xfId="0" applyNumberFormat="1" applyBorder="1" applyAlignment="1">
      <alignment vertical="center"/>
    </xf>
    <xf numFmtId="2" fontId="0" fillId="0" borderId="11" xfId="0" applyNumberFormat="1" applyBorder="1" applyAlignment="1">
      <alignment vertical="center"/>
    </xf>
    <xf numFmtId="2" fontId="0" fillId="0" borderId="12" xfId="0" applyNumberFormat="1" applyBorder="1" applyAlignment="1">
      <alignment vertical="center"/>
    </xf>
    <xf numFmtId="2" fontId="0" fillId="0" borderId="13" xfId="0" applyNumberForma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7" borderId="57" xfId="0" applyNumberFormat="1" applyFont="1" applyFill="1" applyBorder="1"/>
    <xf numFmtId="0" fontId="0" fillId="0" borderId="57" xfId="0" applyNumberFormat="1" applyFont="1" applyBorder="1"/>
    <xf numFmtId="0" fontId="0" fillId="0" borderId="42" xfId="0" applyNumberFormat="1" applyBorder="1"/>
    <xf numFmtId="0" fontId="0" fillId="7" borderId="58" xfId="0" applyNumberFormat="1" applyFont="1" applyFill="1" applyBorder="1"/>
    <xf numFmtId="0" fontId="0" fillId="0" borderId="58" xfId="0" applyNumberFormat="1" applyFont="1" applyBorder="1"/>
    <xf numFmtId="0" fontId="0" fillId="0" borderId="59" xfId="0" applyNumberFormat="1" applyFont="1" applyBorder="1"/>
    <xf numFmtId="0" fontId="0" fillId="7" borderId="60" xfId="0" applyNumberFormat="1" applyFont="1" applyFill="1" applyBorder="1"/>
    <xf numFmtId="0" fontId="0" fillId="0" borderId="19" xfId="0" applyFill="1" applyBorder="1"/>
    <xf numFmtId="0" fontId="0" fillId="7" borderId="59" xfId="0" applyNumberFormat="1" applyFont="1" applyFill="1" applyBorder="1"/>
    <xf numFmtId="0" fontId="0" fillId="0" borderId="44" xfId="0" applyNumberFormat="1" applyBorder="1"/>
    <xf numFmtId="0" fontId="0" fillId="7" borderId="34" xfId="0" applyNumberFormat="1" applyFont="1" applyFill="1" applyBorder="1"/>
    <xf numFmtId="0" fontId="0" fillId="0" borderId="42" xfId="0" applyNumberFormat="1" applyFont="1" applyBorder="1"/>
    <xf numFmtId="0" fontId="0" fillId="7" borderId="42" xfId="0" applyNumberFormat="1" applyFont="1" applyFill="1" applyBorder="1"/>
    <xf numFmtId="0" fontId="0" fillId="0" borderId="44" xfId="0" applyNumberFormat="1" applyFont="1" applyBorder="1"/>
    <xf numFmtId="0" fontId="0" fillId="7" borderId="61" xfId="0" applyNumberFormat="1" applyFont="1" applyFill="1" applyBorder="1"/>
    <xf numFmtId="0" fontId="0" fillId="7" borderId="62" xfId="0" applyNumberFormat="1" applyFont="1" applyFill="1" applyBorder="1"/>
    <xf numFmtId="0" fontId="0" fillId="0" borderId="63" xfId="0" applyNumberFormat="1" applyFont="1" applyBorder="1"/>
    <xf numFmtId="1" fontId="0" fillId="0" borderId="14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1" fillId="0" borderId="4" xfId="0" applyNumberFormat="1" applyFont="1" applyBorder="1" applyAlignment="1">
      <alignment horizontal="center" vertical="center"/>
    </xf>
    <xf numFmtId="0" fontId="11" fillId="0" borderId="5" xfId="0" applyNumberFormat="1" applyFont="1" applyBorder="1" applyAlignment="1">
      <alignment horizontal="center" vertical="center"/>
    </xf>
    <xf numFmtId="0" fontId="11" fillId="0" borderId="5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vertical="center"/>
    </xf>
    <xf numFmtId="0" fontId="0" fillId="0" borderId="43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2" fontId="0" fillId="0" borderId="64" xfId="0" applyNumberFormat="1" applyBorder="1" applyAlignment="1">
      <alignment horizontal="center" vertical="center"/>
    </xf>
    <xf numFmtId="2" fontId="0" fillId="0" borderId="65" xfId="0" applyNumberFormat="1" applyBorder="1" applyAlignment="1">
      <alignment horizontal="center" vertical="center"/>
    </xf>
    <xf numFmtId="2" fontId="0" fillId="0" borderId="66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" fontId="0" fillId="0" borderId="71" xfId="0" applyNumberFormat="1" applyBorder="1" applyAlignment="1">
      <alignment horizontal="center" vertical="center"/>
    </xf>
    <xf numFmtId="1" fontId="0" fillId="0" borderId="72" xfId="0" applyNumberFormat="1" applyBorder="1" applyAlignment="1">
      <alignment horizontal="center" vertical="center"/>
    </xf>
    <xf numFmtId="1" fontId="0" fillId="3" borderId="67" xfId="0" applyNumberFormat="1" applyFill="1" applyBorder="1" applyAlignment="1">
      <alignment horizontal="center" vertical="center"/>
    </xf>
    <xf numFmtId="1" fontId="0" fillId="3" borderId="68" xfId="0" applyNumberFormat="1" applyFill="1" applyBorder="1" applyAlignment="1">
      <alignment horizontal="center" vertical="center"/>
    </xf>
    <xf numFmtId="1" fontId="0" fillId="3" borderId="69" xfId="0" applyNumberFormat="1" applyFill="1" applyBorder="1" applyAlignment="1">
      <alignment horizontal="center" vertical="center"/>
    </xf>
    <xf numFmtId="1" fontId="0" fillId="3" borderId="70" xfId="0" applyNumberFormat="1" applyFill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73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44" xfId="0" applyBorder="1" applyAlignment="1">
      <alignment vertical="center"/>
    </xf>
    <xf numFmtId="49" fontId="0" fillId="0" borderId="52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10" fillId="0" borderId="67" xfId="0" applyFont="1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10" fillId="3" borderId="7" xfId="0" applyFont="1" applyFill="1" applyBorder="1" applyAlignment="1">
      <alignment vertical="center" wrapText="1"/>
    </xf>
    <xf numFmtId="0" fontId="0" fillId="3" borderId="8" xfId="0" applyFill="1" applyBorder="1" applyAlignment="1">
      <alignment horizontal="center" vertical="center" wrapText="1"/>
    </xf>
    <xf numFmtId="0" fontId="10" fillId="2" borderId="7" xfId="0" applyFont="1" applyFill="1" applyBorder="1" applyAlignment="1">
      <alignment vertical="center" wrapText="1"/>
    </xf>
    <xf numFmtId="0" fontId="0" fillId="2" borderId="8" xfId="0" applyFill="1" applyBorder="1" applyAlignment="1">
      <alignment horizontal="center" vertical="center" wrapText="1"/>
    </xf>
    <xf numFmtId="0" fontId="0" fillId="3" borderId="24" xfId="0" applyFill="1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3" borderId="67" xfId="0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0" fillId="3" borderId="6" xfId="0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0" borderId="11" xfId="0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67" xfId="0" applyFill="1" applyBorder="1" applyAlignment="1">
      <alignment horizontal="center" vertical="center" wrapText="1"/>
    </xf>
    <xf numFmtId="0" fontId="0" fillId="2" borderId="6" xfId="0" applyFill="1" applyBorder="1" applyAlignment="1">
      <alignment vertical="center" wrapText="1"/>
    </xf>
    <xf numFmtId="0" fontId="0" fillId="2" borderId="8" xfId="0" applyFill="1" applyBorder="1" applyAlignment="1">
      <alignment vertical="center" wrapText="1"/>
    </xf>
    <xf numFmtId="0" fontId="0" fillId="2" borderId="6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7" xfId="0" applyFont="1" applyBorder="1" applyAlignment="1">
      <alignment horizontal="center" vertical="center"/>
    </xf>
    <xf numFmtId="0" fontId="20" fillId="0" borderId="68" xfId="0" applyFont="1" applyBorder="1" applyAlignment="1">
      <alignment horizontal="center" vertical="center"/>
    </xf>
    <xf numFmtId="0" fontId="20" fillId="0" borderId="74" xfId="0" applyFon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49" fontId="17" fillId="0" borderId="0" xfId="2" applyNumberFormat="1"/>
    <xf numFmtId="1" fontId="0" fillId="0" borderId="37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75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1" fontId="0" fillId="3" borderId="74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8" borderId="5" xfId="0" applyFill="1" applyBorder="1"/>
    <xf numFmtId="0" fontId="0" fillId="3" borderId="5" xfId="0" applyFill="1" applyBorder="1"/>
    <xf numFmtId="0" fontId="3" fillId="2" borderId="20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9" fillId="4" borderId="18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9" fillId="4" borderId="20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/>
    </xf>
    <xf numFmtId="0" fontId="9" fillId="4" borderId="33" xfId="0" applyFont="1" applyFill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 wrapText="1"/>
    </xf>
    <xf numFmtId="0" fontId="10" fillId="3" borderId="27" xfId="0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164" fontId="16" fillId="0" borderId="32" xfId="0" applyNumberFormat="1" applyFont="1" applyBorder="1" applyAlignment="1">
      <alignment horizontal="center" vertical="center"/>
    </xf>
    <xf numFmtId="164" fontId="16" fillId="0" borderId="33" xfId="0" applyNumberFormat="1" applyFont="1" applyBorder="1" applyAlignment="1">
      <alignment horizontal="center" vertical="center"/>
    </xf>
    <xf numFmtId="164" fontId="16" fillId="0" borderId="34" xfId="0" applyNumberFormat="1" applyFont="1" applyBorder="1" applyAlignment="1">
      <alignment horizontal="center" vertical="center"/>
    </xf>
    <xf numFmtId="164" fontId="16" fillId="0" borderId="43" xfId="0" applyNumberFormat="1" applyFont="1" applyBorder="1" applyAlignment="1">
      <alignment horizontal="center" vertical="center"/>
    </xf>
    <xf numFmtId="164" fontId="16" fillId="0" borderId="48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56" xfId="0" applyFont="1" applyBorder="1" applyAlignment="1">
      <alignment horizontal="center" vertical="center"/>
    </xf>
    <xf numFmtId="0" fontId="15" fillId="0" borderId="75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8" fillId="0" borderId="25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Style 1" xfId="1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2" tint="-9.9948118533890809E-2"/>
      </font>
    </dxf>
  </dxfs>
  <tableStyles count="0" defaultTableStyle="TableStyleMedium2" defaultPivotStyle="PivotStyleLight16"/>
  <colors>
    <mruColors>
      <color rgb="FF66CCFF"/>
      <color rgb="FF800080"/>
      <color rgb="FFC814D6"/>
      <color rgb="FFFF6600"/>
      <color rgb="FFCCFFCC"/>
      <color rgb="FFFF0066"/>
      <color rgb="FF86E8EA"/>
      <color rgb="FFF58BC3"/>
      <color rgb="FFABEB4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connections" Target="connections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62-4AA9-853C-CBC2B4A504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62-4AA9-853C-CBC2B4A504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462-4AA9-853C-CBC2B4A504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462-4AA9-853C-CBC2B4A504C7}"/>
              </c:ext>
            </c:extLst>
          </c:dPt>
          <c:cat>
            <c:strRef>
              <c:f>PitStats!$D$4:$D$7</c:f>
              <c:strCache>
                <c:ptCount val="4"/>
                <c:pt idx="0">
                  <c:v>Baseline</c:v>
                </c:pt>
                <c:pt idx="1">
                  <c:v>Switch</c:v>
                </c:pt>
                <c:pt idx="2">
                  <c:v>(blank)</c:v>
                </c:pt>
                <c:pt idx="3">
                  <c:v>None</c:v>
                </c:pt>
              </c:strCache>
            </c:strRef>
          </c:cat>
          <c:val>
            <c:numRef>
              <c:f>PitStats!$E$4:$E$7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3-46B7-AA93-E552891EA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PitStats1!$E$1</c:f>
              <c:strCache>
                <c:ptCount val="1"/>
                <c:pt idx="0">
                  <c:v>Count of What is your autonomous goal?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104-4554-BDB8-08A49AC13C0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104-4554-BDB8-08A49AC13C0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104-4554-BDB8-08A49AC13C0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PitStats1!$D$2:$D$4</c:f>
              <c:strCache>
                <c:ptCount val="3"/>
                <c:pt idx="0">
                  <c:v>Switch</c:v>
                </c:pt>
                <c:pt idx="1">
                  <c:v>(blank)</c:v>
                </c:pt>
                <c:pt idx="2">
                  <c:v>Baseline</c:v>
                </c:pt>
              </c:strCache>
            </c:strRef>
          </c:cat>
          <c:val>
            <c:numRef>
              <c:f>PitStats1!$E$2:$E$4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5-4043-8B47-8A87DA08703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PitStats1!$E$8</c:f>
              <c:strCache>
                <c:ptCount val="1"/>
                <c:pt idx="0">
                  <c:v>Count of What are your TeleOp cube capabilities?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C6-4B45-8C0A-35E2D58146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C6-4B45-8C0A-35E2D58146E3}"/>
              </c:ext>
            </c:extLst>
          </c:dPt>
          <c:cat>
            <c:strRef>
              <c:f>PitStats1!$D$9:$D$10</c:f>
              <c:strCache>
                <c:ptCount val="2"/>
                <c:pt idx="0">
                  <c:v>Scale</c:v>
                </c:pt>
                <c:pt idx="1">
                  <c:v>Switch</c:v>
                </c:pt>
              </c:strCache>
            </c:strRef>
          </c:cat>
          <c:val>
            <c:numRef>
              <c:f>PitStats1!$E$9:$E$10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B-47A0-8AF0-E09FEBEB9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490516667068002"/>
          <c:y val="0.462471736996237"/>
          <c:w val="0.24588793373305401"/>
          <c:h val="0.369757960224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PitStats1!$E$15</c:f>
              <c:strCache>
                <c:ptCount val="1"/>
                <c:pt idx="0">
                  <c:v>Count of What is your climb mechanism?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E3-4937-919F-536753BF1B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E3-4937-919F-536753BF1B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E3-4937-919F-536753BF1B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PitStats1!$D$16:$D$18</c:f>
              <c:strCache>
                <c:ptCount val="3"/>
                <c:pt idx="0">
                  <c:v>Climb on own</c:v>
                </c:pt>
                <c:pt idx="1">
                  <c:v>None</c:v>
                </c:pt>
                <c:pt idx="2">
                  <c:v>(blank)</c:v>
                </c:pt>
              </c:strCache>
            </c:strRef>
          </c:cat>
          <c:val>
            <c:numRef>
              <c:f>PitStats1!$E$16:$E$18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16-4BD4-9294-B86DEFFBB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7.9229853571714595E-2"/>
          <c:y val="3.755869337995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PitStats1!$E$38</c:f>
              <c:strCache>
                <c:ptCount val="1"/>
                <c:pt idx="0">
                  <c:v>Count of How many drive CIM motors do you have?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FD-495F-A75E-6D0F27CEA6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FD-495F-A75E-6D0F27CEA6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8FD-495F-A75E-6D0F27CEA613}"/>
              </c:ext>
            </c:extLst>
          </c:dPt>
          <c:cat>
            <c:strRef>
              <c:f>PitStats1!$D$39:$D$41</c:f>
              <c:strCache>
                <c:ptCount val="3"/>
                <c:pt idx="0">
                  <c:v>4</c:v>
                </c:pt>
                <c:pt idx="1">
                  <c:v>6</c:v>
                </c:pt>
                <c:pt idx="2">
                  <c:v>(blank)</c:v>
                </c:pt>
              </c:strCache>
            </c:strRef>
          </c:cat>
          <c:val>
            <c:numRef>
              <c:f>PitStats1!$E$39:$E$41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6-4512-86BE-386E63B4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120316</xdr:colOff>
      <xdr:row>1</xdr:row>
      <xdr:rowOff>20053</xdr:rowOff>
    </xdr:from>
    <xdr:to>
      <xdr:col>2</xdr:col>
      <xdr:colOff>491290</xdr:colOff>
      <xdr:row>1</xdr:row>
      <xdr:rowOff>391027</xdr:rowOff>
    </xdr:to>
    <xdr:sp macro="[0]!AutoBaselineSort" textlink="">
      <xdr:nvSpPr>
        <xdr:cNvPr id="2" name="6-Point Star 1"/>
        <xdr:cNvSpPr/>
      </xdr:nvSpPr>
      <xdr:spPr>
        <a:xfrm>
          <a:off x="731921" y="220579"/>
          <a:ext cx="370974" cy="370974"/>
        </a:xfrm>
        <a:prstGeom prst="star6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130342</xdr:colOff>
      <xdr:row>1</xdr:row>
      <xdr:rowOff>20052</xdr:rowOff>
    </xdr:from>
    <xdr:to>
      <xdr:col>3</xdr:col>
      <xdr:colOff>501316</xdr:colOff>
      <xdr:row>1</xdr:row>
      <xdr:rowOff>391026</xdr:rowOff>
    </xdr:to>
    <xdr:sp macro="[0]!AutoSwitchSort" textlink="">
      <xdr:nvSpPr>
        <xdr:cNvPr id="4" name="6-Point Star 3"/>
        <xdr:cNvSpPr/>
      </xdr:nvSpPr>
      <xdr:spPr>
        <a:xfrm>
          <a:off x="1353553" y="220578"/>
          <a:ext cx="370974" cy="370974"/>
        </a:xfrm>
        <a:prstGeom prst="star6">
          <a:avLst/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120316</xdr:colOff>
      <xdr:row>1</xdr:row>
      <xdr:rowOff>10025</xdr:rowOff>
    </xdr:from>
    <xdr:to>
      <xdr:col>4</xdr:col>
      <xdr:colOff>491290</xdr:colOff>
      <xdr:row>1</xdr:row>
      <xdr:rowOff>380999</xdr:rowOff>
    </xdr:to>
    <xdr:sp macro="[0]!AutoScaleSort" textlink="">
      <xdr:nvSpPr>
        <xdr:cNvPr id="5" name="6-Point Star 4"/>
        <xdr:cNvSpPr/>
      </xdr:nvSpPr>
      <xdr:spPr>
        <a:xfrm>
          <a:off x="1955132" y="210551"/>
          <a:ext cx="370974" cy="370974"/>
        </a:xfrm>
        <a:prstGeom prst="star6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220579</xdr:colOff>
      <xdr:row>1</xdr:row>
      <xdr:rowOff>20053</xdr:rowOff>
    </xdr:from>
    <xdr:to>
      <xdr:col>5</xdr:col>
      <xdr:colOff>591553</xdr:colOff>
      <xdr:row>1</xdr:row>
      <xdr:rowOff>391027</xdr:rowOff>
    </xdr:to>
    <xdr:sp macro="[0]!TeleOpOwnSwitchSort" textlink="">
      <xdr:nvSpPr>
        <xdr:cNvPr id="6" name="6-Point Star 5"/>
        <xdr:cNvSpPr/>
      </xdr:nvSpPr>
      <xdr:spPr>
        <a:xfrm>
          <a:off x="2667000" y="220579"/>
          <a:ext cx="370974" cy="370974"/>
        </a:xfrm>
        <a:prstGeom prst="star6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234803</xdr:colOff>
      <xdr:row>1</xdr:row>
      <xdr:rowOff>20053</xdr:rowOff>
    </xdr:from>
    <xdr:to>
      <xdr:col>6</xdr:col>
      <xdr:colOff>605777</xdr:colOff>
      <xdr:row>1</xdr:row>
      <xdr:rowOff>391027</xdr:rowOff>
    </xdr:to>
    <xdr:sp macro="[0]!TeleOpOtherSwitchSort" textlink="">
      <xdr:nvSpPr>
        <xdr:cNvPr id="7" name="6-Point Star 6"/>
        <xdr:cNvSpPr/>
      </xdr:nvSpPr>
      <xdr:spPr>
        <a:xfrm>
          <a:off x="3657158" y="263716"/>
          <a:ext cx="370974" cy="370974"/>
        </a:xfrm>
        <a:prstGeom prst="star6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197961</xdr:colOff>
      <xdr:row>1</xdr:row>
      <xdr:rowOff>20053</xdr:rowOff>
    </xdr:from>
    <xdr:to>
      <xdr:col>7</xdr:col>
      <xdr:colOff>568935</xdr:colOff>
      <xdr:row>1</xdr:row>
      <xdr:rowOff>391027</xdr:rowOff>
    </xdr:to>
    <xdr:sp macro="[0]!TeleOpScaleSort" textlink="">
      <xdr:nvSpPr>
        <xdr:cNvPr id="8" name="6-Point Star 7"/>
        <xdr:cNvSpPr/>
      </xdr:nvSpPr>
      <xdr:spPr>
        <a:xfrm>
          <a:off x="4517438" y="263716"/>
          <a:ext cx="370974" cy="370974"/>
        </a:xfrm>
        <a:prstGeom prst="star6">
          <a:avLst/>
        </a:prstGeom>
        <a:solidFill>
          <a:srgbClr val="86E8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298575</xdr:colOff>
      <xdr:row>1</xdr:row>
      <xdr:rowOff>20053</xdr:rowOff>
    </xdr:from>
    <xdr:to>
      <xdr:col>8</xdr:col>
      <xdr:colOff>669549</xdr:colOff>
      <xdr:row>1</xdr:row>
      <xdr:rowOff>391027</xdr:rowOff>
    </xdr:to>
    <xdr:sp macro="[0]!TeleOpPowerUpCubesSort" textlink="">
      <xdr:nvSpPr>
        <xdr:cNvPr id="9" name="6-Point Star 8"/>
        <xdr:cNvSpPr/>
      </xdr:nvSpPr>
      <xdr:spPr>
        <a:xfrm>
          <a:off x="5382267" y="263716"/>
          <a:ext cx="370974" cy="370974"/>
        </a:xfrm>
        <a:prstGeom prst="star6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54030</xdr:colOff>
      <xdr:row>1</xdr:row>
      <xdr:rowOff>84666</xdr:rowOff>
    </xdr:from>
    <xdr:to>
      <xdr:col>0</xdr:col>
      <xdr:colOff>550333</xdr:colOff>
      <xdr:row>1</xdr:row>
      <xdr:rowOff>354820</xdr:rowOff>
    </xdr:to>
    <xdr:sp macro="[0]!DisplayDashboard" textlink="">
      <xdr:nvSpPr>
        <xdr:cNvPr id="3" name="Curved Up Arrow 2"/>
        <xdr:cNvSpPr/>
      </xdr:nvSpPr>
      <xdr:spPr>
        <a:xfrm>
          <a:off x="54030" y="328083"/>
          <a:ext cx="496303" cy="270154"/>
        </a:xfrm>
        <a:prstGeom prst="curvedUpArrow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143982</xdr:colOff>
      <xdr:row>0</xdr:row>
      <xdr:rowOff>243662</xdr:rowOff>
    </xdr:from>
    <xdr:to>
      <xdr:col>9</xdr:col>
      <xdr:colOff>553779</xdr:colOff>
      <xdr:row>2</xdr:row>
      <xdr:rowOff>0</xdr:rowOff>
    </xdr:to>
    <xdr:sp macro="[0]!TeleOpClimbSort" textlink="">
      <xdr:nvSpPr>
        <xdr:cNvPr id="11" name="6-Point Star 10"/>
        <xdr:cNvSpPr/>
      </xdr:nvSpPr>
      <xdr:spPr>
        <a:xfrm>
          <a:off x="6346308" y="243662"/>
          <a:ext cx="409797" cy="409797"/>
        </a:xfrm>
        <a:prstGeom prst="star6">
          <a:avLst/>
        </a:prstGeom>
        <a:solidFill>
          <a:srgbClr val="C814D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110755</xdr:colOff>
      <xdr:row>0</xdr:row>
      <xdr:rowOff>232586</xdr:rowOff>
    </xdr:from>
    <xdr:to>
      <xdr:col>11</xdr:col>
      <xdr:colOff>553780</xdr:colOff>
      <xdr:row>1</xdr:row>
      <xdr:rowOff>398720</xdr:rowOff>
    </xdr:to>
    <xdr:sp macro="[0]!OPRsort" textlink="">
      <xdr:nvSpPr>
        <xdr:cNvPr id="12" name="6-Point Star 11"/>
        <xdr:cNvSpPr/>
      </xdr:nvSpPr>
      <xdr:spPr>
        <a:xfrm>
          <a:off x="6955464" y="232586"/>
          <a:ext cx="443025" cy="409797"/>
        </a:xfrm>
        <a:prstGeom prst="star6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199360</xdr:colOff>
      <xdr:row>1</xdr:row>
      <xdr:rowOff>0</xdr:rowOff>
    </xdr:from>
    <xdr:to>
      <xdr:col>12</xdr:col>
      <xdr:colOff>631307</xdr:colOff>
      <xdr:row>2</xdr:row>
      <xdr:rowOff>22151</xdr:rowOff>
    </xdr:to>
    <xdr:sp macro="[0]!FRCrankingsort" textlink="">
      <xdr:nvSpPr>
        <xdr:cNvPr id="13" name="6-Point Star 12"/>
        <xdr:cNvSpPr/>
      </xdr:nvSpPr>
      <xdr:spPr>
        <a:xfrm>
          <a:off x="8727558" y="243663"/>
          <a:ext cx="431947" cy="431947"/>
        </a:xfrm>
        <a:prstGeom prst="star6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99680</xdr:colOff>
      <xdr:row>1</xdr:row>
      <xdr:rowOff>0</xdr:rowOff>
    </xdr:from>
    <xdr:to>
      <xdr:col>10</xdr:col>
      <xdr:colOff>509477</xdr:colOff>
      <xdr:row>2</xdr:row>
      <xdr:rowOff>0</xdr:rowOff>
    </xdr:to>
    <xdr:sp macro="[0]!PRsort" textlink="">
      <xdr:nvSpPr>
        <xdr:cNvPr id="14" name="6-Point Star 13"/>
        <xdr:cNvSpPr/>
      </xdr:nvSpPr>
      <xdr:spPr>
        <a:xfrm>
          <a:off x="9502849" y="243663"/>
          <a:ext cx="409797" cy="409796"/>
        </a:xfrm>
        <a:prstGeom prst="star6">
          <a:avLst/>
        </a:prstGeom>
        <a:solidFill>
          <a:srgbClr val="F13DB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99681</xdr:colOff>
      <xdr:row>0</xdr:row>
      <xdr:rowOff>243662</xdr:rowOff>
    </xdr:from>
    <xdr:to>
      <xdr:col>13</xdr:col>
      <xdr:colOff>498402</xdr:colOff>
      <xdr:row>2</xdr:row>
      <xdr:rowOff>0</xdr:rowOff>
    </xdr:to>
    <xdr:sp macro="[0]!TBAautoSort" textlink="">
      <xdr:nvSpPr>
        <xdr:cNvPr id="15" name="6-Point Star 14"/>
        <xdr:cNvSpPr/>
      </xdr:nvSpPr>
      <xdr:spPr>
        <a:xfrm>
          <a:off x="9668983" y="243662"/>
          <a:ext cx="398721" cy="409797"/>
        </a:xfrm>
        <a:prstGeom prst="star6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210436</xdr:colOff>
      <xdr:row>1</xdr:row>
      <xdr:rowOff>0</xdr:rowOff>
    </xdr:from>
    <xdr:to>
      <xdr:col>14</xdr:col>
      <xdr:colOff>609157</xdr:colOff>
      <xdr:row>2</xdr:row>
      <xdr:rowOff>1</xdr:rowOff>
    </xdr:to>
    <xdr:sp macro="[0]!TBAownershipSort" textlink="">
      <xdr:nvSpPr>
        <xdr:cNvPr id="16" name="6-Point Star 15"/>
        <xdr:cNvSpPr/>
      </xdr:nvSpPr>
      <xdr:spPr>
        <a:xfrm>
          <a:off x="10854070" y="243663"/>
          <a:ext cx="398721" cy="409797"/>
        </a:xfrm>
        <a:prstGeom prst="star6">
          <a:avLst/>
        </a:prstGeom>
        <a:solidFill>
          <a:srgbClr val="ABEB4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74871</xdr:colOff>
      <xdr:row>0</xdr:row>
      <xdr:rowOff>229929</xdr:rowOff>
    </xdr:from>
    <xdr:to>
      <xdr:col>15</xdr:col>
      <xdr:colOff>473592</xdr:colOff>
      <xdr:row>1</xdr:row>
      <xdr:rowOff>396063</xdr:rowOff>
    </xdr:to>
    <xdr:sp macro="[0]!TBAvaultSort" textlink="">
      <xdr:nvSpPr>
        <xdr:cNvPr id="17" name="6-Point Star 16"/>
        <xdr:cNvSpPr/>
      </xdr:nvSpPr>
      <xdr:spPr>
        <a:xfrm>
          <a:off x="11504871" y="229929"/>
          <a:ext cx="398721" cy="409797"/>
        </a:xfrm>
        <a:prstGeom prst="star6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105440</xdr:colOff>
      <xdr:row>0</xdr:row>
      <xdr:rowOff>238347</xdr:rowOff>
    </xdr:from>
    <xdr:to>
      <xdr:col>16</xdr:col>
      <xdr:colOff>504161</xdr:colOff>
      <xdr:row>1</xdr:row>
      <xdr:rowOff>404481</xdr:rowOff>
    </xdr:to>
    <xdr:sp macro="[0]!TBAclimbSort" textlink="">
      <xdr:nvSpPr>
        <xdr:cNvPr id="18" name="6-Point Star 17"/>
        <xdr:cNvSpPr/>
      </xdr:nvSpPr>
      <xdr:spPr>
        <a:xfrm>
          <a:off x="12155673" y="238347"/>
          <a:ext cx="398721" cy="409797"/>
        </a:xfrm>
        <a:prstGeom prst="star6">
          <a:avLst/>
        </a:prstGeom>
        <a:solidFill>
          <a:srgbClr val="F58BC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84667</xdr:colOff>
      <xdr:row>1</xdr:row>
      <xdr:rowOff>0</xdr:rowOff>
    </xdr:from>
    <xdr:to>
      <xdr:col>17</xdr:col>
      <xdr:colOff>539751</xdr:colOff>
      <xdr:row>2</xdr:row>
      <xdr:rowOff>10583</xdr:rowOff>
    </xdr:to>
    <xdr:sp macro="[0]!allianceSort" textlink="">
      <xdr:nvSpPr>
        <xdr:cNvPr id="19" name="5-Point Star 18"/>
        <xdr:cNvSpPr/>
      </xdr:nvSpPr>
      <xdr:spPr>
        <a:xfrm>
          <a:off x="9810750" y="243417"/>
          <a:ext cx="455084" cy="423333"/>
        </a:xfrm>
        <a:prstGeom prst="star5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52916</xdr:colOff>
      <xdr:row>0</xdr:row>
      <xdr:rowOff>232833</xdr:rowOff>
    </xdr:from>
    <xdr:to>
      <xdr:col>18</xdr:col>
      <xdr:colOff>550333</xdr:colOff>
      <xdr:row>2</xdr:row>
      <xdr:rowOff>0</xdr:rowOff>
    </xdr:to>
    <xdr:sp macro="[0]!hideRows" textlink="">
      <xdr:nvSpPr>
        <xdr:cNvPr id="22" name="5-Point Star 21"/>
        <xdr:cNvSpPr/>
      </xdr:nvSpPr>
      <xdr:spPr>
        <a:xfrm>
          <a:off x="10424583" y="232833"/>
          <a:ext cx="497417" cy="423334"/>
        </a:xfrm>
        <a:prstGeom prst="star5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4233</xdr:colOff>
      <xdr:row>1</xdr:row>
      <xdr:rowOff>4232</xdr:rowOff>
    </xdr:from>
    <xdr:to>
      <xdr:col>19</xdr:col>
      <xdr:colOff>501650</xdr:colOff>
      <xdr:row>2</xdr:row>
      <xdr:rowOff>14816</xdr:rowOff>
    </xdr:to>
    <xdr:sp macro="[0]!unhideRows" textlink="">
      <xdr:nvSpPr>
        <xdr:cNvPr id="23" name="5-Point Star 22"/>
        <xdr:cNvSpPr/>
      </xdr:nvSpPr>
      <xdr:spPr>
        <a:xfrm>
          <a:off x="11000316" y="247649"/>
          <a:ext cx="497417" cy="423334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2</xdr:row>
      <xdr:rowOff>47624</xdr:rowOff>
    </xdr:from>
    <xdr:to>
      <xdr:col>0</xdr:col>
      <xdr:colOff>828674</xdr:colOff>
      <xdr:row>3</xdr:row>
      <xdr:rowOff>352424</xdr:rowOff>
    </xdr:to>
    <xdr:sp macro="[0]!DisplayDashboard" textlink="">
      <xdr:nvSpPr>
        <xdr:cNvPr id="3" name="Curved Right Arrow 2"/>
        <xdr:cNvSpPr/>
      </xdr:nvSpPr>
      <xdr:spPr>
        <a:xfrm>
          <a:off x="114299" y="723899"/>
          <a:ext cx="714375" cy="504825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180975</xdr:colOff>
      <xdr:row>5</xdr:row>
      <xdr:rowOff>161925</xdr:rowOff>
    </xdr:from>
    <xdr:to>
      <xdr:col>0</xdr:col>
      <xdr:colOff>914400</xdr:colOff>
      <xdr:row>8</xdr:row>
      <xdr:rowOff>333374</xdr:rowOff>
    </xdr:to>
    <xdr:sp macro="[0]!DisplaySkillRanking" textlink="">
      <xdr:nvSpPr>
        <xdr:cNvPr id="4" name="Curved Left Arrow 3"/>
        <xdr:cNvSpPr/>
      </xdr:nvSpPr>
      <xdr:spPr>
        <a:xfrm>
          <a:off x="180975" y="1628775"/>
          <a:ext cx="733425" cy="657224"/>
        </a:xfrm>
        <a:prstGeom prst="curvedLef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25400</xdr:colOff>
      <xdr:row>18</xdr:row>
      <xdr:rowOff>66675</xdr:rowOff>
    </xdr:from>
    <xdr:to>
      <xdr:col>0</xdr:col>
      <xdr:colOff>660400</xdr:colOff>
      <xdr:row>21</xdr:row>
      <xdr:rowOff>130175</xdr:rowOff>
    </xdr:to>
    <xdr:pic>
      <xdr:nvPicPr>
        <xdr:cNvPr id="6" name="avatar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1000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66675</xdr:rowOff>
    </xdr:from>
    <xdr:to>
      <xdr:col>3</xdr:col>
      <xdr:colOff>447675</xdr:colOff>
      <xdr:row>17</xdr:row>
      <xdr:rowOff>3175</xdr:rowOff>
    </xdr:to>
    <xdr:pic>
      <xdr:nvPicPr>
        <xdr:cNvPr id="7" name="botPic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5000"/>
          <a:ext cx="1651000" cy="1651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63371</xdr:colOff>
      <xdr:row>2</xdr:row>
      <xdr:rowOff>33824</xdr:rowOff>
    </xdr:from>
    <xdr:to>
      <xdr:col>14</xdr:col>
      <xdr:colOff>801461</xdr:colOff>
      <xdr:row>5</xdr:row>
      <xdr:rowOff>1360</xdr:rowOff>
    </xdr:to>
    <xdr:sp macro="[0]!DisplaySkillRanking" textlink="">
      <xdr:nvSpPr>
        <xdr:cNvPr id="2" name="Sun 1"/>
        <xdr:cNvSpPr/>
      </xdr:nvSpPr>
      <xdr:spPr>
        <a:xfrm>
          <a:off x="7302371" y="510074"/>
          <a:ext cx="738090" cy="539036"/>
        </a:xfrm>
        <a:prstGeom prst="su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57150</xdr:colOff>
      <xdr:row>10</xdr:row>
      <xdr:rowOff>69850</xdr:rowOff>
    </xdr:from>
    <xdr:to>
      <xdr:col>1</xdr:col>
      <xdr:colOff>628650</xdr:colOff>
      <xdr:row>12</xdr:row>
      <xdr:rowOff>69850</xdr:rowOff>
    </xdr:to>
    <xdr:pic macro="red_1">
      <xdr:nvPicPr>
        <xdr:cNvPr id="45" name="red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0320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20</xdr:row>
      <xdr:rowOff>60325</xdr:rowOff>
    </xdr:from>
    <xdr:to>
      <xdr:col>1</xdr:col>
      <xdr:colOff>628650</xdr:colOff>
      <xdr:row>22</xdr:row>
      <xdr:rowOff>60325</xdr:rowOff>
    </xdr:to>
    <xdr:pic macro="red_2">
      <xdr:nvPicPr>
        <xdr:cNvPr id="46" name="red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1275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30</xdr:row>
      <xdr:rowOff>41275</xdr:rowOff>
    </xdr:from>
    <xdr:to>
      <xdr:col>1</xdr:col>
      <xdr:colOff>628650</xdr:colOff>
      <xdr:row>32</xdr:row>
      <xdr:rowOff>41275</xdr:rowOff>
    </xdr:to>
    <xdr:pic macro="red_3">
      <xdr:nvPicPr>
        <xdr:cNvPr id="47" name="red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62230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10</xdr:row>
      <xdr:rowOff>69850</xdr:rowOff>
    </xdr:from>
    <xdr:to>
      <xdr:col>16</xdr:col>
      <xdr:colOff>628650</xdr:colOff>
      <xdr:row>12</xdr:row>
      <xdr:rowOff>69850</xdr:rowOff>
    </xdr:to>
    <xdr:pic macro="blue_1">
      <xdr:nvPicPr>
        <xdr:cNvPr id="48" name="blue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20320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20</xdr:row>
      <xdr:rowOff>60325</xdr:rowOff>
    </xdr:from>
    <xdr:to>
      <xdr:col>16</xdr:col>
      <xdr:colOff>628650</xdr:colOff>
      <xdr:row>22</xdr:row>
      <xdr:rowOff>60325</xdr:rowOff>
    </xdr:to>
    <xdr:pic macro="blue_2">
      <xdr:nvPicPr>
        <xdr:cNvPr id="49" name="blue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41275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30</xdr:row>
      <xdr:rowOff>41275</xdr:rowOff>
    </xdr:from>
    <xdr:to>
      <xdr:col>16</xdr:col>
      <xdr:colOff>628650</xdr:colOff>
      <xdr:row>32</xdr:row>
      <xdr:rowOff>41275</xdr:rowOff>
    </xdr:to>
    <xdr:pic macro="blue_3">
      <xdr:nvPicPr>
        <xdr:cNvPr id="50" name="blue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6223000"/>
          <a:ext cx="571500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2</xdr:row>
      <xdr:rowOff>9525</xdr:rowOff>
    </xdr:from>
    <xdr:to>
      <xdr:col>3</xdr:col>
      <xdr:colOff>676275</xdr:colOff>
      <xdr:row>2</xdr:row>
      <xdr:rowOff>419100</xdr:rowOff>
    </xdr:to>
    <xdr:sp macro="[0]!DisplayDashboard" textlink="">
      <xdr:nvSpPr>
        <xdr:cNvPr id="2" name="Diamond 1"/>
        <xdr:cNvSpPr/>
      </xdr:nvSpPr>
      <xdr:spPr>
        <a:xfrm>
          <a:off x="2085975" y="381000"/>
          <a:ext cx="647700" cy="409575"/>
        </a:xfrm>
        <a:prstGeom prst="diamon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38099</xdr:colOff>
      <xdr:row>3</xdr:row>
      <xdr:rowOff>19050</xdr:rowOff>
    </xdr:from>
    <xdr:to>
      <xdr:col>3</xdr:col>
      <xdr:colOff>733424</xdr:colOff>
      <xdr:row>4</xdr:row>
      <xdr:rowOff>0</xdr:rowOff>
    </xdr:to>
    <xdr:sp macro="[0]!DisplayTeamTab" textlink="">
      <xdr:nvSpPr>
        <xdr:cNvPr id="4" name="Diamond 3"/>
        <xdr:cNvSpPr/>
      </xdr:nvSpPr>
      <xdr:spPr>
        <a:xfrm>
          <a:off x="2095499" y="819150"/>
          <a:ext cx="695325" cy="409575"/>
        </a:xfrm>
        <a:prstGeom prst="diamond">
          <a:avLst/>
        </a:prstGeom>
        <a:solidFill>
          <a:srgbClr val="ABEB4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66676</xdr:colOff>
      <xdr:row>4</xdr:row>
      <xdr:rowOff>28574</xdr:rowOff>
    </xdr:from>
    <xdr:to>
      <xdr:col>3</xdr:col>
      <xdr:colOff>695326</xdr:colOff>
      <xdr:row>4</xdr:row>
      <xdr:rowOff>380999</xdr:rowOff>
    </xdr:to>
    <xdr:sp macro="[0]!DisplaySkillRanking" textlink="">
      <xdr:nvSpPr>
        <xdr:cNvPr id="5" name="Diamond 4"/>
        <xdr:cNvSpPr/>
      </xdr:nvSpPr>
      <xdr:spPr>
        <a:xfrm>
          <a:off x="2124076" y="1257299"/>
          <a:ext cx="628650" cy="352425"/>
        </a:xfrm>
        <a:prstGeom prst="diamond">
          <a:avLst/>
        </a:prstGeom>
        <a:solidFill>
          <a:srgbClr val="F13DB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2</xdr:row>
      <xdr:rowOff>9525</xdr:rowOff>
    </xdr:from>
    <xdr:to>
      <xdr:col>8</xdr:col>
      <xdr:colOff>504825</xdr:colOff>
      <xdr:row>2</xdr:row>
      <xdr:rowOff>361950</xdr:rowOff>
    </xdr:to>
    <xdr:sp macro="[0]!RefreshEventSchedule" textlink="">
      <xdr:nvSpPr>
        <xdr:cNvPr id="12" name="Pie 11"/>
        <xdr:cNvSpPr/>
      </xdr:nvSpPr>
      <xdr:spPr>
        <a:xfrm>
          <a:off x="3467100" y="647700"/>
          <a:ext cx="352425" cy="352425"/>
        </a:xfrm>
        <a:prstGeom prst="pi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161925</xdr:colOff>
      <xdr:row>3</xdr:row>
      <xdr:rowOff>19050</xdr:rowOff>
    </xdr:from>
    <xdr:to>
      <xdr:col>8</xdr:col>
      <xdr:colOff>514350</xdr:colOff>
      <xdr:row>4</xdr:row>
      <xdr:rowOff>9525</xdr:rowOff>
    </xdr:to>
    <xdr:sp macro="[0]!RefreshTeamList" textlink="">
      <xdr:nvSpPr>
        <xdr:cNvPr id="13" name="Pie 12"/>
        <xdr:cNvSpPr/>
      </xdr:nvSpPr>
      <xdr:spPr>
        <a:xfrm>
          <a:off x="3476625" y="1028700"/>
          <a:ext cx="352425" cy="352425"/>
        </a:xfrm>
        <a:prstGeom prst="pi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209550</xdr:colOff>
      <xdr:row>2</xdr:row>
      <xdr:rowOff>19050</xdr:rowOff>
    </xdr:from>
    <xdr:to>
      <xdr:col>10</xdr:col>
      <xdr:colOff>561975</xdr:colOff>
      <xdr:row>2</xdr:row>
      <xdr:rowOff>361950</xdr:rowOff>
    </xdr:to>
    <xdr:sp macro="[0]!RefreshTBAranking" textlink="">
      <xdr:nvSpPr>
        <xdr:cNvPr id="14" name="Pie 13"/>
        <xdr:cNvSpPr/>
      </xdr:nvSpPr>
      <xdr:spPr>
        <a:xfrm>
          <a:off x="5286375" y="657225"/>
          <a:ext cx="352425" cy="342900"/>
        </a:xfrm>
        <a:prstGeom prst="pi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219075</xdr:colOff>
      <xdr:row>3</xdr:row>
      <xdr:rowOff>19051</xdr:rowOff>
    </xdr:from>
    <xdr:to>
      <xdr:col>10</xdr:col>
      <xdr:colOff>571500</xdr:colOff>
      <xdr:row>4</xdr:row>
      <xdr:rowOff>1</xdr:rowOff>
    </xdr:to>
    <xdr:sp macro="[0]!RefreshOPR" textlink="">
      <xdr:nvSpPr>
        <xdr:cNvPr id="15" name="Pie 14"/>
        <xdr:cNvSpPr/>
      </xdr:nvSpPr>
      <xdr:spPr>
        <a:xfrm>
          <a:off x="4848225" y="1028701"/>
          <a:ext cx="352425" cy="342900"/>
        </a:xfrm>
        <a:prstGeom prst="pie">
          <a:avLst/>
        </a:prstGeom>
        <a:solidFill>
          <a:srgbClr val="C814D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190500</xdr:colOff>
      <xdr:row>4</xdr:row>
      <xdr:rowOff>19051</xdr:rowOff>
    </xdr:from>
    <xdr:to>
      <xdr:col>8</xdr:col>
      <xdr:colOff>552450</xdr:colOff>
      <xdr:row>4</xdr:row>
      <xdr:rowOff>361951</xdr:rowOff>
    </xdr:to>
    <xdr:sp macro="[0]!RefreshMatchScoutingRaw" textlink="">
      <xdr:nvSpPr>
        <xdr:cNvPr id="18" name="Pie 17"/>
        <xdr:cNvSpPr/>
      </xdr:nvSpPr>
      <xdr:spPr>
        <a:xfrm>
          <a:off x="5267325" y="1390651"/>
          <a:ext cx="361950" cy="342900"/>
        </a:xfrm>
        <a:prstGeom prst="pie">
          <a:avLst/>
        </a:prstGeom>
        <a:solidFill>
          <a:srgbClr val="86E8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104776</xdr:colOff>
      <xdr:row>5</xdr:row>
      <xdr:rowOff>28577</xdr:rowOff>
    </xdr:from>
    <xdr:to>
      <xdr:col>8</xdr:col>
      <xdr:colOff>428626</xdr:colOff>
      <xdr:row>5</xdr:row>
      <xdr:rowOff>361951</xdr:rowOff>
    </xdr:to>
    <xdr:sp macro="[0]!RefreshPitScoutingRaw" textlink="">
      <xdr:nvSpPr>
        <xdr:cNvPr id="19" name="Pie 18"/>
        <xdr:cNvSpPr/>
      </xdr:nvSpPr>
      <xdr:spPr>
        <a:xfrm>
          <a:off x="5181601" y="1771652"/>
          <a:ext cx="323850" cy="333374"/>
        </a:xfrm>
        <a:prstGeom prst="pie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2</xdr:row>
      <xdr:rowOff>47625</xdr:rowOff>
    </xdr:from>
    <xdr:to>
      <xdr:col>13</xdr:col>
      <xdr:colOff>447675</xdr:colOff>
      <xdr:row>2</xdr:row>
      <xdr:rowOff>352425</xdr:rowOff>
    </xdr:to>
    <xdr:sp macro="[0]!SpecsAccess" textlink="">
      <xdr:nvSpPr>
        <xdr:cNvPr id="20" name="Teardrop 19"/>
        <xdr:cNvSpPr/>
      </xdr:nvSpPr>
      <xdr:spPr>
        <a:xfrm>
          <a:off x="6581775" y="685800"/>
          <a:ext cx="323850" cy="304800"/>
        </a:xfrm>
        <a:prstGeom prst="teardrop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123825</xdr:colOff>
      <xdr:row>3</xdr:row>
      <xdr:rowOff>38100</xdr:rowOff>
    </xdr:from>
    <xdr:to>
      <xdr:col>13</xdr:col>
      <xdr:colOff>447675</xdr:colOff>
      <xdr:row>3</xdr:row>
      <xdr:rowOff>342900</xdr:rowOff>
    </xdr:to>
    <xdr:sp macro="[0]!ScheduleAccess" textlink="">
      <xdr:nvSpPr>
        <xdr:cNvPr id="21" name="Teardrop 20"/>
        <xdr:cNvSpPr/>
      </xdr:nvSpPr>
      <xdr:spPr>
        <a:xfrm>
          <a:off x="6581775" y="1047750"/>
          <a:ext cx="323850" cy="304800"/>
        </a:xfrm>
        <a:prstGeom prst="teardrop">
          <a:avLst/>
        </a:prstGeom>
        <a:solidFill>
          <a:srgbClr val="F58BC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95250</xdr:colOff>
      <xdr:row>4</xdr:row>
      <xdr:rowOff>47625</xdr:rowOff>
    </xdr:from>
    <xdr:to>
      <xdr:col>13</xdr:col>
      <xdr:colOff>419100</xdr:colOff>
      <xdr:row>4</xdr:row>
      <xdr:rowOff>352425</xdr:rowOff>
    </xdr:to>
    <xdr:sp macro="[0]!EventTeamsAccess" textlink="">
      <xdr:nvSpPr>
        <xdr:cNvPr id="23" name="Teardrop 22"/>
        <xdr:cNvSpPr/>
      </xdr:nvSpPr>
      <xdr:spPr>
        <a:xfrm>
          <a:off x="6553200" y="1419225"/>
          <a:ext cx="323850" cy="304800"/>
        </a:xfrm>
        <a:prstGeom prst="teardrop">
          <a:avLst/>
        </a:prstGeom>
        <a:solidFill>
          <a:srgbClr val="8000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95250</xdr:colOff>
      <xdr:row>5</xdr:row>
      <xdr:rowOff>47625</xdr:rowOff>
    </xdr:from>
    <xdr:to>
      <xdr:col>13</xdr:col>
      <xdr:colOff>419100</xdr:colOff>
      <xdr:row>5</xdr:row>
      <xdr:rowOff>352425</xdr:rowOff>
    </xdr:to>
    <xdr:sp macro="[0]!MatchStatsAccess" textlink="">
      <xdr:nvSpPr>
        <xdr:cNvPr id="25" name="Teardrop 24"/>
        <xdr:cNvSpPr/>
      </xdr:nvSpPr>
      <xdr:spPr>
        <a:xfrm>
          <a:off x="6553200" y="1524000"/>
          <a:ext cx="323850" cy="304800"/>
        </a:xfrm>
        <a:prstGeom prst="teardrop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104775</xdr:colOff>
      <xdr:row>6</xdr:row>
      <xdr:rowOff>57150</xdr:rowOff>
    </xdr:from>
    <xdr:to>
      <xdr:col>13</xdr:col>
      <xdr:colOff>428625</xdr:colOff>
      <xdr:row>6</xdr:row>
      <xdr:rowOff>361950</xdr:rowOff>
    </xdr:to>
    <xdr:sp macro="[0]!MatchPivotAccess" textlink="">
      <xdr:nvSpPr>
        <xdr:cNvPr id="26" name="Teardrop 25"/>
        <xdr:cNvSpPr/>
      </xdr:nvSpPr>
      <xdr:spPr>
        <a:xfrm>
          <a:off x="6562725" y="2181225"/>
          <a:ext cx="323850" cy="304800"/>
        </a:xfrm>
        <a:prstGeom prst="teardrop">
          <a:avLst/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76200</xdr:colOff>
      <xdr:row>7</xdr:row>
      <xdr:rowOff>66675</xdr:rowOff>
    </xdr:from>
    <xdr:to>
      <xdr:col>13</xdr:col>
      <xdr:colOff>400050</xdr:colOff>
      <xdr:row>7</xdr:row>
      <xdr:rowOff>371475</xdr:rowOff>
    </xdr:to>
    <xdr:sp macro="[0]!PitCleanedAccess" textlink="">
      <xdr:nvSpPr>
        <xdr:cNvPr id="28" name="Teardrop 27"/>
        <xdr:cNvSpPr/>
      </xdr:nvSpPr>
      <xdr:spPr>
        <a:xfrm>
          <a:off x="6534150" y="2562225"/>
          <a:ext cx="323850" cy="304800"/>
        </a:xfrm>
        <a:prstGeom prst="teardrop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</xdr:row>
      <xdr:rowOff>28575</xdr:rowOff>
    </xdr:from>
    <xdr:to>
      <xdr:col>15</xdr:col>
      <xdr:colOff>447675</xdr:colOff>
      <xdr:row>2</xdr:row>
      <xdr:rowOff>333375</xdr:rowOff>
    </xdr:to>
    <xdr:sp macro="[0]!MatchCleanedAccess" textlink="">
      <xdr:nvSpPr>
        <xdr:cNvPr id="29" name="Teardrop 28"/>
        <xdr:cNvSpPr/>
      </xdr:nvSpPr>
      <xdr:spPr>
        <a:xfrm>
          <a:off x="8058150" y="666750"/>
          <a:ext cx="323850" cy="304800"/>
        </a:xfrm>
        <a:prstGeom prst="teardrop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66675</xdr:colOff>
      <xdr:row>5</xdr:row>
      <xdr:rowOff>47625</xdr:rowOff>
    </xdr:from>
    <xdr:to>
      <xdr:col>15</xdr:col>
      <xdr:colOff>390525</xdr:colOff>
      <xdr:row>5</xdr:row>
      <xdr:rowOff>352425</xdr:rowOff>
    </xdr:to>
    <xdr:sp macro="[0]!TBAoprAccess" textlink="">
      <xdr:nvSpPr>
        <xdr:cNvPr id="30" name="Teardrop 29"/>
        <xdr:cNvSpPr/>
      </xdr:nvSpPr>
      <xdr:spPr>
        <a:xfrm>
          <a:off x="8001000" y="1790700"/>
          <a:ext cx="323850" cy="304800"/>
        </a:xfrm>
        <a:prstGeom prst="teardrop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76200</xdr:colOff>
      <xdr:row>3</xdr:row>
      <xdr:rowOff>38100</xdr:rowOff>
    </xdr:from>
    <xdr:to>
      <xdr:col>15</xdr:col>
      <xdr:colOff>400050</xdr:colOff>
      <xdr:row>3</xdr:row>
      <xdr:rowOff>342900</xdr:rowOff>
    </xdr:to>
    <xdr:sp macro="[0]!OPRprocessorAccess" textlink="">
      <xdr:nvSpPr>
        <xdr:cNvPr id="31" name="Teardrop 30"/>
        <xdr:cNvSpPr/>
      </xdr:nvSpPr>
      <xdr:spPr>
        <a:xfrm>
          <a:off x="8010525" y="1047750"/>
          <a:ext cx="323850" cy="304800"/>
        </a:xfrm>
        <a:prstGeom prst="teardrop">
          <a:avLst/>
        </a:prstGeom>
        <a:solidFill>
          <a:srgbClr val="86E8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95250</xdr:colOff>
      <xdr:row>4</xdr:row>
      <xdr:rowOff>38100</xdr:rowOff>
    </xdr:from>
    <xdr:to>
      <xdr:col>15</xdr:col>
      <xdr:colOff>419100</xdr:colOff>
      <xdr:row>4</xdr:row>
      <xdr:rowOff>342900</xdr:rowOff>
    </xdr:to>
    <xdr:sp macro="[0]!TBArankingAccess" textlink="">
      <xdr:nvSpPr>
        <xdr:cNvPr id="32" name="Teardrop 31"/>
        <xdr:cNvSpPr/>
      </xdr:nvSpPr>
      <xdr:spPr>
        <a:xfrm>
          <a:off x="8029575" y="1409700"/>
          <a:ext cx="323850" cy="304800"/>
        </a:xfrm>
        <a:prstGeom prst="teardrop">
          <a:avLst/>
        </a:prstGeom>
        <a:solidFill>
          <a:srgbClr val="FF0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47625</xdr:colOff>
      <xdr:row>6</xdr:row>
      <xdr:rowOff>47625</xdr:rowOff>
    </xdr:from>
    <xdr:to>
      <xdr:col>15</xdr:col>
      <xdr:colOff>371475</xdr:colOff>
      <xdr:row>6</xdr:row>
      <xdr:rowOff>352425</xdr:rowOff>
    </xdr:to>
    <xdr:sp macro="[0]!PitRawAccess" textlink="">
      <xdr:nvSpPr>
        <xdr:cNvPr id="33" name="Teardrop 32"/>
        <xdr:cNvSpPr/>
      </xdr:nvSpPr>
      <xdr:spPr>
        <a:xfrm>
          <a:off x="7981950" y="2171700"/>
          <a:ext cx="323850" cy="304800"/>
        </a:xfrm>
        <a:prstGeom prst="teardrop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85725</xdr:colOff>
      <xdr:row>7</xdr:row>
      <xdr:rowOff>57150</xdr:rowOff>
    </xdr:from>
    <xdr:to>
      <xdr:col>15</xdr:col>
      <xdr:colOff>409575</xdr:colOff>
      <xdr:row>7</xdr:row>
      <xdr:rowOff>361950</xdr:rowOff>
    </xdr:to>
    <xdr:sp macro="[0]!MatchRawAccess" textlink="">
      <xdr:nvSpPr>
        <xdr:cNvPr id="34" name="Teardrop 33"/>
        <xdr:cNvSpPr/>
      </xdr:nvSpPr>
      <xdr:spPr>
        <a:xfrm>
          <a:off x="8020050" y="2552700"/>
          <a:ext cx="323850" cy="304800"/>
        </a:xfrm>
        <a:prstGeom prst="teardrop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5</xdr:row>
      <xdr:rowOff>38100</xdr:rowOff>
    </xdr:from>
    <xdr:to>
      <xdr:col>10</xdr:col>
      <xdr:colOff>581025</xdr:colOff>
      <xdr:row>5</xdr:row>
      <xdr:rowOff>371475</xdr:rowOff>
    </xdr:to>
    <xdr:sp macro="[0]!UpdateEventTeams" textlink="">
      <xdr:nvSpPr>
        <xdr:cNvPr id="27" name="Pie 26"/>
        <xdr:cNvSpPr/>
      </xdr:nvSpPr>
      <xdr:spPr>
        <a:xfrm>
          <a:off x="5124450" y="1514475"/>
          <a:ext cx="352425" cy="333375"/>
        </a:xfrm>
        <a:prstGeom prst="pi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209550</xdr:colOff>
      <xdr:row>4</xdr:row>
      <xdr:rowOff>28575</xdr:rowOff>
    </xdr:from>
    <xdr:to>
      <xdr:col>10</xdr:col>
      <xdr:colOff>552450</xdr:colOff>
      <xdr:row>4</xdr:row>
      <xdr:rowOff>333375</xdr:rowOff>
    </xdr:to>
    <xdr:sp macro="[0]!matchAndPitCleaning" textlink="">
      <xdr:nvSpPr>
        <xdr:cNvPr id="3" name="Pie 2"/>
        <xdr:cNvSpPr/>
      </xdr:nvSpPr>
      <xdr:spPr>
        <a:xfrm>
          <a:off x="5105400" y="1133475"/>
          <a:ext cx="342900" cy="304800"/>
        </a:xfrm>
        <a:prstGeom prst="pi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8</xdr:row>
      <xdr:rowOff>38100</xdr:rowOff>
    </xdr:from>
    <xdr:to>
      <xdr:col>13</xdr:col>
      <xdr:colOff>419100</xdr:colOff>
      <xdr:row>8</xdr:row>
      <xdr:rowOff>371475</xdr:rowOff>
    </xdr:to>
    <xdr:sp macro="[0]!MatchDetailsAccess" textlink="">
      <xdr:nvSpPr>
        <xdr:cNvPr id="7" name="Teardrop 6"/>
        <xdr:cNvSpPr/>
      </xdr:nvSpPr>
      <xdr:spPr>
        <a:xfrm>
          <a:off x="6800850" y="2667000"/>
          <a:ext cx="342900" cy="333375"/>
        </a:xfrm>
        <a:prstGeom prst="teardrop">
          <a:avLst/>
        </a:prstGeom>
        <a:solidFill>
          <a:srgbClr val="C814D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</xdr:row>
      <xdr:rowOff>47625</xdr:rowOff>
    </xdr:from>
    <xdr:to>
      <xdr:col>15</xdr:col>
      <xdr:colOff>438150</xdr:colOff>
      <xdr:row>8</xdr:row>
      <xdr:rowOff>342900</xdr:rowOff>
    </xdr:to>
    <xdr:sp macro="[0]!pythonSpecsAccess" textlink="">
      <xdr:nvSpPr>
        <xdr:cNvPr id="8" name="Teardrop 7"/>
        <xdr:cNvSpPr/>
      </xdr:nvSpPr>
      <xdr:spPr>
        <a:xfrm>
          <a:off x="8315325" y="2676525"/>
          <a:ext cx="323850" cy="295275"/>
        </a:xfrm>
        <a:prstGeom prst="teardrop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</xdr:row>
      <xdr:rowOff>57150</xdr:rowOff>
    </xdr:from>
    <xdr:to>
      <xdr:col>8</xdr:col>
      <xdr:colOff>504825</xdr:colOff>
      <xdr:row>7</xdr:row>
      <xdr:rowOff>381000</xdr:rowOff>
    </xdr:to>
    <xdr:sp macro="[0]!callMatchDetailScraper" textlink="">
      <xdr:nvSpPr>
        <xdr:cNvPr id="6" name="Pie 5"/>
        <xdr:cNvSpPr/>
      </xdr:nvSpPr>
      <xdr:spPr>
        <a:xfrm>
          <a:off x="3143250" y="2286000"/>
          <a:ext cx="323850" cy="323850"/>
        </a:xfrm>
        <a:prstGeom prst="pi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</xdr:row>
      <xdr:rowOff>19050</xdr:rowOff>
    </xdr:from>
    <xdr:to>
      <xdr:col>10</xdr:col>
      <xdr:colOff>561975</xdr:colOff>
      <xdr:row>8</xdr:row>
      <xdr:rowOff>19050</xdr:rowOff>
    </xdr:to>
    <xdr:sp macro="[0]!importMatchDetailsFromCSV" textlink="">
      <xdr:nvSpPr>
        <xdr:cNvPr id="9" name="Pie 8"/>
        <xdr:cNvSpPr/>
      </xdr:nvSpPr>
      <xdr:spPr>
        <a:xfrm>
          <a:off x="5057775" y="2247900"/>
          <a:ext cx="400050" cy="400050"/>
        </a:xfrm>
        <a:prstGeom prst="pi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47624</xdr:colOff>
      <xdr:row>8</xdr:row>
      <xdr:rowOff>57149</xdr:rowOff>
    </xdr:from>
    <xdr:to>
      <xdr:col>3</xdr:col>
      <xdr:colOff>733425</xdr:colOff>
      <xdr:row>8</xdr:row>
      <xdr:rowOff>447675</xdr:rowOff>
    </xdr:to>
    <xdr:sp macro="[0]!grandCleaning" textlink="">
      <xdr:nvSpPr>
        <xdr:cNvPr id="35" name="Flowchart: Preparation 34"/>
        <xdr:cNvSpPr/>
      </xdr:nvSpPr>
      <xdr:spPr>
        <a:xfrm>
          <a:off x="2105024" y="2981324"/>
          <a:ext cx="685801" cy="390526"/>
        </a:xfrm>
        <a:prstGeom prst="flowChartPreparation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47625</xdr:colOff>
      <xdr:row>7</xdr:row>
      <xdr:rowOff>66675</xdr:rowOff>
    </xdr:from>
    <xdr:to>
      <xdr:col>3</xdr:col>
      <xdr:colOff>704850</xdr:colOff>
      <xdr:row>7</xdr:row>
      <xdr:rowOff>447675</xdr:rowOff>
    </xdr:to>
    <xdr:sp macro="[0]!callMatchDetailScraper" textlink="">
      <xdr:nvSpPr>
        <xdr:cNvPr id="11" name="Hexagon 10"/>
        <xdr:cNvSpPr/>
      </xdr:nvSpPr>
      <xdr:spPr>
        <a:xfrm>
          <a:off x="2105025" y="2524125"/>
          <a:ext cx="657225" cy="3810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57150</xdr:colOff>
      <xdr:row>6</xdr:row>
      <xdr:rowOff>38100</xdr:rowOff>
    </xdr:from>
    <xdr:to>
      <xdr:col>3</xdr:col>
      <xdr:colOff>714375</xdr:colOff>
      <xdr:row>6</xdr:row>
      <xdr:rowOff>419100</xdr:rowOff>
    </xdr:to>
    <xdr:sp macro="[0]!queryRefresh" textlink="">
      <xdr:nvSpPr>
        <xdr:cNvPr id="36" name="Hexagon 35"/>
        <xdr:cNvSpPr/>
      </xdr:nvSpPr>
      <xdr:spPr>
        <a:xfrm>
          <a:off x="2114550" y="2038350"/>
          <a:ext cx="657225" cy="381000"/>
        </a:xfrm>
        <a:prstGeom prst="hexagon">
          <a:avLst/>
        </a:prstGeom>
        <a:solidFill>
          <a:srgbClr val="8000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0</xdr:row>
      <xdr:rowOff>133350</xdr:rowOff>
    </xdr:from>
    <xdr:to>
      <xdr:col>12</xdr:col>
      <xdr:colOff>0</xdr:colOff>
      <xdr:row>12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0</xdr:row>
      <xdr:rowOff>47625</xdr:rowOff>
    </xdr:from>
    <xdr:to>
      <xdr:col>14</xdr:col>
      <xdr:colOff>209550</xdr:colOff>
      <xdr:row>9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3BD876-18E0-4CEB-B4DA-7824A83AB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10</xdr:row>
      <xdr:rowOff>28575</xdr:rowOff>
    </xdr:from>
    <xdr:to>
      <xdr:col>14</xdr:col>
      <xdr:colOff>295275</xdr:colOff>
      <xdr:row>18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A371B9-C433-4DB7-B592-265CB1F510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19</xdr:row>
      <xdr:rowOff>104775</xdr:rowOff>
    </xdr:from>
    <xdr:to>
      <xdr:col>15</xdr:col>
      <xdr:colOff>409575</xdr:colOff>
      <xdr:row>32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82CDC1F-7E51-4784-8808-5EB2F87D83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238124</xdr:colOff>
      <xdr:row>34</xdr:row>
      <xdr:rowOff>0</xdr:rowOff>
    </xdr:from>
    <xdr:to>
      <xdr:col>15</xdr:col>
      <xdr:colOff>538161</xdr:colOff>
      <xdr:row>46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A70C47-74E1-46AA-A473-28C971A10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gy" refreshedDate="43171.673918402776" createdVersion="6" refreshedVersion="6" minRefreshableVersion="3" recordCount="4">
  <cacheSource type="worksheet">
    <worksheetSource ref="A1:I1048576" sheet="PitCleaned"/>
  </cacheSource>
  <cacheFields count="9">
    <cacheField name="Team #" numFmtId="0">
      <sharedItems containsString="0" containsBlank="1" containsNumber="1" containsInteger="1" minValue="23" maxValue="5494"/>
    </cacheField>
    <cacheField name="What is your autonomous goal?" numFmtId="0">
      <sharedItems containsBlank="1" count="5">
        <s v="Switch"/>
        <s v="Baseline"/>
        <s v="None"/>
        <m/>
        <s v="Scale" u="1"/>
      </sharedItems>
    </cacheField>
    <cacheField name="What are your TeleOp cube capabilities?" numFmtId="0">
      <sharedItems containsBlank="1" count="4">
        <s v="Switch"/>
        <s v="Scale"/>
        <s v="PowerUp"/>
        <m/>
      </sharedItems>
    </cacheField>
    <cacheField name="What is your climb mechanism?" numFmtId="0">
      <sharedItems containsBlank="1" count="5">
        <s v="None"/>
        <s v="Climb on own"/>
        <m/>
        <s v="Ramp" u="1"/>
        <s v="Provide a ramp" u="1"/>
      </sharedItems>
    </cacheField>
    <cacheField name="How does your robot get cubes?" numFmtId="0">
      <sharedItems containsBlank="1" count="4">
        <s v="Pick up on own"/>
        <s v="Depending on the human player"/>
        <m/>
        <s v="Depending on human player " u="1"/>
      </sharedItems>
    </cacheField>
    <cacheField name="What drive train do you use?" numFmtId="0">
      <sharedItems containsBlank="1" count="7">
        <s v="tank"/>
        <s v="mechnum"/>
        <m/>
        <s v="mechanum" u="1"/>
        <s v="Swerve" u="1"/>
        <s v="Track" u="1"/>
        <s v="Mecchanum" u="1"/>
      </sharedItems>
    </cacheField>
    <cacheField name="How many drive CIM motors do you have?" numFmtId="0">
      <sharedItems containsString="0" containsBlank="1" containsNumber="1" containsInteger="1" minValue="4" maxValue="6" count="3">
        <n v="4"/>
        <n v="6"/>
        <m/>
      </sharedItems>
    </cacheField>
    <cacheField name="Is there anything else you want to tell us about your robot?" numFmtId="0">
      <sharedItems containsBlank="1"/>
    </cacheField>
    <cacheField name="What is your coach's name?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ngy" refreshedDate="43198.50397395833" createdVersion="6" refreshedVersion="6" minRefreshableVersion="3" recordCount="472">
  <cacheSource type="worksheet">
    <worksheetSource ref="A1:M1048576" sheet="MatchCleaned"/>
  </cacheSource>
  <cacheFields count="13">
    <cacheField name="Team#" numFmtId="0">
      <sharedItems containsString="0" containsBlank="1" containsNumber="1" containsInteger="1" minValue="5" maxValue="19991" count="79">
        <n v="72"/>
        <n v="135"/>
        <n v="155"/>
        <n v="173"/>
        <n v="175"/>
        <n v="176"/>
        <n v="177"/>
        <n v="180"/>
        <n v="181"/>
        <n v="190"/>
        <n v="195"/>
        <n v="230"/>
        <n v="236"/>
        <n v="558"/>
        <n v="571"/>
        <n v="838"/>
        <n v="839"/>
        <n v="999"/>
        <n v="1027"/>
        <n v="1085"/>
        <n v="1740"/>
        <n v="1973"/>
        <n v="1991"/>
        <n v="2064"/>
        <n v="2067"/>
        <n v="2084"/>
        <n v="2170"/>
        <n v="2785"/>
        <n v="2836"/>
        <n v="2838"/>
        <n v="3146"/>
        <n v="3147"/>
        <n v="3182"/>
        <n v="3464"/>
        <n v="3634"/>
        <n v="3654"/>
        <n v="4987"/>
        <n v="5129"/>
        <n v="5132"/>
        <n v="5142"/>
        <n v="5152"/>
        <n v="5686"/>
        <n v="5746"/>
        <n v="5748"/>
        <n v="5812"/>
        <n v="6333"/>
        <n v="6346"/>
        <n v="6695"/>
        <n v="6811"/>
        <n v="6812"/>
        <n v="6872"/>
        <n v="6895"/>
        <n v="7127"/>
        <n v="7153"/>
        <n v="19991"/>
        <m/>
        <n v="69" u="1"/>
        <n v="95" u="1"/>
        <n v="1099" u="1"/>
        <n v="3958" u="1"/>
        <n v="1071" u="1"/>
        <n v="6367" u="1"/>
        <n v="4572" u="1"/>
        <n v="4055" u="1"/>
        <n v="58" u="1"/>
        <n v="213" u="1"/>
        <n v="5" u="1"/>
        <n v="5856" u="1"/>
        <n v="5687" u="1"/>
        <n v="4746" u="1"/>
        <n v="178" u="1"/>
        <n v="125" u="1"/>
        <n v="467" u="1"/>
        <n v="228" u="1"/>
        <n v="3858" u="1"/>
        <n v="3104" u="1"/>
        <n v="23" u="1"/>
        <n v="3555" u="1"/>
        <n v="4557" u="1"/>
      </sharedItems>
    </cacheField>
    <cacheField name="Match#" numFmtId="0">
      <sharedItems containsString="0" containsBlank="1" containsNumber="1" containsInteger="1" minValue="1" maxValue="2064"/>
    </cacheField>
    <cacheField name="AutoBaseline?" numFmtId="0">
      <sharedItems containsString="0" containsBlank="1" containsNumber="1" containsInteger="1" minValue="0" maxValue="1"/>
    </cacheField>
    <cacheField name="AutoSwitch?" numFmtId="0">
      <sharedItems containsString="0" containsBlank="1" containsNumber="1" containsInteger="1" minValue="0" maxValue="1"/>
    </cacheField>
    <cacheField name="AutoScale" numFmtId="0">
      <sharedItems containsString="0" containsBlank="1" containsNumber="1" containsInteger="1" minValue="0" maxValue="1"/>
    </cacheField>
    <cacheField name="# of cubes for own switch" numFmtId="0">
      <sharedItems containsString="0" containsBlank="1" containsNumber="1" containsInteger="1" minValue="0" maxValue="8"/>
    </cacheField>
    <cacheField name="# of cubes for other switch" numFmtId="0">
      <sharedItems containsString="0" containsBlank="1" containsNumber="1" containsInteger="1" minValue="0" maxValue="8"/>
    </cacheField>
    <cacheField name="# of cubes for the scale " numFmtId="0">
      <sharedItems containsString="0" containsBlank="1" containsNumber="1" containsInteger="1" minValue="0" maxValue="8"/>
    </cacheField>
    <cacheField name="# of cubes for the exchange zone " numFmtId="0">
      <sharedItems containsString="0" containsBlank="1" containsNumber="1" containsInteger="1" minValue="0" maxValue="9"/>
    </cacheField>
    <cacheField name="Did the robot get the 30 points for climbing?" numFmtId="0">
      <sharedItems containsString="0" containsBlank="1" containsNumber="1" containsInteger="1" minValue="0" maxValue="1"/>
    </cacheField>
    <cacheField name="How did the robot climb" numFmtId="0">
      <sharedItems containsBlank="1"/>
    </cacheField>
    <cacheField name="PowerUp used " numFmtId="0">
      <sharedItems containsBlank="1"/>
    </cacheField>
    <cacheField name="Commen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n v="23"/>
    <x v="0"/>
    <x v="0"/>
    <x v="0"/>
    <x v="0"/>
    <x v="0"/>
    <x v="0"/>
    <s v="nope"/>
    <s v="Bob"/>
  </r>
  <r>
    <n v="1100"/>
    <x v="1"/>
    <x v="1"/>
    <x v="1"/>
    <x v="0"/>
    <x v="0"/>
    <x v="1"/>
    <s v="it is fast "/>
    <s v="Kat"/>
  </r>
  <r>
    <n v="5494"/>
    <x v="2"/>
    <x v="2"/>
    <x v="0"/>
    <x v="1"/>
    <x v="1"/>
    <x v="0"/>
    <s v="we are having a rough year "/>
    <s v="Ted "/>
  </r>
  <r>
    <m/>
    <x v="3"/>
    <x v="3"/>
    <x v="2"/>
    <x v="2"/>
    <x v="2"/>
    <x v="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72">
  <r>
    <x v="0"/>
    <n v="2064"/>
    <n v="0"/>
    <n v="1"/>
    <n v="0"/>
    <n v="1"/>
    <n v="2"/>
    <n v="3"/>
    <n v="9"/>
    <n v="0"/>
    <s v="NONE"/>
    <s v="Force3, Boost3, Levitate"/>
    <m/>
  </r>
  <r>
    <x v="1"/>
    <n v="1"/>
    <n v="1"/>
    <n v="1"/>
    <n v="1"/>
    <n v="8"/>
    <n v="5"/>
    <n v="4"/>
    <n v="6"/>
    <n v="1"/>
    <s v="Climb on own"/>
    <s v="Force3, Boost1"/>
    <m/>
  </r>
  <r>
    <x v="2"/>
    <n v="4"/>
    <n v="1"/>
    <n v="1"/>
    <n v="0"/>
    <n v="3"/>
    <n v="3"/>
    <n v="0"/>
    <n v="0"/>
    <n v="1"/>
    <s v="Climb on own"/>
    <s v="Boost3, Levitate"/>
    <s v="They were fast but at the end it seemed like they didn't know where to go with the robot"/>
  </r>
  <r>
    <x v="2"/>
    <n v="17"/>
    <n v="1"/>
    <n v="1"/>
    <n v="0"/>
    <n v="0"/>
    <n v="0"/>
    <n v="0"/>
    <n v="9"/>
    <n v="0"/>
    <s v="NONE"/>
    <s v="Force3, Boost3, Levitate"/>
    <m/>
  </r>
  <r>
    <x v="2"/>
    <n v="25"/>
    <n v="1"/>
    <n v="0"/>
    <n v="0"/>
    <n v="1"/>
    <n v="2"/>
    <n v="0"/>
    <n v="0"/>
    <n v="1"/>
    <s v="Climb on own"/>
    <s v="Force3, Boost1, Levitate"/>
    <m/>
  </r>
  <r>
    <x v="2"/>
    <n v="31"/>
    <n v="1"/>
    <n v="0"/>
    <n v="0"/>
    <n v="1"/>
    <n v="4"/>
    <n v="0"/>
    <n v="0"/>
    <n v="0"/>
    <s v="Climb on own"/>
    <s v="Force2, Boost2, Levitate"/>
    <m/>
  </r>
  <r>
    <x v="2"/>
    <n v="39"/>
    <n v="1"/>
    <n v="0"/>
    <n v="0"/>
    <n v="0"/>
    <n v="0"/>
    <n v="0"/>
    <n v="8"/>
    <n v="1"/>
    <s v="Climb on own"/>
    <s v="Force3, Boost3, Levitate"/>
    <m/>
  </r>
  <r>
    <x v="2"/>
    <n v="43"/>
    <n v="1"/>
    <n v="1"/>
    <n v="0"/>
    <n v="0"/>
    <n v="0"/>
    <n v="0"/>
    <n v="9"/>
    <n v="1"/>
    <s v="Climb on own"/>
    <s v="Force3, Boost3, Levitate"/>
    <m/>
  </r>
  <r>
    <x v="2"/>
    <n v="48"/>
    <n v="1"/>
    <n v="0"/>
    <n v="0"/>
    <n v="0"/>
    <n v="0"/>
    <n v="0"/>
    <n v="9"/>
    <n v="1"/>
    <s v="Climb on own"/>
    <s v="Force3, Boost3, Levitate"/>
    <m/>
  </r>
  <r>
    <x v="2"/>
    <n v="66"/>
    <n v="1"/>
    <n v="0"/>
    <n v="0"/>
    <n v="2"/>
    <n v="0"/>
    <n v="0"/>
    <n v="7"/>
    <n v="1"/>
    <s v="Levitate"/>
    <s v="Force3, Boost3, Levitate"/>
    <s v="9 cubes in exchange"/>
  </r>
  <r>
    <x v="2"/>
    <n v="70"/>
    <n v="0"/>
    <n v="1"/>
    <n v="0"/>
    <n v="4"/>
    <n v="3"/>
    <n v="4"/>
    <n v="7"/>
    <n v="1"/>
    <s v="Climb on own"/>
    <s v="Force3, Boost3, Levitate"/>
    <m/>
  </r>
  <r>
    <x v="2"/>
    <n v="82"/>
    <n v="0"/>
    <n v="1"/>
    <n v="0"/>
    <n v="1"/>
    <n v="5"/>
    <n v="0"/>
    <n v="9"/>
    <n v="0"/>
    <s v="NONE"/>
    <s v="Force3, Boost3, Levitate"/>
    <m/>
  </r>
  <r>
    <x v="3"/>
    <n v="4"/>
    <n v="1"/>
    <n v="1"/>
    <n v="0"/>
    <n v="0"/>
    <n v="0"/>
    <n v="0"/>
    <n v="8"/>
    <n v="0"/>
    <s v="NONE"/>
    <s v="Boost3, Levitate"/>
    <m/>
  </r>
  <r>
    <x v="3"/>
    <n v="13"/>
    <n v="1"/>
    <n v="0"/>
    <n v="0"/>
    <n v="2"/>
    <n v="0"/>
    <n v="3"/>
    <n v="2"/>
    <n v="1"/>
    <m/>
    <s v="Force3, Boost3, Levitate"/>
    <m/>
  </r>
  <r>
    <x v="3"/>
    <n v="19"/>
    <n v="1"/>
    <n v="1"/>
    <n v="0"/>
    <n v="0"/>
    <n v="0"/>
    <n v="5"/>
    <n v="0"/>
    <n v="0"/>
    <s v="NONE"/>
    <s v="Boost3, Levitate"/>
    <m/>
  </r>
  <r>
    <x v="3"/>
    <n v="26"/>
    <n v="1"/>
    <n v="0"/>
    <n v="0"/>
    <n v="1"/>
    <n v="0"/>
    <n v="5"/>
    <n v="0"/>
    <n v="1"/>
    <s v="Levitate"/>
    <s v="Force3, Boost3, Levitate"/>
    <s v="They were really fast "/>
  </r>
  <r>
    <x v="3"/>
    <n v="34"/>
    <n v="1"/>
    <n v="0"/>
    <n v="0"/>
    <n v="3"/>
    <n v="5"/>
    <n v="4"/>
    <n v="2"/>
    <n v="0"/>
    <s v="NONE"/>
    <s v="Boost2"/>
    <m/>
  </r>
  <r>
    <x v="3"/>
    <n v="38"/>
    <n v="0"/>
    <n v="1"/>
    <n v="0"/>
    <n v="2"/>
    <n v="6"/>
    <n v="3"/>
    <n v="9"/>
    <n v="0"/>
    <s v="NONE"/>
    <s v="Force3, Boost3, Levitate"/>
    <m/>
  </r>
  <r>
    <x v="3"/>
    <n v="44"/>
    <n v="1"/>
    <n v="1"/>
    <n v="0"/>
    <n v="2"/>
    <n v="0"/>
    <n v="5"/>
    <n v="0"/>
    <n v="0"/>
    <s v="NONE"/>
    <s v="Boost1"/>
    <m/>
  </r>
  <r>
    <x v="3"/>
    <n v="59"/>
    <n v="1"/>
    <n v="0"/>
    <n v="0"/>
    <n v="1"/>
    <n v="0"/>
    <n v="2"/>
    <n v="2"/>
    <n v="1"/>
    <s v="Levitate"/>
    <s v="Force3, Boost3, Levitate"/>
    <m/>
  </r>
  <r>
    <x v="3"/>
    <n v="67"/>
    <n v="1"/>
    <n v="1"/>
    <n v="0"/>
    <n v="0"/>
    <n v="0"/>
    <n v="6"/>
    <n v="0"/>
    <n v="1"/>
    <s v="Levitate"/>
    <s v="Force1, Levitate"/>
    <m/>
  </r>
  <r>
    <x v="3"/>
    <n v="75"/>
    <n v="1"/>
    <n v="1"/>
    <n v="0"/>
    <n v="0"/>
    <n v="0"/>
    <n v="4"/>
    <n v="1"/>
    <n v="1"/>
    <s v="Levitate"/>
    <s v="Force3, Boost2, Levitate"/>
    <m/>
  </r>
  <r>
    <x v="3"/>
    <n v="80"/>
    <n v="1"/>
    <n v="0"/>
    <n v="0"/>
    <n v="1"/>
    <n v="0"/>
    <n v="3"/>
    <n v="3"/>
    <n v="1"/>
    <s v="Levitate"/>
    <s v="Force3, Boost2, Levitate"/>
    <m/>
  </r>
  <r>
    <x v="4"/>
    <n v="6"/>
    <n v="1"/>
    <n v="0"/>
    <n v="0"/>
    <n v="5"/>
    <n v="0"/>
    <n v="0"/>
    <n v="3"/>
    <n v="0"/>
    <s v="NONE"/>
    <s v="Boost3, Levitate"/>
    <m/>
  </r>
  <r>
    <x v="4"/>
    <n v="12"/>
    <n v="1"/>
    <n v="1"/>
    <n v="0"/>
    <n v="1"/>
    <n v="3"/>
    <n v="3"/>
    <n v="0"/>
    <n v="1"/>
    <s v="Climb on own"/>
    <s v="Force3, Boost3, Levitate"/>
    <m/>
  </r>
  <r>
    <x v="4"/>
    <n v="21"/>
    <n v="1"/>
    <n v="1"/>
    <n v="0"/>
    <n v="4"/>
    <n v="3"/>
    <n v="2"/>
    <n v="0"/>
    <n v="1"/>
    <s v="Climb on own"/>
    <s v="Force3, Boost3, Levitate"/>
    <m/>
  </r>
  <r>
    <x v="4"/>
    <n v="24"/>
    <n v="0"/>
    <n v="1"/>
    <n v="0"/>
    <n v="2"/>
    <n v="3"/>
    <n v="6"/>
    <n v="4"/>
    <n v="0"/>
    <s v="NONE"/>
    <s v="Boost3, Levitate"/>
    <m/>
  </r>
  <r>
    <x v="4"/>
    <n v="31"/>
    <n v="1"/>
    <n v="1"/>
    <n v="0"/>
    <n v="2"/>
    <n v="0"/>
    <n v="4"/>
    <n v="3"/>
    <n v="0"/>
    <s v="NONE"/>
    <s v="Levitate"/>
    <m/>
  </r>
  <r>
    <x v="4"/>
    <n v="35"/>
    <n v="1"/>
    <n v="1"/>
    <n v="0"/>
    <n v="0"/>
    <n v="0"/>
    <n v="6"/>
    <n v="1"/>
    <n v="0"/>
    <s v="NONE"/>
    <s v="Force1, Levitate"/>
    <m/>
  </r>
  <r>
    <x v="4"/>
    <n v="44"/>
    <n v="1"/>
    <n v="0"/>
    <n v="0"/>
    <n v="0"/>
    <n v="0"/>
    <n v="5"/>
    <n v="0"/>
    <n v="1"/>
    <s v="Climb on own"/>
    <s v="Force3, Boost3, Levitate"/>
    <m/>
  </r>
  <r>
    <x v="4"/>
    <n v="44"/>
    <n v="1"/>
    <n v="0"/>
    <n v="0"/>
    <n v="0"/>
    <n v="0"/>
    <n v="5"/>
    <n v="0"/>
    <n v="1"/>
    <s v="Climb on own"/>
    <m/>
    <m/>
  </r>
  <r>
    <x v="4"/>
    <n v="50"/>
    <n v="1"/>
    <n v="0"/>
    <n v="0"/>
    <n v="0"/>
    <n v="0"/>
    <n v="4"/>
    <n v="0"/>
    <n v="0"/>
    <m/>
    <s v="Force2, Levitate"/>
    <m/>
  </r>
  <r>
    <x v="4"/>
    <n v="57"/>
    <n v="1"/>
    <n v="1"/>
    <n v="0"/>
    <n v="0"/>
    <n v="0"/>
    <n v="4"/>
    <n v="4"/>
    <n v="1"/>
    <s v="Climb on own"/>
    <s v="Force1, Force2, Force3, Boost1, Boost2, Boost3, Levitate"/>
    <m/>
  </r>
  <r>
    <x v="4"/>
    <n v="66"/>
    <n v="0"/>
    <n v="1"/>
    <n v="0"/>
    <n v="3"/>
    <n v="5"/>
    <n v="3"/>
    <n v="6"/>
    <n v="0"/>
    <s v="NONE"/>
    <s v="Boost3, Levitate"/>
    <m/>
  </r>
  <r>
    <x v="4"/>
    <n v="66"/>
    <n v="1"/>
    <n v="1"/>
    <n v="0"/>
    <n v="3"/>
    <n v="0"/>
    <n v="0"/>
    <n v="2"/>
    <n v="1"/>
    <m/>
    <s v="Boost3, Levitate"/>
    <m/>
  </r>
  <r>
    <x v="4"/>
    <n v="81"/>
    <n v="1"/>
    <n v="0"/>
    <n v="0"/>
    <n v="0"/>
    <n v="0"/>
    <n v="5"/>
    <n v="0"/>
    <n v="1"/>
    <s v="Climb on own"/>
    <s v="Force3, Boost2, Levitate"/>
    <s v="They dropped two cubes "/>
  </r>
  <r>
    <x v="5"/>
    <n v="4"/>
    <n v="1"/>
    <n v="0"/>
    <n v="0"/>
    <n v="0"/>
    <n v="6"/>
    <n v="2"/>
    <n v="0"/>
    <n v="1"/>
    <m/>
    <s v="Force2, Boost2, Levitate"/>
    <m/>
  </r>
  <r>
    <x v="5"/>
    <n v="15"/>
    <n v="1"/>
    <n v="0"/>
    <n v="0"/>
    <n v="0"/>
    <n v="2"/>
    <n v="7"/>
    <n v="0"/>
    <n v="1"/>
    <s v="Climb on own"/>
    <s v="Force2, Boost3, Levitate"/>
    <s v="Really good auto (2 cubes)"/>
  </r>
  <r>
    <x v="5"/>
    <n v="25"/>
    <n v="0"/>
    <n v="0"/>
    <n v="0"/>
    <n v="7"/>
    <n v="5"/>
    <n v="2"/>
    <n v="3"/>
    <n v="1"/>
    <s v="Climb on own"/>
    <s v="Boost3"/>
    <m/>
  </r>
  <r>
    <x v="5"/>
    <n v="34"/>
    <n v="1"/>
    <n v="1"/>
    <n v="0"/>
    <n v="1"/>
    <n v="0"/>
    <n v="8"/>
    <n v="0"/>
    <n v="0"/>
    <s v="NONE"/>
    <s v="Force3, Boost3, Levitate"/>
    <m/>
  </r>
  <r>
    <x v="5"/>
    <n v="40"/>
    <n v="1"/>
    <n v="0"/>
    <n v="0"/>
    <n v="0"/>
    <n v="0"/>
    <n v="3"/>
    <n v="4"/>
    <n v="0"/>
    <s v="Climb on own"/>
    <s v="Boost3, Levitate"/>
    <s v="Autonomous missed; almost fell over"/>
  </r>
  <r>
    <x v="5"/>
    <n v="50"/>
    <n v="1"/>
    <n v="0"/>
    <n v="1"/>
    <n v="0"/>
    <n v="0"/>
    <n v="4"/>
    <n v="0"/>
    <n v="1"/>
    <s v="Levitate"/>
    <s v="Force2, Levitate"/>
    <m/>
  </r>
  <r>
    <x v="5"/>
    <n v="73"/>
    <n v="0"/>
    <n v="1"/>
    <n v="0"/>
    <n v="4"/>
    <n v="3"/>
    <n v="6"/>
    <n v="2"/>
    <n v="0"/>
    <s v="NONE"/>
    <s v="Levitate"/>
    <m/>
  </r>
  <r>
    <x v="5"/>
    <n v="79"/>
    <n v="1"/>
    <n v="0"/>
    <n v="1"/>
    <n v="0"/>
    <n v="0"/>
    <n v="7"/>
    <n v="0"/>
    <n v="1"/>
    <s v="Levitate"/>
    <s v="Force3, Boost3, Levitate"/>
    <s v="They are fast"/>
  </r>
  <r>
    <x v="6"/>
    <n v="14"/>
    <n v="1"/>
    <n v="0"/>
    <n v="0"/>
    <n v="0"/>
    <n v="0"/>
    <n v="5"/>
    <n v="0"/>
    <n v="1"/>
    <s v="Levitate"/>
    <s v="Force2, Boost3, Levitate"/>
    <s v="Git the elevator once during autonomous "/>
  </r>
  <r>
    <x v="6"/>
    <n v="17"/>
    <n v="1"/>
    <n v="0"/>
    <n v="0"/>
    <n v="0"/>
    <n v="0"/>
    <n v="0"/>
    <n v="0"/>
    <n v="1"/>
    <s v="Climb on own"/>
    <s v="Force3, Boost3, Levitate"/>
    <m/>
  </r>
  <r>
    <x v="6"/>
    <n v="27"/>
    <n v="1"/>
    <n v="0"/>
    <n v="0"/>
    <n v="0"/>
    <n v="4"/>
    <n v="2"/>
    <n v="2"/>
    <n v="1"/>
    <s v="Climb on own"/>
    <s v="Boost3, Levitate"/>
    <m/>
  </r>
  <r>
    <x v="6"/>
    <n v="30"/>
    <n v="1"/>
    <n v="1"/>
    <n v="0"/>
    <n v="0"/>
    <n v="0"/>
    <n v="8"/>
    <n v="0"/>
    <n v="1"/>
    <s v="Levitate"/>
    <s v="Boost3"/>
    <s v="Good"/>
  </r>
  <r>
    <x v="6"/>
    <n v="40"/>
    <n v="1"/>
    <n v="0"/>
    <n v="0"/>
    <n v="2"/>
    <n v="4"/>
    <n v="5"/>
    <n v="6"/>
    <n v="1"/>
    <s v="Climb on own"/>
    <s v="Boost3, Levitate"/>
    <m/>
  </r>
  <r>
    <x v="6"/>
    <n v="43"/>
    <n v="1"/>
    <n v="0"/>
    <n v="0"/>
    <n v="2"/>
    <n v="0"/>
    <n v="3"/>
    <n v="7"/>
    <n v="1"/>
    <s v="Levitate"/>
    <s v="Force1, Force2, Force3, Boost1, Boost2, Boost3, Levitate"/>
    <s v="Actually 9 cubes for exchange. "/>
  </r>
  <r>
    <x v="6"/>
    <n v="50"/>
    <n v="1"/>
    <n v="0"/>
    <n v="0"/>
    <n v="0"/>
    <n v="0"/>
    <n v="4"/>
    <n v="0"/>
    <n v="1"/>
    <s v="Climb on own"/>
    <s v="Force3, Boost3, Levitate"/>
    <s v="Spicy"/>
  </r>
  <r>
    <x v="6"/>
    <n v="58"/>
    <n v="1"/>
    <n v="0"/>
    <n v="0"/>
    <n v="0"/>
    <n v="0"/>
    <n v="5"/>
    <n v="0"/>
    <n v="1"/>
    <s v="Climb on own"/>
    <s v="Boost3, Levitate"/>
    <m/>
  </r>
  <r>
    <x v="6"/>
    <n v="60"/>
    <n v="1"/>
    <n v="0"/>
    <n v="1"/>
    <n v="0"/>
    <n v="2"/>
    <n v="3"/>
    <n v="0"/>
    <n v="1"/>
    <s v="Climb on own"/>
    <s v="Levitate"/>
    <m/>
  </r>
  <r>
    <x v="6"/>
    <n v="64"/>
    <n v="1"/>
    <n v="0"/>
    <n v="1"/>
    <n v="2"/>
    <n v="0"/>
    <n v="0"/>
    <n v="0"/>
    <n v="1"/>
    <s v="Levitate"/>
    <s v="Force2, Boost1, Levitate"/>
    <s v="They dropped a cube so that it landed on them self so they couldn’t pick anymore cubes"/>
  </r>
  <r>
    <x v="6"/>
    <n v="76"/>
    <n v="1"/>
    <n v="1"/>
    <n v="0"/>
    <n v="0"/>
    <n v="0"/>
    <n v="8"/>
    <n v="0"/>
    <n v="1"/>
    <s v="Levitate"/>
    <s v="Levitate"/>
    <m/>
  </r>
  <r>
    <x v="6"/>
    <n v="80"/>
    <n v="1"/>
    <n v="0"/>
    <n v="0"/>
    <n v="0"/>
    <n v="2"/>
    <n v="4"/>
    <n v="0"/>
    <n v="1"/>
    <s v="Climb on own"/>
    <s v="Force3, Boost2, Levitate"/>
    <m/>
  </r>
  <r>
    <x v="7"/>
    <n v="50"/>
    <n v="1"/>
    <n v="0"/>
    <n v="1"/>
    <n v="0"/>
    <n v="0"/>
    <n v="0"/>
    <n v="8"/>
    <n v="1"/>
    <s v="Levitate"/>
    <s v="Force3, Boost3, Levitate"/>
    <m/>
  </r>
  <r>
    <x v="8"/>
    <n v="3"/>
    <n v="1"/>
    <n v="1"/>
    <n v="0"/>
    <n v="0"/>
    <n v="0"/>
    <n v="5"/>
    <n v="1"/>
    <n v="1"/>
    <s v="Climb on own"/>
    <s v="Levitate"/>
    <s v="Hit the scale SEVERAL times "/>
  </r>
  <r>
    <x v="8"/>
    <n v="3"/>
    <n v="1"/>
    <n v="1"/>
    <n v="0"/>
    <n v="0"/>
    <n v="0"/>
    <n v="6"/>
    <n v="0"/>
    <n v="1"/>
    <s v="Climb on own"/>
    <s v="Boost1"/>
    <m/>
  </r>
  <r>
    <x v="8"/>
    <n v="8"/>
    <n v="1"/>
    <n v="0"/>
    <n v="0"/>
    <n v="0"/>
    <n v="0"/>
    <n v="7"/>
    <n v="0"/>
    <n v="0"/>
    <s v="Climb on own"/>
    <s v="Force3, Boost3, Levitate"/>
    <s v="Fast and consistent only dropped one cube"/>
  </r>
  <r>
    <x v="8"/>
    <n v="19"/>
    <n v="1"/>
    <n v="0"/>
    <n v="0"/>
    <n v="1"/>
    <n v="2"/>
    <n v="0"/>
    <n v="0"/>
    <n v="1"/>
    <s v="Climb on own"/>
    <s v="Force2, Levitate"/>
    <m/>
  </r>
  <r>
    <x v="8"/>
    <n v="22"/>
    <n v="1"/>
    <n v="1"/>
    <n v="0"/>
    <n v="0"/>
    <n v="0"/>
    <n v="1"/>
    <n v="5"/>
    <n v="0"/>
    <s v="NONE"/>
    <s v="Boost3, Levitate"/>
    <s v="Climb failed and they fell over"/>
  </r>
  <r>
    <x v="8"/>
    <n v="29"/>
    <n v="1"/>
    <n v="1"/>
    <n v="0"/>
    <n v="0"/>
    <n v="1"/>
    <n v="3"/>
    <n v="0"/>
    <n v="1"/>
    <s v="Levitate"/>
    <s v="Levitate"/>
    <m/>
  </r>
  <r>
    <x v="8"/>
    <n v="40"/>
    <n v="1"/>
    <n v="1"/>
    <n v="0"/>
    <n v="0"/>
    <n v="0"/>
    <n v="5"/>
    <n v="0"/>
    <n v="1"/>
    <s v="Climb on own"/>
    <s v="Force2, Boost3, Levitate"/>
    <m/>
  </r>
  <r>
    <x v="8"/>
    <n v="43"/>
    <n v="1"/>
    <n v="0"/>
    <n v="0"/>
    <n v="1"/>
    <n v="6"/>
    <n v="0"/>
    <n v="0"/>
    <n v="1"/>
    <s v="Climb on own"/>
    <s v="Force3, Boost3, Levitate"/>
    <s v="Really fast driving"/>
  </r>
  <r>
    <x v="8"/>
    <n v="52"/>
    <n v="1"/>
    <n v="0"/>
    <n v="0"/>
    <n v="0"/>
    <n v="0"/>
    <n v="3"/>
    <n v="4"/>
    <n v="1"/>
    <s v="Levitate"/>
    <s v="Force2, Boost3, Levitate"/>
    <m/>
  </r>
  <r>
    <x v="8"/>
    <n v="62"/>
    <n v="1"/>
    <n v="1"/>
    <n v="0"/>
    <n v="1"/>
    <n v="0"/>
    <n v="0"/>
    <n v="5"/>
    <n v="0"/>
    <s v="NONE"/>
    <s v="Force3, Boost1, Levitate"/>
    <m/>
  </r>
  <r>
    <x v="8"/>
    <n v="73"/>
    <n v="1"/>
    <n v="0"/>
    <n v="0"/>
    <n v="0"/>
    <n v="4"/>
    <n v="2"/>
    <n v="0"/>
    <n v="1"/>
    <s v="Climb on own"/>
    <s v="Force3, Boost3, Levitate"/>
    <s v="Fast on switch"/>
  </r>
  <r>
    <x v="9"/>
    <n v="3"/>
    <n v="1"/>
    <n v="0"/>
    <n v="1"/>
    <n v="0"/>
    <n v="0"/>
    <n v="5"/>
    <n v="0"/>
    <n v="0"/>
    <s v="NONE"/>
    <s v="Boost1"/>
    <m/>
  </r>
  <r>
    <x v="9"/>
    <n v="11"/>
    <n v="1"/>
    <n v="0"/>
    <n v="1"/>
    <n v="2"/>
    <n v="0"/>
    <n v="5"/>
    <n v="0"/>
    <n v="0"/>
    <s v="NONE"/>
    <s v="Levitate"/>
    <s v="Kept hitting the scale "/>
  </r>
  <r>
    <x v="9"/>
    <n v="20"/>
    <n v="1"/>
    <n v="0"/>
    <n v="0"/>
    <n v="3"/>
    <n v="3"/>
    <n v="1"/>
    <n v="0"/>
    <n v="0"/>
    <s v="NONE"/>
    <s v="Boost3, Levitate"/>
    <s v="Hit the scale "/>
  </r>
  <r>
    <x v="9"/>
    <n v="24"/>
    <n v="1"/>
    <n v="0"/>
    <n v="1"/>
    <n v="0"/>
    <n v="0"/>
    <n v="3"/>
    <n v="3"/>
    <n v="1"/>
    <s v="Levitate"/>
    <s v="Boost1, Levitate"/>
    <m/>
  </r>
  <r>
    <x v="9"/>
    <n v="32"/>
    <n v="1"/>
    <n v="0"/>
    <n v="0"/>
    <n v="2"/>
    <n v="0"/>
    <n v="2"/>
    <n v="7"/>
    <n v="0"/>
    <m/>
    <s v="Force3, Boost3, Levitate"/>
    <s v="Autonomous missed; good all round robot"/>
  </r>
  <r>
    <x v="9"/>
    <n v="41"/>
    <n v="1"/>
    <n v="0"/>
    <n v="0"/>
    <n v="0"/>
    <n v="0"/>
    <n v="6"/>
    <n v="0"/>
    <n v="1"/>
    <s v="Levitate"/>
    <s v="Boost3, Levitate"/>
    <s v="Really good at picking up cubes"/>
  </r>
  <r>
    <x v="9"/>
    <n v="47"/>
    <n v="1"/>
    <n v="0"/>
    <n v="1"/>
    <n v="0"/>
    <n v="4"/>
    <n v="1"/>
    <n v="0"/>
    <n v="1"/>
    <s v="Levitate"/>
    <s v="Boost3"/>
    <m/>
  </r>
  <r>
    <x v="9"/>
    <n v="50"/>
    <n v="1"/>
    <n v="0"/>
    <n v="0"/>
    <n v="1"/>
    <n v="0"/>
    <n v="1"/>
    <n v="3"/>
    <n v="0"/>
    <s v="NONE"/>
    <s v="Force2, Levitate"/>
    <m/>
  </r>
  <r>
    <x v="9"/>
    <n v="59"/>
    <n v="1"/>
    <n v="0"/>
    <n v="0"/>
    <n v="0"/>
    <n v="0"/>
    <n v="5"/>
    <n v="2"/>
    <n v="1"/>
    <s v="Assisted (climb on ramp)"/>
    <s v="Force3, Boost3, Levitate"/>
    <m/>
  </r>
  <r>
    <x v="9"/>
    <n v="59"/>
    <n v="1"/>
    <n v="1"/>
    <n v="0"/>
    <n v="0"/>
    <n v="2"/>
    <n v="2"/>
    <n v="0"/>
    <n v="1"/>
    <s v="Levitate"/>
    <s v="Levitate"/>
    <s v="Shaky robot "/>
  </r>
  <r>
    <x v="9"/>
    <n v="63"/>
    <n v="1"/>
    <n v="1"/>
    <n v="0"/>
    <n v="1"/>
    <n v="0"/>
    <n v="2"/>
    <n v="2"/>
    <n v="1"/>
    <s v="Assisted (climb on ramp)"/>
    <s v="Force2, Boost3, Levitate"/>
    <m/>
  </r>
  <r>
    <x v="9"/>
    <n v="64"/>
    <n v="0"/>
    <n v="1"/>
    <n v="0"/>
    <n v="3"/>
    <n v="2"/>
    <n v="8"/>
    <n v="8"/>
    <n v="0"/>
    <s v="NONE"/>
    <s v="Boost3, Levitate"/>
    <s v="Great with switch and scale"/>
  </r>
  <r>
    <x v="9"/>
    <n v="78"/>
    <n v="1"/>
    <n v="0"/>
    <n v="1"/>
    <n v="2"/>
    <n v="0"/>
    <n v="1"/>
    <n v="0"/>
    <n v="0"/>
    <s v="NONE"/>
    <s v="Levitate"/>
    <m/>
  </r>
  <r>
    <x v="10"/>
    <n v="6"/>
    <n v="1"/>
    <n v="1"/>
    <n v="0"/>
    <n v="0"/>
    <n v="6"/>
    <n v="0"/>
    <n v="2"/>
    <n v="1"/>
    <s v="Climb on own"/>
    <m/>
    <m/>
  </r>
  <r>
    <x v="10"/>
    <n v="10"/>
    <n v="1"/>
    <n v="0"/>
    <n v="1"/>
    <n v="0"/>
    <n v="4"/>
    <n v="1"/>
    <n v="3"/>
    <n v="1"/>
    <s v="Levitate"/>
    <s v="Force3, Boost3, Levitate"/>
    <s v="Is really quick "/>
  </r>
  <r>
    <x v="10"/>
    <n v="18"/>
    <n v="1"/>
    <n v="1"/>
    <n v="0"/>
    <n v="1"/>
    <n v="3"/>
    <n v="3"/>
    <n v="4"/>
    <n v="1"/>
    <s v="Climb on own"/>
    <s v="Boost3, Levitate"/>
    <s v="Double climb!!!"/>
  </r>
  <r>
    <x v="10"/>
    <n v="33"/>
    <n v="0"/>
    <n v="1"/>
    <n v="0"/>
    <n v="2"/>
    <n v="2"/>
    <n v="6"/>
    <n v="7"/>
    <n v="1"/>
    <s v="Climb on own"/>
    <s v="Force3, Boost3"/>
    <m/>
  </r>
  <r>
    <x v="10"/>
    <n v="37"/>
    <n v="1"/>
    <n v="1"/>
    <n v="0"/>
    <n v="0"/>
    <n v="0"/>
    <n v="8"/>
    <n v="0"/>
    <n v="1"/>
    <s v="Climb on own"/>
    <s v="Force3, Boost3, Levitate"/>
    <s v="Double climb!!"/>
  </r>
  <r>
    <x v="10"/>
    <n v="42"/>
    <n v="1"/>
    <n v="1"/>
    <n v="0"/>
    <n v="2"/>
    <n v="3"/>
    <n v="3"/>
    <n v="0"/>
    <n v="1"/>
    <s v="Levitate"/>
    <s v="Force1, Force2, Force3, Boost1, Boost2, Boost3, Levitate"/>
    <s v="Fast Bois. Live love Chris. Gud team"/>
  </r>
  <r>
    <x v="10"/>
    <n v="50"/>
    <n v="1"/>
    <n v="1"/>
    <n v="0"/>
    <n v="0"/>
    <n v="0"/>
    <n v="5"/>
    <n v="2"/>
    <n v="1"/>
    <s v="Climb on own"/>
    <s v="Force1, Force2, Force3, Boost1, Boost2, Boost3, Levitate"/>
    <s v="2 cube auto. Yes Chris I believed in you!!"/>
  </r>
  <r>
    <x v="10"/>
    <n v="56"/>
    <n v="1"/>
    <n v="0"/>
    <n v="1"/>
    <n v="0"/>
    <n v="0"/>
    <n v="3"/>
    <n v="0"/>
    <n v="1"/>
    <s v="Climb on own"/>
    <s v="Force1, Levitate"/>
    <s v="Climbed and assisted and got another cube in auto"/>
  </r>
  <r>
    <x v="10"/>
    <n v="56"/>
    <n v="1"/>
    <n v="0"/>
    <n v="1"/>
    <n v="0"/>
    <n v="0"/>
    <n v="7"/>
    <n v="0"/>
    <n v="1"/>
    <s v="Climb on own"/>
    <s v="Boost3, Levitate"/>
    <s v="Another bot attached to its back and also climbed "/>
  </r>
  <r>
    <x v="10"/>
    <n v="66"/>
    <n v="0"/>
    <n v="1"/>
    <n v="0"/>
    <n v="5"/>
    <n v="4"/>
    <n v="8"/>
    <n v="7"/>
    <n v="1"/>
    <s v="Climb on own"/>
    <s v="Force1, Boost3, Levitate"/>
    <s v="Fast, amazing at scale and switch and good with vault "/>
  </r>
  <r>
    <x v="10"/>
    <n v="82"/>
    <n v="1"/>
    <n v="0"/>
    <n v="1"/>
    <n v="2"/>
    <n v="7"/>
    <n v="2"/>
    <n v="0"/>
    <n v="0"/>
    <s v="NONE"/>
    <s v="Force3, Boost3, Levitate"/>
    <s v="Had three cubes in auto scale "/>
  </r>
  <r>
    <x v="10"/>
    <n v="82"/>
    <n v="1"/>
    <n v="0"/>
    <n v="1"/>
    <n v="2"/>
    <n v="7"/>
    <n v="2"/>
    <n v="0"/>
    <n v="0"/>
    <s v="NONE"/>
    <s v="Force3, Boost3, Levitate"/>
    <s v="Had three cubes in auto scale "/>
  </r>
  <r>
    <x v="11"/>
    <n v="5"/>
    <n v="1"/>
    <n v="1"/>
    <n v="1"/>
    <n v="0"/>
    <n v="0"/>
    <n v="4"/>
    <n v="4"/>
    <n v="1"/>
    <s v="Levitate"/>
    <s v="Boost3, Levitate"/>
    <m/>
  </r>
  <r>
    <x v="11"/>
    <n v="8"/>
    <n v="1"/>
    <n v="0"/>
    <n v="0"/>
    <n v="0"/>
    <n v="0"/>
    <n v="6"/>
    <n v="1"/>
    <n v="1"/>
    <s v="Climb on own"/>
    <s v="Boost2, Levitate"/>
    <s v="Hit the scale in autorun "/>
  </r>
  <r>
    <x v="11"/>
    <n v="14"/>
    <n v="1"/>
    <n v="1"/>
    <n v="1"/>
    <n v="0"/>
    <n v="4"/>
    <n v="2"/>
    <n v="1"/>
    <n v="1"/>
    <s v="Climb on own"/>
    <s v="Force2, Boost3, Levitate"/>
    <m/>
  </r>
  <r>
    <x v="11"/>
    <n v="14"/>
    <n v="1"/>
    <n v="1"/>
    <n v="0"/>
    <n v="0"/>
    <n v="2"/>
    <n v="3"/>
    <n v="0"/>
    <n v="1"/>
    <s v="Climb on own"/>
    <s v="Force2, Boost3, Levitate"/>
    <m/>
  </r>
  <r>
    <x v="11"/>
    <n v="22"/>
    <n v="1"/>
    <n v="0"/>
    <n v="0"/>
    <n v="0"/>
    <n v="0"/>
    <n v="4"/>
    <n v="0"/>
    <n v="1"/>
    <s v="Levitate"/>
    <s v="Force1, Boost3, Levitate"/>
    <s v="For some reason they weren’t able to pick up a cube which prevented them from contributing more. They also didn’t climb on time"/>
  </r>
  <r>
    <x v="11"/>
    <n v="30"/>
    <n v="1"/>
    <n v="0"/>
    <n v="0"/>
    <n v="0"/>
    <n v="0"/>
    <n v="7"/>
    <n v="0"/>
    <n v="1"/>
    <s v="Climb on own"/>
    <s v="Boost2"/>
    <m/>
  </r>
  <r>
    <x v="11"/>
    <n v="39"/>
    <n v="1"/>
    <n v="0"/>
    <n v="1"/>
    <n v="1"/>
    <n v="2"/>
    <n v="3"/>
    <n v="1"/>
    <n v="1"/>
    <s v="Climb on own"/>
    <s v="Force3, Boost3, Levitate"/>
    <s v="Double scale-auto"/>
  </r>
  <r>
    <x v="11"/>
    <n v="45"/>
    <n v="1"/>
    <n v="1"/>
    <n v="1"/>
    <n v="0"/>
    <n v="0"/>
    <n v="6"/>
    <n v="0"/>
    <n v="1"/>
    <s v="Climb on own"/>
    <s v="Force3, Boost2, Levitate"/>
    <s v="My best friends did amazing :)"/>
  </r>
  <r>
    <x v="11"/>
    <n v="52"/>
    <n v="1"/>
    <n v="1"/>
    <n v="0"/>
    <n v="1"/>
    <n v="0"/>
    <n v="6"/>
    <n v="1"/>
    <n v="1"/>
    <s v="Levitate"/>
    <s v="Force1, Boost1, Levitate"/>
    <s v="Auto exchange. Ran out of time to climb "/>
  </r>
  <r>
    <x v="11"/>
    <n v="61"/>
    <n v="1"/>
    <n v="1"/>
    <n v="0"/>
    <n v="0"/>
    <n v="0"/>
    <n v="5"/>
    <n v="3"/>
    <n v="1"/>
    <s v="Climb on own"/>
    <s v="Force1, Force2, Force3, Boost1, Boost2, Boost3, Levitate"/>
    <s v="Auto cube in exchange as well as the switch"/>
  </r>
  <r>
    <x v="11"/>
    <n v="75"/>
    <n v="1"/>
    <n v="1"/>
    <n v="0"/>
    <n v="0"/>
    <n v="0"/>
    <n v="6"/>
    <n v="0"/>
    <n v="1"/>
    <s v="Levitate"/>
    <s v="Force3, Boost2, Levitate"/>
    <s v="Auto exchange. Knocked some cubes off scale"/>
  </r>
  <r>
    <x v="11"/>
    <n v="78"/>
    <n v="1"/>
    <n v="1"/>
    <n v="0"/>
    <n v="1"/>
    <n v="0"/>
    <n v="6"/>
    <n v="0"/>
    <n v="1"/>
    <s v="Climb on own"/>
    <s v="Levitate"/>
    <s v="Auto exchange"/>
  </r>
  <r>
    <x v="12"/>
    <n v="2"/>
    <n v="1"/>
    <n v="1"/>
    <n v="1"/>
    <n v="1"/>
    <n v="0"/>
    <n v="2"/>
    <n v="0"/>
    <n v="1"/>
    <s v="Climb on own"/>
    <s v="Levitate"/>
    <s v="Shooter is unreliable "/>
  </r>
  <r>
    <x v="12"/>
    <n v="10"/>
    <n v="1"/>
    <n v="0"/>
    <n v="0"/>
    <n v="0"/>
    <n v="0"/>
    <n v="0"/>
    <n v="6"/>
    <n v="0"/>
    <s v="NONE"/>
    <s v="Force3, Boost3, Levitate"/>
    <m/>
  </r>
  <r>
    <x v="12"/>
    <n v="10"/>
    <n v="1"/>
    <n v="0"/>
    <n v="0"/>
    <n v="1"/>
    <n v="0"/>
    <n v="0"/>
    <n v="2"/>
    <n v="0"/>
    <s v="NONE"/>
    <s v="Force2, Boost3, Levitate"/>
    <m/>
  </r>
  <r>
    <x v="12"/>
    <n v="15"/>
    <n v="1"/>
    <n v="0"/>
    <n v="0"/>
    <n v="0"/>
    <n v="2"/>
    <n v="1"/>
    <n v="0"/>
    <n v="0"/>
    <s v="NONE"/>
    <s v="Force2, Levitate"/>
    <m/>
  </r>
  <r>
    <x v="12"/>
    <n v="15"/>
    <n v="1"/>
    <n v="0"/>
    <n v="0"/>
    <n v="0"/>
    <n v="2"/>
    <n v="2"/>
    <n v="0"/>
    <n v="1"/>
    <m/>
    <s v="Force2, Boost1"/>
    <m/>
  </r>
  <r>
    <x v="12"/>
    <n v="24"/>
    <n v="1"/>
    <n v="0"/>
    <n v="0"/>
    <n v="0"/>
    <n v="0"/>
    <n v="3"/>
    <n v="0"/>
    <n v="1"/>
    <s v="Climb on own"/>
    <s v="Levitate"/>
    <m/>
  </r>
  <r>
    <x v="12"/>
    <n v="31"/>
    <n v="1"/>
    <n v="0"/>
    <n v="0"/>
    <n v="0"/>
    <n v="2"/>
    <n v="2"/>
    <n v="0"/>
    <n v="1"/>
    <s v="Levitate"/>
    <s v="Force2, Boost2, Levitate"/>
    <m/>
  </r>
  <r>
    <x v="12"/>
    <n v="39"/>
    <n v="1"/>
    <n v="1"/>
    <n v="0"/>
    <n v="3"/>
    <n v="0"/>
    <n v="0"/>
    <n v="2"/>
    <n v="1"/>
    <s v="Climb on own"/>
    <s v="Force2, Levitate"/>
    <m/>
  </r>
  <r>
    <x v="12"/>
    <n v="46"/>
    <n v="1"/>
    <n v="0"/>
    <n v="0"/>
    <n v="1"/>
    <n v="0"/>
    <n v="0"/>
    <n v="0"/>
    <n v="0"/>
    <s v="NONE"/>
    <m/>
    <s v="Rough match. Couldnt control the robot when it came time to climb. Kept missing the switch. Auto switch missed"/>
  </r>
  <r>
    <x v="12"/>
    <n v="52"/>
    <n v="1"/>
    <n v="0"/>
    <n v="1"/>
    <n v="0"/>
    <n v="0"/>
    <n v="1"/>
    <n v="4"/>
    <n v="0"/>
    <s v="Climb on own"/>
    <s v="Force1, Levitate"/>
    <s v="Learning curve with the exchange"/>
  </r>
  <r>
    <x v="12"/>
    <n v="58"/>
    <n v="1"/>
    <n v="0"/>
    <n v="0"/>
    <n v="1"/>
    <n v="0"/>
    <n v="5"/>
    <n v="0"/>
    <n v="1"/>
    <s v="Climb on own"/>
    <s v="Force3, Boost3, Levitate"/>
    <s v="Good really good"/>
  </r>
  <r>
    <x v="12"/>
    <n v="58"/>
    <n v="1"/>
    <n v="0"/>
    <n v="0"/>
    <n v="0"/>
    <n v="0"/>
    <n v="2"/>
    <n v="1"/>
    <n v="1"/>
    <s v="Climb on own"/>
    <s v="Force2, Boost3, Levitate"/>
    <m/>
  </r>
  <r>
    <x v="12"/>
    <n v="70"/>
    <n v="1"/>
    <n v="0"/>
    <n v="1"/>
    <n v="0"/>
    <n v="0"/>
    <n v="1"/>
    <n v="6"/>
    <n v="1"/>
    <s v="Levitate"/>
    <s v="Force3, Boost3, Levitate"/>
    <m/>
  </r>
  <r>
    <x v="13"/>
    <n v="14"/>
    <n v="1"/>
    <n v="1"/>
    <n v="0"/>
    <n v="2"/>
    <n v="0"/>
    <n v="0"/>
    <n v="7"/>
    <n v="0"/>
    <s v="NONE"/>
    <s v="Force3, Boost3, Levitate"/>
    <m/>
  </r>
  <r>
    <x v="13"/>
    <n v="17"/>
    <n v="1"/>
    <n v="1"/>
    <n v="0"/>
    <n v="0"/>
    <n v="0"/>
    <n v="1"/>
    <n v="5"/>
    <n v="0"/>
    <m/>
    <s v="Force3, Boost3, Levitate"/>
    <m/>
  </r>
  <r>
    <x v="13"/>
    <n v="26"/>
    <n v="1"/>
    <n v="1"/>
    <n v="0"/>
    <n v="1"/>
    <n v="0"/>
    <n v="0"/>
    <n v="8"/>
    <n v="1"/>
    <s v="Climb on own"/>
    <s v="Force3, Levitate"/>
    <m/>
  </r>
  <r>
    <x v="13"/>
    <n v="29"/>
    <n v="1"/>
    <n v="1"/>
    <n v="0"/>
    <n v="1"/>
    <n v="0"/>
    <n v="4"/>
    <n v="1"/>
    <n v="1"/>
    <s v="Climb on own"/>
    <s v="Boost3, Levitate"/>
    <m/>
  </r>
  <r>
    <x v="13"/>
    <n v="35"/>
    <n v="0"/>
    <n v="1"/>
    <n v="0"/>
    <n v="3"/>
    <n v="5"/>
    <n v="6"/>
    <n v="6"/>
    <n v="1"/>
    <s v="Climb on own"/>
    <s v="Force3, Levitate"/>
    <m/>
  </r>
  <r>
    <x v="13"/>
    <n v="48"/>
    <n v="1"/>
    <n v="0"/>
    <n v="0"/>
    <n v="0"/>
    <n v="0"/>
    <n v="3"/>
    <n v="0"/>
    <n v="0"/>
    <s v="Climb on own"/>
    <s v="Force3, Boost3, Levitate"/>
    <s v="Auto Missed; THEY DIDN'T CLIMB BUT I STILL LOVE IT SO MUCH!!!"/>
  </r>
  <r>
    <x v="13"/>
    <n v="51"/>
    <n v="1"/>
    <n v="1"/>
    <n v="0"/>
    <n v="3"/>
    <n v="4"/>
    <n v="0"/>
    <n v="0"/>
    <n v="0"/>
    <s v="Climb on own"/>
    <s v="Force3, Levitate"/>
    <s v="THE CLIMB IS BEATIFUL BUT INCONSISTENT"/>
  </r>
  <r>
    <x v="13"/>
    <n v="62"/>
    <n v="0"/>
    <n v="1"/>
    <n v="0"/>
    <n v="1"/>
    <n v="3"/>
    <n v="5"/>
    <n v="6"/>
    <n v="0"/>
    <s v="NONE"/>
    <s v="Boost3, Levitate"/>
    <s v="Climb was AMAZINGGGGGG"/>
  </r>
  <r>
    <x v="13"/>
    <n v="68"/>
    <n v="1"/>
    <n v="1"/>
    <n v="0"/>
    <n v="0"/>
    <n v="0"/>
    <n v="2"/>
    <n v="0"/>
    <n v="1"/>
    <s v="Levitate"/>
    <s v="Force3, Boost3, Levitate"/>
    <s v="2 cube auto. Inconsistent shooting mechanism "/>
  </r>
  <r>
    <x v="13"/>
    <n v="74"/>
    <n v="0"/>
    <n v="1"/>
    <n v="0"/>
    <n v="4"/>
    <n v="3"/>
    <n v="3"/>
    <n v="6"/>
    <n v="1"/>
    <s v="Assisted (climb on ramp)"/>
    <s v="Boost3, Levitate"/>
    <m/>
  </r>
  <r>
    <x v="13"/>
    <n v="74"/>
    <n v="1"/>
    <n v="0"/>
    <n v="0"/>
    <n v="4"/>
    <n v="0"/>
    <n v="0"/>
    <n v="0"/>
    <n v="1"/>
    <s v="Assisted (climb on ramp)"/>
    <s v="Boost3, Levitate"/>
    <m/>
  </r>
  <r>
    <x v="13"/>
    <n v="78"/>
    <n v="0"/>
    <n v="1"/>
    <n v="0"/>
    <n v="1"/>
    <n v="3"/>
    <n v="5"/>
    <n v="3"/>
    <n v="0"/>
    <s v="NONE"/>
    <s v="Boost3"/>
    <m/>
  </r>
  <r>
    <x v="13"/>
    <n v="78"/>
    <n v="1"/>
    <n v="1"/>
    <n v="0"/>
    <n v="0"/>
    <n v="2"/>
    <n v="2"/>
    <n v="0"/>
    <n v="0"/>
    <m/>
    <s v="Levitate"/>
    <m/>
  </r>
  <r>
    <x v="14"/>
    <n v="7"/>
    <n v="1"/>
    <n v="0"/>
    <n v="0"/>
    <n v="0"/>
    <n v="0"/>
    <n v="0"/>
    <n v="3"/>
    <n v="1"/>
    <s v="Assisted (climb on ramp)"/>
    <s v="Levitate"/>
    <m/>
  </r>
  <r>
    <x v="14"/>
    <n v="7"/>
    <n v="1"/>
    <n v="0"/>
    <n v="0"/>
    <n v="0"/>
    <n v="0"/>
    <n v="0"/>
    <n v="3"/>
    <n v="0"/>
    <s v="NONE"/>
    <s v="Levitate"/>
    <m/>
  </r>
  <r>
    <x v="14"/>
    <n v="12"/>
    <n v="1"/>
    <n v="0"/>
    <n v="0"/>
    <n v="1"/>
    <n v="0"/>
    <n v="0"/>
    <n v="1"/>
    <n v="1"/>
    <s v="Climb on own"/>
    <m/>
    <m/>
  </r>
  <r>
    <x v="14"/>
    <n v="16"/>
    <n v="1"/>
    <n v="0"/>
    <n v="1"/>
    <n v="0"/>
    <n v="0"/>
    <n v="2"/>
    <n v="0"/>
    <n v="1"/>
    <s v="Climb on own"/>
    <s v="Boost3, Levitate"/>
    <m/>
  </r>
  <r>
    <x v="14"/>
    <n v="23"/>
    <n v="1"/>
    <n v="0"/>
    <n v="0"/>
    <n v="2"/>
    <n v="3"/>
    <n v="2"/>
    <n v="7"/>
    <n v="0"/>
    <s v="NONE"/>
    <s v="Force1, Boost3, Levitate"/>
    <m/>
  </r>
  <r>
    <x v="14"/>
    <n v="23"/>
    <n v="1"/>
    <n v="0"/>
    <n v="0"/>
    <n v="0"/>
    <n v="0"/>
    <n v="0"/>
    <n v="4"/>
    <n v="0"/>
    <m/>
    <s v="Boost3, Levitate"/>
    <s v="They have our design but can drive better than us"/>
  </r>
  <r>
    <x v="14"/>
    <n v="33"/>
    <n v="1"/>
    <n v="0"/>
    <n v="1"/>
    <n v="5"/>
    <n v="0"/>
    <n v="0"/>
    <n v="0"/>
    <n v="1"/>
    <s v="Climb on own"/>
    <s v="Levitate"/>
    <m/>
  </r>
  <r>
    <x v="14"/>
    <n v="36"/>
    <n v="1"/>
    <n v="0"/>
    <n v="0"/>
    <n v="1"/>
    <n v="0"/>
    <n v="1"/>
    <n v="0"/>
    <n v="0"/>
    <s v="NONE"/>
    <s v="Force3, Boost3"/>
    <s v="Jerky and hands aren’t secure "/>
  </r>
  <r>
    <x v="14"/>
    <n v="46"/>
    <n v="1"/>
    <n v="0"/>
    <n v="0"/>
    <n v="0"/>
    <n v="0"/>
    <n v="3"/>
    <n v="0"/>
    <n v="1"/>
    <s v="Levitate"/>
    <s v="Force3, Boost3, Levitate"/>
    <m/>
  </r>
  <r>
    <x v="14"/>
    <n v="55"/>
    <n v="1"/>
    <n v="0"/>
    <n v="0"/>
    <n v="1"/>
    <n v="0"/>
    <n v="1"/>
    <n v="0"/>
    <n v="1"/>
    <s v="Climb on own"/>
    <s v="Force2, Levitate"/>
    <m/>
  </r>
  <r>
    <x v="14"/>
    <n v="58"/>
    <n v="1"/>
    <n v="0"/>
    <n v="1"/>
    <n v="1"/>
    <n v="0"/>
    <n v="1"/>
    <n v="0"/>
    <n v="1"/>
    <s v="Levitate"/>
    <s v="Levitate"/>
    <m/>
  </r>
  <r>
    <x v="14"/>
    <n v="73"/>
    <n v="1"/>
    <n v="0"/>
    <n v="1"/>
    <n v="0"/>
    <n v="0"/>
    <n v="4"/>
    <n v="0"/>
    <n v="0"/>
    <s v="NONE"/>
    <s v="Force3, Boost3, Levitate"/>
    <m/>
  </r>
  <r>
    <x v="14"/>
    <n v="76"/>
    <n v="1"/>
    <n v="0"/>
    <n v="0"/>
    <n v="2"/>
    <n v="0"/>
    <n v="0"/>
    <n v="2"/>
    <n v="0"/>
    <s v="NONE"/>
    <s v="Levitate"/>
    <m/>
  </r>
  <r>
    <x v="15"/>
    <n v="62"/>
    <n v="1"/>
    <n v="0"/>
    <n v="0"/>
    <n v="1"/>
    <n v="1"/>
    <n v="4"/>
    <n v="0"/>
    <n v="1"/>
    <s v="Climb on own"/>
    <s v="Force3, Boost1, Levitate"/>
    <m/>
  </r>
  <r>
    <x v="16"/>
    <n v="11"/>
    <n v="1"/>
    <n v="0"/>
    <n v="0"/>
    <n v="1"/>
    <n v="0"/>
    <n v="5"/>
    <n v="0"/>
    <n v="1"/>
    <s v="Climb on own"/>
    <s v="Force1, Force3, Boost1, Levitate"/>
    <s v="Really good climb!!!"/>
  </r>
  <r>
    <x v="16"/>
    <n v="17"/>
    <n v="1"/>
    <n v="0"/>
    <n v="0"/>
    <n v="0"/>
    <n v="0"/>
    <n v="3"/>
    <n v="0"/>
    <n v="1"/>
    <s v="Climb on own"/>
    <s v="Force3, Boost3, Levitate"/>
    <s v="Slow"/>
  </r>
  <r>
    <x v="16"/>
    <n v="22"/>
    <n v="0"/>
    <n v="0"/>
    <n v="0"/>
    <n v="0"/>
    <n v="3"/>
    <n v="4"/>
    <n v="3"/>
    <n v="1"/>
    <s v="Climb on own"/>
    <s v="Boost3"/>
    <m/>
  </r>
  <r>
    <x v="16"/>
    <n v="34"/>
    <n v="1"/>
    <n v="0"/>
    <n v="0"/>
    <n v="0"/>
    <n v="3"/>
    <n v="0"/>
    <n v="0"/>
    <n v="1"/>
    <s v="Levitate"/>
    <s v="Force3, Boost3, Levitate"/>
    <m/>
  </r>
  <r>
    <x v="16"/>
    <n v="37"/>
    <n v="0"/>
    <n v="1"/>
    <n v="0"/>
    <n v="3"/>
    <n v="5"/>
    <n v="5"/>
    <n v="4"/>
    <n v="1"/>
    <s v="Climb on own"/>
    <s v="Boost3, Levitate"/>
    <s v="Great climb"/>
  </r>
  <r>
    <x v="16"/>
    <n v="42"/>
    <n v="1"/>
    <n v="0"/>
    <n v="0"/>
    <n v="0"/>
    <n v="4"/>
    <n v="0"/>
    <n v="0"/>
    <n v="1"/>
    <s v="Levitate"/>
    <s v="Force3, Boost3, Levitate"/>
    <m/>
  </r>
  <r>
    <x v="16"/>
    <n v="49"/>
    <n v="1"/>
    <n v="0"/>
    <n v="0"/>
    <n v="6"/>
    <n v="0"/>
    <n v="0"/>
    <n v="0"/>
    <n v="1"/>
    <s v="Levitate"/>
    <s v="Force1, Boost1, Boost2, Boost3, Levitate"/>
    <m/>
  </r>
  <r>
    <x v="16"/>
    <n v="58"/>
    <n v="1"/>
    <n v="0"/>
    <n v="0"/>
    <n v="0"/>
    <n v="0"/>
    <n v="6"/>
    <n v="0"/>
    <n v="1"/>
    <s v="Climb on own"/>
    <s v="Force1, Force2, Force3, Boost1, Boost2, Boost3, Levitate"/>
    <m/>
  </r>
  <r>
    <x v="16"/>
    <n v="70"/>
    <n v="1"/>
    <n v="0"/>
    <n v="0"/>
    <n v="1"/>
    <n v="0"/>
    <n v="3"/>
    <n v="1"/>
    <n v="1"/>
    <s v="Levitate"/>
    <s v="Force3, Boost1, Levitate"/>
    <m/>
  </r>
  <r>
    <x v="17"/>
    <n v="2"/>
    <n v="0"/>
    <n v="0"/>
    <n v="0"/>
    <n v="0"/>
    <n v="5"/>
    <n v="0"/>
    <n v="3"/>
    <n v="0"/>
    <s v="NONE"/>
    <m/>
    <m/>
  </r>
  <r>
    <x v="17"/>
    <n v="8"/>
    <n v="1"/>
    <n v="0"/>
    <n v="0"/>
    <n v="0"/>
    <n v="5"/>
    <n v="0"/>
    <n v="4"/>
    <n v="1"/>
    <s v="Levitate"/>
    <s v="Force3, Boost3, Levitate"/>
    <m/>
  </r>
  <r>
    <x v="17"/>
    <n v="27"/>
    <n v="1"/>
    <n v="1"/>
    <n v="1"/>
    <n v="0"/>
    <n v="6"/>
    <n v="0"/>
    <n v="0"/>
    <n v="1"/>
    <s v="Levitate"/>
    <s v="Force1, Boost1, Levitate"/>
    <m/>
  </r>
  <r>
    <x v="17"/>
    <n v="32"/>
    <n v="0"/>
    <n v="1"/>
    <n v="0"/>
    <n v="4"/>
    <n v="3"/>
    <n v="2"/>
    <n v="9"/>
    <n v="0"/>
    <s v="NONE"/>
    <s v="Force3, Boost3, Levitate"/>
    <m/>
  </r>
  <r>
    <x v="17"/>
    <n v="38"/>
    <n v="1"/>
    <n v="0"/>
    <n v="0"/>
    <n v="0"/>
    <n v="5"/>
    <n v="0"/>
    <n v="0"/>
    <n v="0"/>
    <m/>
    <s v="Boost3, Levitate"/>
    <m/>
  </r>
  <r>
    <x v="17"/>
    <n v="45"/>
    <n v="0"/>
    <n v="0"/>
    <n v="0"/>
    <n v="1"/>
    <n v="3"/>
    <n v="0"/>
    <n v="4"/>
    <n v="1"/>
    <s v="Levitate"/>
    <s v="Force2, Boost3, Levitate"/>
    <s v="Extremely fast robot"/>
  </r>
  <r>
    <x v="17"/>
    <n v="57"/>
    <n v="1"/>
    <n v="0"/>
    <n v="0"/>
    <n v="0"/>
    <n v="6"/>
    <n v="0"/>
    <n v="1"/>
    <n v="0"/>
    <s v="Levitate"/>
    <s v="Force3, Levitate"/>
    <m/>
  </r>
  <r>
    <x v="17"/>
    <n v="70"/>
    <n v="1"/>
    <n v="0"/>
    <n v="0"/>
    <n v="0"/>
    <n v="5"/>
    <n v="0"/>
    <n v="2"/>
    <n v="0"/>
    <s v="NONE"/>
    <s v="Force3, Boost3, Levitate"/>
    <m/>
  </r>
  <r>
    <x v="17"/>
    <n v="79"/>
    <n v="1"/>
    <n v="0"/>
    <n v="0"/>
    <n v="0"/>
    <n v="5"/>
    <n v="0"/>
    <n v="0"/>
    <n v="0"/>
    <s v="NONE"/>
    <s v="Boost1"/>
    <m/>
  </r>
  <r>
    <x v="18"/>
    <n v="6"/>
    <n v="0"/>
    <n v="0"/>
    <n v="0"/>
    <n v="0"/>
    <n v="0"/>
    <n v="0"/>
    <n v="0"/>
    <n v="0"/>
    <s v="NONE"/>
    <s v="Boost2, Levitate"/>
    <s v="Robot wasn’t there "/>
  </r>
  <r>
    <x v="18"/>
    <n v="9"/>
    <n v="0"/>
    <n v="0"/>
    <n v="0"/>
    <n v="0"/>
    <n v="0"/>
    <n v="0"/>
    <n v="0"/>
    <n v="0"/>
    <s v="NONE"/>
    <s v="Force3, Boost3, Levitate"/>
    <s v="Seemed to have a connection problem."/>
  </r>
  <r>
    <x v="18"/>
    <n v="20"/>
    <n v="0"/>
    <n v="0"/>
    <n v="0"/>
    <n v="0"/>
    <n v="0"/>
    <n v="0"/>
    <n v="0"/>
    <n v="0"/>
    <s v="NONE"/>
    <m/>
    <s v="Did not Show."/>
  </r>
  <r>
    <x v="18"/>
    <n v="23"/>
    <n v="0"/>
    <n v="0"/>
    <n v="0"/>
    <n v="0"/>
    <n v="0"/>
    <n v="0"/>
    <n v="0"/>
    <n v="0"/>
    <s v="NONE"/>
    <m/>
    <s v="Did not participate in this match"/>
  </r>
  <r>
    <x v="18"/>
    <n v="28"/>
    <n v="0"/>
    <n v="0"/>
    <n v="0"/>
    <n v="0"/>
    <n v="3"/>
    <n v="0"/>
    <n v="3"/>
    <n v="0"/>
    <s v="NONE"/>
    <s v="Force3"/>
    <s v="Didn’t do much "/>
  </r>
  <r>
    <x v="18"/>
    <n v="38"/>
    <n v="1"/>
    <n v="0"/>
    <n v="0"/>
    <n v="1"/>
    <n v="0"/>
    <n v="0"/>
    <n v="0"/>
    <n v="1"/>
    <s v="Levitate"/>
    <s v="Boost3, Levitate"/>
    <s v="This robot stopped working "/>
  </r>
  <r>
    <x v="18"/>
    <n v="45"/>
    <n v="1"/>
    <n v="0"/>
    <n v="0"/>
    <n v="2"/>
    <n v="0"/>
    <n v="0"/>
    <n v="4"/>
    <n v="1"/>
    <s v="Climb on own"/>
    <s v="Force2, Levitate"/>
    <m/>
  </r>
  <r>
    <x v="18"/>
    <n v="51"/>
    <n v="0"/>
    <n v="0"/>
    <n v="0"/>
    <n v="0"/>
    <n v="0"/>
    <n v="0"/>
    <n v="0"/>
    <n v="0"/>
    <s v="NONE"/>
    <s v="Force3"/>
    <m/>
  </r>
  <r>
    <x v="18"/>
    <n v="51"/>
    <n v="1"/>
    <n v="0"/>
    <n v="0"/>
    <n v="0"/>
    <n v="0"/>
    <n v="0"/>
    <n v="0"/>
    <n v="0"/>
    <m/>
    <m/>
    <m/>
  </r>
  <r>
    <x v="18"/>
    <n v="58"/>
    <n v="1"/>
    <n v="0"/>
    <n v="0"/>
    <n v="1"/>
    <n v="0"/>
    <n v="0"/>
    <n v="8"/>
    <n v="0"/>
    <s v="NONE"/>
    <s v="Force3, Boost3, Levitate"/>
    <m/>
  </r>
  <r>
    <x v="18"/>
    <n v="68"/>
    <n v="1"/>
    <n v="0"/>
    <n v="0"/>
    <n v="1"/>
    <n v="0"/>
    <n v="0"/>
    <n v="9"/>
    <n v="1"/>
    <s v="Levitate"/>
    <s v="Force3, Boost3, Levitate"/>
    <m/>
  </r>
  <r>
    <x v="18"/>
    <n v="73"/>
    <n v="1"/>
    <n v="1"/>
    <n v="0"/>
    <n v="0"/>
    <n v="0"/>
    <n v="0"/>
    <n v="9"/>
    <n v="1"/>
    <s v="Levitate"/>
    <s v="Force3, Boost3, Levitate"/>
    <s v="They are doing much better"/>
  </r>
  <r>
    <x v="18"/>
    <n v="82"/>
    <n v="1"/>
    <n v="1"/>
    <n v="0"/>
    <n v="1"/>
    <n v="3"/>
    <n v="0"/>
    <n v="0"/>
    <n v="0"/>
    <m/>
    <s v="Force3, Boost3, Levitate"/>
    <m/>
  </r>
  <r>
    <x v="19"/>
    <n v="2"/>
    <n v="0"/>
    <n v="0"/>
    <n v="0"/>
    <n v="0"/>
    <n v="0"/>
    <n v="0"/>
    <n v="0"/>
    <n v="0"/>
    <s v="NONE"/>
    <m/>
    <s v="Were indecisive/unable to move (could be lack of practice); turned off 30sec into teleop"/>
  </r>
  <r>
    <x v="19"/>
    <n v="11"/>
    <n v="1"/>
    <n v="0"/>
    <n v="0"/>
    <n v="0"/>
    <n v="0"/>
    <n v="0"/>
    <n v="0"/>
    <n v="1"/>
    <s v="Assisted (climb on ramp)"/>
    <s v="Levitate"/>
    <s v="Bumpers were falling apart "/>
  </r>
  <r>
    <x v="19"/>
    <n v="11"/>
    <n v="0"/>
    <n v="0"/>
    <n v="0"/>
    <n v="0"/>
    <n v="0"/>
    <n v="0"/>
    <n v="0"/>
    <n v="1"/>
    <s v="Levitate"/>
    <s v="Levitate"/>
    <m/>
  </r>
  <r>
    <x v="19"/>
    <n v="18"/>
    <n v="1"/>
    <n v="0"/>
    <n v="0"/>
    <n v="1"/>
    <n v="0"/>
    <n v="0"/>
    <n v="0"/>
    <n v="1"/>
    <s v="Levitate"/>
    <s v="Force1, Boost3, Levitate"/>
    <s v="Driving was not good"/>
  </r>
  <r>
    <x v="19"/>
    <n v="22"/>
    <n v="0"/>
    <n v="0"/>
    <n v="0"/>
    <n v="0"/>
    <n v="0"/>
    <n v="0"/>
    <n v="0"/>
    <n v="0"/>
    <s v="NONE"/>
    <s v="Levitate"/>
    <m/>
  </r>
  <r>
    <x v="19"/>
    <n v="31"/>
    <n v="1"/>
    <n v="0"/>
    <n v="0"/>
    <n v="0"/>
    <n v="0"/>
    <n v="0"/>
    <n v="0"/>
    <n v="1"/>
    <s v="Levitate"/>
    <s v="Levitate"/>
    <s v="Got stuck on scale"/>
  </r>
  <r>
    <x v="19"/>
    <n v="40"/>
    <n v="1"/>
    <n v="0"/>
    <n v="0"/>
    <n v="0"/>
    <n v="0"/>
    <n v="0"/>
    <n v="0"/>
    <n v="0"/>
    <s v="NONE"/>
    <s v="Boost3, Levitate"/>
    <m/>
  </r>
  <r>
    <x v="19"/>
    <n v="45"/>
    <n v="1"/>
    <n v="0"/>
    <n v="0"/>
    <n v="0"/>
    <n v="0"/>
    <n v="0"/>
    <n v="2"/>
    <n v="0"/>
    <s v="NONE"/>
    <s v="Levitate"/>
    <m/>
  </r>
  <r>
    <x v="19"/>
    <n v="54"/>
    <n v="1"/>
    <n v="0"/>
    <n v="0"/>
    <n v="0"/>
    <n v="0"/>
    <n v="0"/>
    <n v="0"/>
    <n v="1"/>
    <s v="Levitate"/>
    <s v="Force1, Levitate"/>
    <s v="3 penalties"/>
  </r>
  <r>
    <x v="19"/>
    <n v="59"/>
    <n v="1"/>
    <n v="0"/>
    <n v="0"/>
    <n v="0"/>
    <n v="0"/>
    <n v="0"/>
    <n v="0"/>
    <n v="1"/>
    <s v="Levitate"/>
    <s v="Levitate"/>
    <s v="Didn’t. Do. Anything. "/>
  </r>
  <r>
    <x v="19"/>
    <n v="68"/>
    <n v="1"/>
    <n v="0"/>
    <n v="0"/>
    <n v="0"/>
    <n v="0"/>
    <n v="0"/>
    <n v="0"/>
    <n v="0"/>
    <s v="NONE"/>
    <s v="Force3, Boost3, Levitate"/>
    <m/>
  </r>
  <r>
    <x v="19"/>
    <n v="71"/>
    <n v="0"/>
    <n v="0"/>
    <n v="0"/>
    <n v="0"/>
    <n v="0"/>
    <n v="0"/>
    <n v="0"/>
    <n v="0"/>
    <s v="NONE"/>
    <s v="Force2, Boost2, Levitate"/>
    <s v="Robot didnt go out on the field"/>
  </r>
  <r>
    <x v="19"/>
    <n v="76"/>
    <n v="1"/>
    <n v="0"/>
    <n v="0"/>
    <n v="2"/>
    <n v="3"/>
    <n v="0"/>
    <n v="3"/>
    <n v="0"/>
    <s v="NONE"/>
    <s v="Boost3"/>
    <m/>
  </r>
  <r>
    <x v="19"/>
    <n v="76"/>
    <n v="1"/>
    <n v="0"/>
    <n v="0"/>
    <n v="0"/>
    <n v="0"/>
    <n v="0"/>
    <n v="0"/>
    <n v="1"/>
    <s v="Levitate"/>
    <m/>
    <m/>
  </r>
  <r>
    <x v="20"/>
    <n v="2"/>
    <n v="1"/>
    <n v="0"/>
    <n v="0"/>
    <n v="3"/>
    <n v="0"/>
    <n v="0"/>
    <n v="3"/>
    <n v="1"/>
    <s v="Levitate"/>
    <s v="Levitate"/>
    <m/>
  </r>
  <r>
    <x v="20"/>
    <n v="19"/>
    <n v="1"/>
    <n v="0"/>
    <n v="0"/>
    <n v="0"/>
    <n v="0"/>
    <n v="0"/>
    <n v="6"/>
    <n v="0"/>
    <s v="Climb on own"/>
    <s v="Boost3, Levitate"/>
    <s v="Okay cycle time"/>
  </r>
  <r>
    <x v="20"/>
    <n v="25"/>
    <n v="0"/>
    <n v="0"/>
    <n v="0"/>
    <n v="3"/>
    <n v="1"/>
    <n v="0"/>
    <n v="0"/>
    <n v="1"/>
    <s v="Climb on own"/>
    <s v="Boost2, Levitate"/>
    <m/>
  </r>
  <r>
    <x v="20"/>
    <n v="35"/>
    <n v="0"/>
    <n v="0"/>
    <n v="0"/>
    <n v="0"/>
    <n v="0"/>
    <n v="1"/>
    <n v="0"/>
    <n v="1"/>
    <s v="Climb on own"/>
    <s v="Force2, Boost1, Levitate"/>
    <m/>
  </r>
  <r>
    <x v="20"/>
    <n v="40"/>
    <n v="1"/>
    <n v="0"/>
    <n v="0"/>
    <n v="2"/>
    <n v="0"/>
    <n v="1"/>
    <n v="1"/>
    <n v="1"/>
    <s v="Climb on own"/>
    <s v="Levitate"/>
    <m/>
  </r>
  <r>
    <x v="20"/>
    <n v="47"/>
    <n v="0"/>
    <n v="0"/>
    <n v="0"/>
    <n v="0"/>
    <n v="0"/>
    <n v="0"/>
    <n v="0"/>
    <n v="0"/>
    <s v="NONE"/>
    <s v="Force2"/>
    <s v="No drivers?"/>
  </r>
  <r>
    <x v="20"/>
    <n v="47"/>
    <n v="0"/>
    <n v="0"/>
    <n v="0"/>
    <n v="0"/>
    <n v="0"/>
    <n v="0"/>
    <n v="0"/>
    <n v="0"/>
    <s v="NONE"/>
    <s v="Force2"/>
    <s v="No drivers?"/>
  </r>
  <r>
    <x v="20"/>
    <n v="53"/>
    <n v="1"/>
    <n v="0"/>
    <n v="0"/>
    <n v="0"/>
    <n v="0"/>
    <n v="3"/>
    <n v="0"/>
    <n v="1"/>
    <s v="Climb on own"/>
    <s v="Levitate"/>
    <m/>
  </r>
  <r>
    <x v="20"/>
    <n v="56"/>
    <n v="1"/>
    <n v="0"/>
    <n v="0"/>
    <n v="0"/>
    <n v="0"/>
    <n v="4"/>
    <n v="0"/>
    <n v="1"/>
    <s v="Climb on own"/>
    <s v="Levitate"/>
    <s v="Auto missed; robot has HELLA SHAKES"/>
  </r>
  <r>
    <x v="20"/>
    <n v="65"/>
    <n v="1"/>
    <n v="0"/>
    <n v="0"/>
    <n v="0"/>
    <n v="1"/>
    <n v="0"/>
    <n v="0"/>
    <n v="0"/>
    <m/>
    <s v="Boost2, Levitate"/>
    <m/>
  </r>
  <r>
    <x v="20"/>
    <n v="82"/>
    <n v="1"/>
    <n v="0"/>
    <n v="0"/>
    <n v="1"/>
    <n v="0"/>
    <n v="0"/>
    <n v="8"/>
    <n v="1"/>
    <s v="Climb on own"/>
    <s v="Force3, Boost3, Levitate"/>
    <m/>
  </r>
  <r>
    <x v="21"/>
    <n v="5"/>
    <n v="0"/>
    <n v="0"/>
    <n v="0"/>
    <n v="0"/>
    <n v="0"/>
    <n v="0"/>
    <n v="0"/>
    <n v="0"/>
    <m/>
    <m/>
    <s v="they had no communication/ didn't move the whole match"/>
  </r>
  <r>
    <x v="21"/>
    <n v="13"/>
    <n v="1"/>
    <n v="0"/>
    <n v="0"/>
    <n v="0"/>
    <n v="1"/>
    <n v="0"/>
    <n v="0"/>
    <n v="1"/>
    <s v="Levitate"/>
    <s v="Force2, Boost2, Levitate"/>
    <m/>
  </r>
  <r>
    <x v="21"/>
    <n v="21"/>
    <n v="1"/>
    <n v="0"/>
    <n v="0"/>
    <n v="0"/>
    <n v="0"/>
    <n v="0"/>
    <n v="1"/>
    <n v="0"/>
    <s v="NONE"/>
    <m/>
    <m/>
  </r>
  <r>
    <x v="21"/>
    <n v="28"/>
    <n v="1"/>
    <n v="0"/>
    <n v="0"/>
    <n v="0"/>
    <n v="0"/>
    <n v="0"/>
    <n v="1"/>
    <n v="0"/>
    <s v="NONE"/>
    <s v="Levitate"/>
    <m/>
  </r>
  <r>
    <x v="21"/>
    <n v="32"/>
    <n v="1"/>
    <n v="0"/>
    <n v="0"/>
    <n v="3"/>
    <n v="0"/>
    <n v="0"/>
    <n v="0"/>
    <n v="1"/>
    <s v="Levitate"/>
    <s v="Force3, Boost1, Levitate"/>
    <m/>
  </r>
  <r>
    <x v="21"/>
    <n v="40"/>
    <n v="1"/>
    <n v="0"/>
    <n v="0"/>
    <n v="0"/>
    <n v="1"/>
    <n v="0"/>
    <n v="0"/>
    <n v="1"/>
    <s v="Levitate"/>
    <s v="Force1, Boost3, Levitate"/>
    <s v="Seems like something is wrong with robot"/>
  </r>
  <r>
    <x v="21"/>
    <n v="52"/>
    <n v="1"/>
    <n v="0"/>
    <n v="0"/>
    <n v="0"/>
    <n v="0"/>
    <n v="0"/>
    <n v="1"/>
    <n v="0"/>
    <s v="NONE"/>
    <s v="Levitate"/>
    <m/>
  </r>
  <r>
    <x v="21"/>
    <n v="52"/>
    <n v="1"/>
    <n v="0"/>
    <n v="0"/>
    <n v="0"/>
    <n v="0"/>
    <n v="0"/>
    <n v="1"/>
    <n v="0"/>
    <m/>
    <s v="Levitate"/>
    <m/>
  </r>
  <r>
    <x v="21"/>
    <n v="56"/>
    <n v="1"/>
    <n v="0"/>
    <n v="0"/>
    <n v="0"/>
    <n v="0"/>
    <n v="0"/>
    <n v="1"/>
    <n v="1"/>
    <s v="Levitate"/>
    <s v="Force1, Levitate"/>
    <s v="Could not pick up cubes "/>
  </r>
  <r>
    <x v="21"/>
    <n v="69"/>
    <n v="1"/>
    <n v="0"/>
    <n v="0"/>
    <n v="0"/>
    <n v="0"/>
    <n v="0"/>
    <n v="3"/>
    <n v="1"/>
    <s v="Levitate"/>
    <s v="Levitate"/>
    <s v="They dropped a cube during autonomous "/>
  </r>
  <r>
    <x v="22"/>
    <n v="5"/>
    <n v="1"/>
    <n v="0"/>
    <n v="0"/>
    <n v="0"/>
    <n v="0"/>
    <n v="2"/>
    <n v="0"/>
    <n v="0"/>
    <s v="NONE"/>
    <m/>
    <s v="Drops cubes a lot"/>
  </r>
  <r>
    <x v="22"/>
    <n v="12"/>
    <n v="1"/>
    <n v="0"/>
    <n v="0"/>
    <n v="2"/>
    <n v="0"/>
    <n v="2"/>
    <n v="0"/>
    <n v="1"/>
    <s v="Levitate"/>
    <s v="Force3, Boost3, Levitate"/>
    <m/>
  </r>
  <r>
    <x v="22"/>
    <n v="19"/>
    <n v="1"/>
    <n v="0"/>
    <n v="1"/>
    <n v="0"/>
    <n v="0"/>
    <n v="5"/>
    <n v="0"/>
    <n v="1"/>
    <s v="Assisted (climb on ramp)"/>
    <s v="Force2, Levitate"/>
    <m/>
  </r>
  <r>
    <x v="22"/>
    <n v="19"/>
    <n v="1"/>
    <n v="0"/>
    <n v="1"/>
    <n v="0"/>
    <n v="0"/>
    <n v="5"/>
    <n v="0"/>
    <n v="1"/>
    <s v="Levitate"/>
    <s v="Force2, Levitate"/>
    <s v="Decent"/>
  </r>
  <r>
    <x v="22"/>
    <n v="26"/>
    <n v="0"/>
    <n v="0"/>
    <n v="0"/>
    <n v="0"/>
    <n v="0"/>
    <n v="0"/>
    <n v="0"/>
    <n v="1"/>
    <s v="Levitate"/>
    <s v="Force3, Boost3, Levitate"/>
    <s v="Robot stop working "/>
  </r>
  <r>
    <x v="22"/>
    <n v="32"/>
    <n v="1"/>
    <n v="0"/>
    <n v="0"/>
    <n v="3"/>
    <n v="0"/>
    <n v="0"/>
    <n v="0"/>
    <n v="1"/>
    <s v="Levitate"/>
    <s v="Force3, Boost3, Levitate"/>
    <m/>
  </r>
  <r>
    <x v="22"/>
    <n v="37"/>
    <n v="1"/>
    <n v="1"/>
    <n v="0"/>
    <n v="1"/>
    <n v="0"/>
    <n v="3"/>
    <n v="0"/>
    <n v="0"/>
    <m/>
    <s v="Boost1, Levitate"/>
    <s v="Dropped one cube for the scale"/>
  </r>
  <r>
    <x v="22"/>
    <n v="43"/>
    <n v="1"/>
    <n v="0"/>
    <n v="1"/>
    <n v="0"/>
    <n v="0"/>
    <n v="0"/>
    <n v="0"/>
    <n v="1"/>
    <s v="Levitate"/>
    <s v="Force3, Boost3, Levitate"/>
    <s v="Stopped during match "/>
  </r>
  <r>
    <x v="22"/>
    <n v="53"/>
    <n v="1"/>
    <n v="0"/>
    <n v="0"/>
    <n v="1"/>
    <n v="2"/>
    <n v="1"/>
    <n v="0"/>
    <n v="1"/>
    <s v="Levitate"/>
    <s v="Boost1, Levitate"/>
    <m/>
  </r>
  <r>
    <x v="22"/>
    <n v="64"/>
    <n v="1"/>
    <n v="0"/>
    <n v="0"/>
    <n v="0"/>
    <n v="0"/>
    <n v="1"/>
    <n v="0"/>
    <n v="0"/>
    <s v="NONE"/>
    <s v="Force2, Boost1, Levitate"/>
    <m/>
  </r>
  <r>
    <x v="22"/>
    <n v="71"/>
    <n v="1"/>
    <n v="0"/>
    <n v="1"/>
    <n v="0"/>
    <n v="0"/>
    <n v="1"/>
    <n v="0"/>
    <n v="0"/>
    <s v="NONE"/>
    <s v="Force3, Boost2, Levitate"/>
    <m/>
  </r>
  <r>
    <x v="22"/>
    <n v="82"/>
    <n v="1"/>
    <n v="0"/>
    <n v="0"/>
    <n v="4"/>
    <n v="0"/>
    <n v="0"/>
    <n v="0"/>
    <n v="1"/>
    <s v="Levitate"/>
    <s v="Force3, Boost3, Levitate"/>
    <m/>
  </r>
  <r>
    <x v="23"/>
    <n v="2"/>
    <n v="1"/>
    <n v="0"/>
    <n v="0"/>
    <n v="0"/>
    <n v="0"/>
    <n v="0"/>
    <n v="3"/>
    <n v="1"/>
    <s v="Levitate"/>
    <s v="Levitate"/>
    <m/>
  </r>
  <r>
    <x v="23"/>
    <n v="2"/>
    <n v="1"/>
    <n v="0"/>
    <n v="0"/>
    <n v="0"/>
    <n v="0"/>
    <n v="0"/>
    <n v="4"/>
    <n v="1"/>
    <s v="NONE"/>
    <s v="Force3, Boost1, Levitate"/>
    <s v="Not sturdy arms "/>
  </r>
  <r>
    <x v="23"/>
    <n v="2"/>
    <n v="1"/>
    <n v="0"/>
    <n v="0"/>
    <n v="0"/>
    <n v="0"/>
    <n v="0"/>
    <n v="3"/>
    <n v="1"/>
    <s v="Levitate"/>
    <s v="Levitate"/>
    <m/>
  </r>
  <r>
    <x v="23"/>
    <n v="9"/>
    <n v="1"/>
    <n v="0"/>
    <n v="0"/>
    <n v="0"/>
    <n v="0"/>
    <n v="0"/>
    <n v="9"/>
    <n v="0"/>
    <s v="Climb on own"/>
    <s v="Force3, Boost3, Levitate"/>
    <s v="Good cycle time"/>
  </r>
  <r>
    <x v="23"/>
    <n v="16"/>
    <n v="0"/>
    <n v="0"/>
    <n v="0"/>
    <n v="1"/>
    <n v="0"/>
    <n v="0"/>
    <n v="6"/>
    <n v="0"/>
    <s v="NONE"/>
    <s v="Force3, Levitate"/>
    <m/>
  </r>
  <r>
    <x v="23"/>
    <n v="21"/>
    <n v="1"/>
    <n v="1"/>
    <n v="0"/>
    <n v="0"/>
    <n v="0"/>
    <n v="0"/>
    <n v="8"/>
    <n v="1"/>
    <s v="Levitate"/>
    <s v="Force3, Boost3, Levitate"/>
    <m/>
  </r>
  <r>
    <x v="23"/>
    <n v="34"/>
    <n v="1"/>
    <n v="1"/>
    <n v="0"/>
    <n v="0"/>
    <n v="0"/>
    <n v="0"/>
    <n v="9"/>
    <n v="1"/>
    <s v="Levitate"/>
    <s v="Force3, Boost3, Levitate"/>
    <s v="Fast with exchange "/>
  </r>
  <r>
    <x v="23"/>
    <n v="37"/>
    <n v="1"/>
    <n v="0"/>
    <n v="0"/>
    <n v="0"/>
    <n v="0"/>
    <n v="0"/>
    <n v="4"/>
    <n v="0"/>
    <s v="NONE"/>
    <s v="Force3, Boost3, Levitate"/>
    <m/>
  </r>
  <r>
    <x v="23"/>
    <n v="48"/>
    <n v="1"/>
    <n v="1"/>
    <n v="0"/>
    <n v="1"/>
    <n v="0"/>
    <n v="4"/>
    <n v="1"/>
    <n v="1"/>
    <s v="Levitate"/>
    <s v="Force1, Boost1, Levitate"/>
    <m/>
  </r>
  <r>
    <x v="23"/>
    <n v="48"/>
    <n v="1"/>
    <n v="1"/>
    <n v="0"/>
    <n v="0"/>
    <n v="0"/>
    <n v="5"/>
    <n v="0"/>
    <n v="0"/>
    <m/>
    <s v="Force1, Boost1, Levitate"/>
    <m/>
  </r>
  <r>
    <x v="23"/>
    <n v="53"/>
    <n v="1"/>
    <n v="1"/>
    <n v="0"/>
    <n v="1"/>
    <n v="0"/>
    <n v="4"/>
    <n v="0"/>
    <n v="1"/>
    <s v="Levitate"/>
    <s v="Force1, Boost2, Levitate"/>
    <m/>
  </r>
  <r>
    <x v="23"/>
    <n v="61"/>
    <n v="0"/>
    <n v="1"/>
    <n v="0"/>
    <n v="2"/>
    <n v="4"/>
    <n v="1"/>
    <n v="6"/>
    <n v="0"/>
    <s v="NONE"/>
    <s v="Force3, Boost3"/>
    <s v="Good with switch "/>
  </r>
  <r>
    <x v="23"/>
    <n v="64"/>
    <n v="1"/>
    <n v="0"/>
    <n v="0"/>
    <n v="2"/>
    <n v="0"/>
    <n v="0"/>
    <n v="6"/>
    <n v="1"/>
    <s v="Levitate"/>
    <s v="Force2, Boost1, Levitate"/>
    <s v="Auto switch missed"/>
  </r>
  <r>
    <x v="23"/>
    <n v="81"/>
    <n v="1"/>
    <n v="0"/>
    <n v="0"/>
    <n v="3"/>
    <n v="0"/>
    <n v="0"/>
    <n v="8"/>
    <n v="0"/>
    <m/>
    <s v="Force2, Boost3, Levitate"/>
    <m/>
  </r>
  <r>
    <x v="24"/>
    <n v="1"/>
    <n v="1"/>
    <n v="0"/>
    <n v="1"/>
    <n v="0"/>
    <n v="3"/>
    <n v="5"/>
    <n v="0"/>
    <n v="1"/>
    <s v="Climb on own"/>
    <s v="Levitate"/>
    <s v="Smooth driving, paid attention to when the other alliance left their scale unprotected"/>
  </r>
  <r>
    <x v="24"/>
    <n v="9"/>
    <n v="1"/>
    <n v="0"/>
    <n v="0"/>
    <n v="0"/>
    <n v="0"/>
    <n v="2"/>
    <n v="1"/>
    <n v="1"/>
    <s v="Levitate"/>
    <s v="Force3, Boost3, Levitate"/>
    <s v="Hit the elevator a couple of times "/>
  </r>
  <r>
    <x v="24"/>
    <n v="27"/>
    <n v="1"/>
    <n v="0"/>
    <n v="0"/>
    <n v="1"/>
    <n v="1"/>
    <n v="3"/>
    <n v="0"/>
    <n v="0"/>
    <s v="Climb on own"/>
    <s v="Boost3, Levitate"/>
    <s v="I love their drive train; some cubes got stuck in their chassis, had an interesting way to use human player"/>
  </r>
  <r>
    <x v="24"/>
    <n v="33"/>
    <n v="1"/>
    <n v="1"/>
    <n v="0"/>
    <n v="0"/>
    <n v="0"/>
    <n v="0"/>
    <n v="0"/>
    <n v="1"/>
    <s v="Climb on own"/>
    <m/>
    <s v="Had trouble picking up cubes"/>
  </r>
  <r>
    <x v="24"/>
    <n v="39"/>
    <n v="0"/>
    <n v="1"/>
    <n v="0"/>
    <n v="2"/>
    <n v="3"/>
    <n v="3"/>
    <n v="9"/>
    <n v="0"/>
    <s v="NONE"/>
    <s v="Force3, Boost3, Levitate"/>
    <m/>
  </r>
  <r>
    <x v="24"/>
    <n v="54"/>
    <n v="1"/>
    <n v="1"/>
    <n v="0"/>
    <n v="0"/>
    <n v="0"/>
    <n v="0"/>
    <n v="0"/>
    <n v="1"/>
    <s v="Levitate"/>
    <s v="Boost1, Levitate"/>
    <s v="Played defense this match"/>
  </r>
  <r>
    <x v="24"/>
    <n v="62"/>
    <n v="0"/>
    <n v="0"/>
    <n v="0"/>
    <n v="0"/>
    <n v="4"/>
    <n v="2"/>
    <n v="0"/>
    <n v="1"/>
    <s v="Levitate"/>
    <s v="Force3, Boost1, Levitate"/>
    <m/>
  </r>
  <r>
    <x v="24"/>
    <n v="65"/>
    <n v="0"/>
    <n v="1"/>
    <n v="0"/>
    <n v="4"/>
    <n v="4"/>
    <n v="3"/>
    <n v="8"/>
    <n v="0"/>
    <s v="NONE"/>
    <s v="Boost3, Levitate"/>
    <m/>
  </r>
  <r>
    <x v="24"/>
    <n v="69"/>
    <n v="1"/>
    <n v="1"/>
    <n v="0"/>
    <n v="0"/>
    <n v="1"/>
    <n v="2"/>
    <n v="0"/>
    <n v="1"/>
    <s v="Levitate"/>
    <s v="Levitate"/>
    <m/>
  </r>
  <r>
    <x v="24"/>
    <n v="80"/>
    <n v="1"/>
    <n v="0"/>
    <n v="0"/>
    <n v="0"/>
    <n v="0"/>
    <n v="5"/>
    <n v="0"/>
    <n v="1"/>
    <s v="Climb on own"/>
    <s v="Levitate"/>
    <m/>
  </r>
  <r>
    <x v="25"/>
    <n v="81"/>
    <n v="0"/>
    <n v="0"/>
    <n v="0"/>
    <n v="4"/>
    <n v="2"/>
    <n v="5"/>
    <n v="8"/>
    <n v="0"/>
    <s v="NONE"/>
    <s v="Force1, Boost3, Levitate"/>
    <m/>
  </r>
  <r>
    <x v="26"/>
    <n v="7"/>
    <n v="1"/>
    <n v="1"/>
    <n v="0"/>
    <n v="0"/>
    <n v="2"/>
    <n v="0"/>
    <n v="9"/>
    <n v="0"/>
    <s v="NONE"/>
    <s v="Force3, Boost3, Levitate"/>
    <m/>
  </r>
  <r>
    <x v="26"/>
    <n v="27"/>
    <n v="1"/>
    <n v="1"/>
    <n v="0"/>
    <n v="7"/>
    <n v="0"/>
    <n v="0"/>
    <n v="4"/>
    <n v="0"/>
    <s v="NONE"/>
    <s v="Boost1, Levitate"/>
    <m/>
  </r>
  <r>
    <x v="26"/>
    <n v="31"/>
    <n v="1"/>
    <n v="1"/>
    <n v="0"/>
    <n v="4"/>
    <n v="5"/>
    <n v="3"/>
    <n v="7"/>
    <n v="0"/>
    <s v="NONE"/>
    <s v="Force2, Boost3, Levitate"/>
    <m/>
  </r>
  <r>
    <x v="26"/>
    <n v="40"/>
    <n v="1"/>
    <n v="1"/>
    <n v="0"/>
    <n v="2"/>
    <n v="0"/>
    <n v="0"/>
    <n v="8"/>
    <n v="0"/>
    <s v="NONE"/>
    <s v="Force2, Boost3, Levitate"/>
    <m/>
  </r>
  <r>
    <x v="26"/>
    <n v="51"/>
    <n v="1"/>
    <n v="1"/>
    <n v="0"/>
    <n v="0"/>
    <n v="3"/>
    <n v="0"/>
    <n v="7"/>
    <n v="1"/>
    <s v="Levitate"/>
    <s v="Force1, Force2, Force3, Boost1, Boost2, Boost3, Levitate"/>
    <s v="Actually 8 cubes in exchange"/>
  </r>
  <r>
    <x v="26"/>
    <n v="63"/>
    <n v="1"/>
    <n v="1"/>
    <n v="0"/>
    <n v="0"/>
    <n v="1"/>
    <n v="0"/>
    <n v="7"/>
    <n v="1"/>
    <s v="Levitate"/>
    <s v="Force3, Boost3, Levitate"/>
    <s v="9 in exchange "/>
  </r>
  <r>
    <x v="26"/>
    <n v="74"/>
    <n v="0"/>
    <n v="1"/>
    <n v="0"/>
    <n v="5"/>
    <n v="0"/>
    <n v="0"/>
    <n v="5"/>
    <n v="1"/>
    <s v="Levitate"/>
    <s v="Force2, Levitate"/>
    <m/>
  </r>
  <r>
    <x v="26"/>
    <n v="77"/>
    <n v="0"/>
    <n v="1"/>
    <n v="0"/>
    <n v="2"/>
    <n v="3"/>
    <n v="3"/>
    <n v="7"/>
    <n v="0"/>
    <s v="NONE"/>
    <s v="Force1, Boost3, Levitate"/>
    <s v="Great at switch!!!!"/>
  </r>
  <r>
    <x v="27"/>
    <n v="7"/>
    <n v="1"/>
    <n v="0"/>
    <n v="0"/>
    <n v="0"/>
    <n v="0"/>
    <n v="0"/>
    <n v="0"/>
    <n v="0"/>
    <s v="NONE"/>
    <s v="Force3, Boost3, Levitate"/>
    <s v="They tried to play defense but got a lot of foul points because they kept going into th"/>
  </r>
  <r>
    <x v="27"/>
    <n v="11"/>
    <n v="1"/>
    <n v="0"/>
    <n v="0"/>
    <n v="0"/>
    <n v="0"/>
    <n v="0"/>
    <n v="5"/>
    <n v="1"/>
    <s v="Levitate"/>
    <s v="Force3, Boost1, Levitate"/>
    <m/>
  </r>
  <r>
    <x v="27"/>
    <n v="18"/>
    <n v="1"/>
    <n v="0"/>
    <n v="0"/>
    <n v="0"/>
    <n v="0"/>
    <n v="0"/>
    <n v="2"/>
    <n v="1"/>
    <s v="Assisted (climb on ramp)"/>
    <s v="Boost3, Levitate"/>
    <s v="It's legit just a chassis that pushes into the exchange"/>
  </r>
  <r>
    <x v="27"/>
    <n v="21"/>
    <n v="1"/>
    <n v="0"/>
    <n v="0"/>
    <n v="0"/>
    <n v="0"/>
    <n v="0"/>
    <n v="0"/>
    <n v="0"/>
    <s v="NONE"/>
    <m/>
    <s v="They basically spent the match trying to push a cube into the exchange and couldn't"/>
  </r>
  <r>
    <x v="27"/>
    <n v="29"/>
    <n v="1"/>
    <n v="0"/>
    <n v="0"/>
    <n v="0"/>
    <n v="0"/>
    <n v="0"/>
    <n v="3"/>
    <n v="0"/>
    <s v="NONE"/>
    <s v="Levitate"/>
    <s v="Not best exchange bot, weird defense l"/>
  </r>
  <r>
    <x v="27"/>
    <n v="36"/>
    <n v="1"/>
    <n v="0"/>
    <n v="0"/>
    <n v="0"/>
    <n v="0"/>
    <n v="0"/>
    <n v="2"/>
    <n v="0"/>
    <s v="NONE"/>
    <m/>
    <m/>
  </r>
  <r>
    <x v="27"/>
    <n v="45"/>
    <n v="1"/>
    <n v="0"/>
    <n v="0"/>
    <n v="0"/>
    <n v="1"/>
    <n v="0"/>
    <n v="2"/>
    <n v="1"/>
    <s v="Levitate"/>
    <s v="Force1, Force2, Boost1, Boost2, Boost3, Levitate"/>
    <s v="They got a cube into the switch by bumping into the pile lol"/>
  </r>
  <r>
    <x v="27"/>
    <n v="49"/>
    <n v="1"/>
    <n v="0"/>
    <n v="0"/>
    <n v="2"/>
    <n v="0"/>
    <n v="0"/>
    <n v="1"/>
    <n v="1"/>
    <s v="Levitate"/>
    <s v="Force3, Boost1"/>
    <s v="Slow "/>
  </r>
  <r>
    <x v="27"/>
    <n v="67"/>
    <n v="1"/>
    <n v="0"/>
    <n v="0"/>
    <n v="2"/>
    <n v="0"/>
    <n v="0"/>
    <n v="3"/>
    <n v="0"/>
    <s v="NONE"/>
    <s v="Levitate"/>
    <m/>
  </r>
  <r>
    <x v="28"/>
    <n v="6"/>
    <n v="1"/>
    <n v="1"/>
    <n v="0"/>
    <n v="5"/>
    <n v="0"/>
    <n v="0"/>
    <n v="3"/>
    <n v="1"/>
    <s v="Climb on own"/>
    <s v="Force3, Boost2"/>
    <m/>
  </r>
  <r>
    <x v="28"/>
    <n v="14"/>
    <n v="1"/>
    <n v="0"/>
    <n v="0"/>
    <n v="1"/>
    <n v="0"/>
    <n v="0"/>
    <n v="0"/>
    <n v="1"/>
    <s v="Climb on own"/>
    <s v="Force3, Boost3, Levitate"/>
    <s v="Not very balanced "/>
  </r>
  <r>
    <x v="28"/>
    <n v="19"/>
    <n v="1"/>
    <n v="0"/>
    <n v="0"/>
    <n v="3"/>
    <n v="0"/>
    <n v="3"/>
    <n v="0"/>
    <n v="1"/>
    <s v="Levitate"/>
    <s v="Boost3, Levitate"/>
    <m/>
  </r>
  <r>
    <x v="28"/>
    <n v="22"/>
    <n v="1"/>
    <n v="0"/>
    <n v="0"/>
    <n v="1"/>
    <n v="0"/>
    <n v="2"/>
    <n v="0"/>
    <n v="0"/>
    <s v="Climb on own"/>
    <s v="Levitate"/>
    <s v="There intake makes it easy to get a cube loose from it"/>
  </r>
  <r>
    <x v="28"/>
    <n v="33"/>
    <n v="1"/>
    <n v="0"/>
    <n v="0"/>
    <n v="0"/>
    <n v="4"/>
    <n v="0"/>
    <n v="0"/>
    <n v="0"/>
    <s v="NONE"/>
    <s v="Boost3, Levitate"/>
    <s v="Intake is still loose around cubes"/>
  </r>
  <r>
    <x v="28"/>
    <n v="60"/>
    <n v="1"/>
    <n v="1"/>
    <n v="0"/>
    <n v="3"/>
    <n v="0"/>
    <n v="0"/>
    <n v="2"/>
    <n v="1"/>
    <s v="Climb on own"/>
    <s v="Levitate"/>
    <m/>
  </r>
  <r>
    <x v="28"/>
    <n v="60"/>
    <n v="1"/>
    <n v="1"/>
    <n v="0"/>
    <n v="3"/>
    <n v="0"/>
    <n v="0"/>
    <n v="2"/>
    <n v="1"/>
    <s v="Climb on own"/>
    <s v="Levitate"/>
    <m/>
  </r>
  <r>
    <x v="28"/>
    <n v="63"/>
    <n v="1"/>
    <n v="0"/>
    <n v="0"/>
    <n v="0"/>
    <n v="0"/>
    <n v="4"/>
    <n v="0"/>
    <n v="1"/>
    <s v="Levitate"/>
    <s v="Force3, Boost3, Levitate"/>
    <s v="They dropped two cubes"/>
  </r>
  <r>
    <x v="28"/>
    <n v="70"/>
    <n v="1"/>
    <n v="1"/>
    <n v="0"/>
    <n v="0"/>
    <n v="0"/>
    <n v="4"/>
    <n v="1"/>
    <n v="1"/>
    <s v="Climb on own"/>
    <s v="Force3, Boost3, Levitate"/>
    <m/>
  </r>
  <r>
    <x v="28"/>
    <n v="80"/>
    <n v="0"/>
    <n v="1"/>
    <n v="0"/>
    <n v="3"/>
    <n v="4"/>
    <n v="8"/>
    <n v="3"/>
    <n v="1"/>
    <s v="Climb on own"/>
    <s v="Boost3"/>
    <s v="SO GOOD"/>
  </r>
  <r>
    <x v="29"/>
    <n v="53"/>
    <n v="1"/>
    <n v="1"/>
    <n v="0"/>
    <n v="0"/>
    <n v="0"/>
    <n v="3"/>
    <n v="0"/>
    <n v="1"/>
    <s v="Levitate"/>
    <s v="Force1, Force2, Force3, Levitate"/>
    <s v="Disabled 2 minutes in"/>
  </r>
  <r>
    <x v="30"/>
    <n v="4"/>
    <n v="1"/>
    <n v="1"/>
    <n v="0"/>
    <n v="2"/>
    <n v="2"/>
    <n v="0"/>
    <n v="2"/>
    <n v="1"/>
    <s v="Climb on own"/>
    <s v="Force3, Boost3"/>
    <m/>
  </r>
  <r>
    <x v="30"/>
    <n v="25"/>
    <n v="1"/>
    <n v="0"/>
    <n v="0"/>
    <n v="2"/>
    <n v="1"/>
    <n v="0"/>
    <n v="3"/>
    <n v="0"/>
    <s v="NONE"/>
    <s v="Force3, Boost1"/>
    <m/>
  </r>
  <r>
    <x v="30"/>
    <n v="32"/>
    <n v="1"/>
    <n v="0"/>
    <n v="0"/>
    <n v="3"/>
    <n v="0"/>
    <n v="0"/>
    <n v="8"/>
    <n v="1"/>
    <s v="Climb on own"/>
    <s v="Force3, Boost1"/>
    <m/>
  </r>
  <r>
    <x v="30"/>
    <n v="36"/>
    <n v="1"/>
    <n v="1"/>
    <n v="0"/>
    <n v="1"/>
    <n v="1"/>
    <n v="0"/>
    <n v="0"/>
    <n v="1"/>
    <s v="Assisted (climb on ramp)"/>
    <s v="Force3, Boost3, Levitate"/>
    <m/>
  </r>
  <r>
    <x v="30"/>
    <n v="49"/>
    <n v="0"/>
    <n v="0"/>
    <n v="0"/>
    <n v="1"/>
    <n v="0"/>
    <n v="0"/>
    <n v="8"/>
    <n v="1"/>
    <s v="Climb on own"/>
    <s v="Force3, Boost3, Levitate"/>
    <m/>
  </r>
  <r>
    <x v="30"/>
    <n v="63"/>
    <n v="1"/>
    <n v="1"/>
    <n v="0"/>
    <n v="0"/>
    <n v="6"/>
    <n v="0"/>
    <n v="0"/>
    <n v="1"/>
    <s v="Climb on own"/>
    <s v="Force3, Boost3, Levitate"/>
    <m/>
  </r>
  <r>
    <x v="30"/>
    <n v="75"/>
    <n v="1"/>
    <n v="0"/>
    <n v="0"/>
    <n v="0"/>
    <n v="0"/>
    <n v="0"/>
    <n v="5"/>
    <n v="1"/>
    <s v="Levitate"/>
    <s v="Force3, Boost2, Levitate"/>
    <m/>
  </r>
  <r>
    <x v="30"/>
    <n v="81"/>
    <n v="1"/>
    <n v="1"/>
    <n v="0"/>
    <n v="1"/>
    <n v="2"/>
    <n v="0"/>
    <n v="7"/>
    <n v="1"/>
    <s v="Levitate"/>
    <s v="Force3, Boost2, Levitate"/>
    <s v="Climb was so close but a second to slow"/>
  </r>
  <r>
    <x v="31"/>
    <n v="9"/>
    <n v="1"/>
    <n v="0"/>
    <n v="0"/>
    <n v="2"/>
    <n v="3"/>
    <n v="0"/>
    <n v="4"/>
    <n v="1"/>
    <s v="Climb on own"/>
    <s v="Force3, Boost3, Levitate"/>
    <m/>
  </r>
  <r>
    <x v="32"/>
    <n v="4"/>
    <n v="1"/>
    <n v="0"/>
    <n v="0"/>
    <n v="0"/>
    <n v="1"/>
    <n v="0"/>
    <n v="0"/>
    <n v="1"/>
    <s v="Levitate"/>
    <s v="Force3"/>
    <s v="Arms not good "/>
  </r>
  <r>
    <x v="32"/>
    <n v="8"/>
    <n v="1"/>
    <n v="0"/>
    <n v="0"/>
    <n v="2"/>
    <n v="0"/>
    <n v="0"/>
    <n v="2"/>
    <n v="0"/>
    <s v="NONE"/>
    <s v="Boost2, Levitate"/>
    <s v="Doesn’t hold cube well  at all"/>
  </r>
  <r>
    <x v="32"/>
    <n v="17"/>
    <n v="1"/>
    <n v="0"/>
    <n v="0"/>
    <n v="3"/>
    <n v="0"/>
    <n v="0"/>
    <n v="0"/>
    <n v="0"/>
    <m/>
    <s v="Force3, Boost3, Levitate"/>
    <s v="Looks slow"/>
  </r>
  <r>
    <x v="32"/>
    <n v="23"/>
    <n v="1"/>
    <n v="0"/>
    <n v="0"/>
    <n v="4"/>
    <n v="0"/>
    <n v="0"/>
    <n v="0"/>
    <n v="0"/>
    <s v="NONE"/>
    <m/>
    <s v="Not very good driving "/>
  </r>
  <r>
    <x v="32"/>
    <n v="28"/>
    <n v="1"/>
    <n v="0"/>
    <n v="0"/>
    <n v="3"/>
    <n v="0"/>
    <n v="0"/>
    <n v="0"/>
    <n v="1"/>
    <s v="Levitate"/>
    <s v="Levitate"/>
    <m/>
  </r>
  <r>
    <x v="32"/>
    <n v="35"/>
    <n v="1"/>
    <n v="0"/>
    <n v="0"/>
    <n v="2"/>
    <n v="0"/>
    <n v="0"/>
    <n v="1"/>
    <n v="1"/>
    <s v="Levitate"/>
    <s v="Force2, Boost1, Levitate"/>
    <s v="Kinda went all over the place and didn't know what to do"/>
  </r>
  <r>
    <x v="32"/>
    <n v="47"/>
    <n v="1"/>
    <n v="0"/>
    <n v="0"/>
    <n v="3"/>
    <n v="0"/>
    <n v="0"/>
    <n v="1"/>
    <n v="1"/>
    <s v="Levitate"/>
    <s v="Boost1, Boost2, Boost3, Levitate"/>
    <s v="Choppy driving. Soooo close to getting the climb"/>
  </r>
  <r>
    <x v="32"/>
    <n v="54"/>
    <n v="1"/>
    <n v="1"/>
    <n v="0"/>
    <n v="0"/>
    <n v="0"/>
    <n v="0"/>
    <n v="4"/>
    <n v="1"/>
    <s v="Climb on own"/>
    <s v="Force1, Levitate"/>
    <s v="I mean, they're okay at driving"/>
  </r>
  <r>
    <x v="32"/>
    <n v="59"/>
    <n v="1"/>
    <n v="1"/>
    <n v="0"/>
    <n v="2"/>
    <n v="0"/>
    <n v="0"/>
    <n v="3"/>
    <n v="1"/>
    <s v="Climb on own"/>
    <s v="Levitate"/>
    <m/>
  </r>
  <r>
    <x v="33"/>
    <n v="1"/>
    <n v="1"/>
    <n v="1"/>
    <n v="0"/>
    <n v="3"/>
    <n v="0"/>
    <n v="0"/>
    <n v="0"/>
    <n v="0"/>
    <s v="NONE"/>
    <s v="Levitate"/>
    <m/>
  </r>
  <r>
    <x v="33"/>
    <n v="8"/>
    <n v="0"/>
    <n v="0"/>
    <n v="0"/>
    <n v="2"/>
    <n v="0"/>
    <n v="0"/>
    <n v="2"/>
    <n v="1"/>
    <s v="Assisted (climb on ramp)"/>
    <s v="Boost2, Levitate"/>
    <m/>
  </r>
  <r>
    <x v="33"/>
    <n v="18"/>
    <n v="1"/>
    <n v="1"/>
    <n v="0"/>
    <n v="1"/>
    <n v="1"/>
    <n v="0"/>
    <n v="0"/>
    <n v="0"/>
    <s v="Climb on own"/>
    <s v="Force2, Levitate"/>
    <s v="Doesn’t have good cube pickup"/>
  </r>
  <r>
    <x v="33"/>
    <n v="18"/>
    <n v="1"/>
    <n v="1"/>
    <n v="0"/>
    <n v="0"/>
    <n v="0"/>
    <n v="0"/>
    <n v="0"/>
    <n v="0"/>
    <m/>
    <s v="Force2, Levitate"/>
    <s v="Used their climb but couldn’t get up in the air "/>
  </r>
  <r>
    <x v="33"/>
    <n v="26"/>
    <n v="0"/>
    <n v="1"/>
    <n v="0"/>
    <n v="3"/>
    <n v="5"/>
    <n v="2"/>
    <n v="9"/>
    <n v="1"/>
    <s v="Climb on own"/>
    <s v="Force3, Boost3, Levitate"/>
    <m/>
  </r>
  <r>
    <x v="33"/>
    <n v="29"/>
    <n v="0"/>
    <n v="1"/>
    <n v="0"/>
    <n v="2"/>
    <n v="4"/>
    <n v="5"/>
    <n v="3"/>
    <n v="1"/>
    <s v="Climb on own"/>
    <s v="Boost3"/>
    <m/>
  </r>
  <r>
    <x v="33"/>
    <n v="36"/>
    <n v="1"/>
    <n v="0"/>
    <n v="0"/>
    <n v="1"/>
    <n v="4"/>
    <n v="0"/>
    <n v="0"/>
    <n v="1"/>
    <s v="Climb on own"/>
    <s v="Force3, Boost3, Levitate"/>
    <m/>
  </r>
  <r>
    <x v="33"/>
    <n v="48"/>
    <n v="1"/>
    <n v="1"/>
    <n v="0"/>
    <n v="2"/>
    <n v="3"/>
    <n v="0"/>
    <n v="0"/>
    <n v="1"/>
    <s v="Levitate"/>
    <s v="Force1, Force2, Force3, Boost1, Boost2, Boost3, Levitate"/>
    <m/>
  </r>
  <r>
    <x v="33"/>
    <n v="55"/>
    <n v="1"/>
    <n v="1"/>
    <n v="0"/>
    <n v="2"/>
    <n v="0"/>
    <n v="0"/>
    <n v="3"/>
    <n v="1"/>
    <s v="Levitate"/>
    <s v="Boost1, Boost2, Levitate"/>
    <m/>
  </r>
  <r>
    <x v="33"/>
    <n v="65"/>
    <n v="1"/>
    <n v="1"/>
    <n v="0"/>
    <n v="2"/>
    <n v="0"/>
    <n v="0"/>
    <n v="0"/>
    <n v="1"/>
    <s v="Levitate"/>
    <s v="Levitate"/>
    <m/>
  </r>
  <r>
    <x v="33"/>
    <n v="75"/>
    <n v="0"/>
    <n v="1"/>
    <n v="0"/>
    <n v="2"/>
    <n v="2"/>
    <n v="7"/>
    <n v="8"/>
    <n v="1"/>
    <s v="Climb on own"/>
    <s v="Force3, Boost3, Levitate"/>
    <m/>
  </r>
  <r>
    <x v="33"/>
    <n v="75"/>
    <n v="1"/>
    <n v="1"/>
    <n v="0"/>
    <n v="0"/>
    <n v="0"/>
    <n v="0"/>
    <n v="6"/>
    <n v="1"/>
    <s v="Climb on own"/>
    <s v="Force3, Boost2, Levitate"/>
    <m/>
  </r>
  <r>
    <x v="33"/>
    <n v="79"/>
    <n v="1"/>
    <n v="1"/>
    <n v="0"/>
    <n v="3"/>
    <n v="0"/>
    <n v="0"/>
    <n v="1"/>
    <n v="0"/>
    <s v="NONE"/>
    <s v="Boost1"/>
    <s v="Tried to climb but was too slow"/>
  </r>
  <r>
    <x v="34"/>
    <n v="4"/>
    <n v="0"/>
    <n v="0"/>
    <n v="0"/>
    <n v="0"/>
    <n v="0"/>
    <n v="0"/>
    <n v="2"/>
    <n v="0"/>
    <s v="NONE"/>
    <s v="Force3, Levitate"/>
    <m/>
  </r>
  <r>
    <x v="34"/>
    <n v="15"/>
    <n v="1"/>
    <n v="0"/>
    <n v="0"/>
    <n v="0"/>
    <n v="0"/>
    <n v="0"/>
    <n v="0"/>
    <n v="0"/>
    <m/>
    <s v="Force2, Boost3, Levitate"/>
    <m/>
  </r>
  <r>
    <x v="34"/>
    <n v="22"/>
    <n v="1"/>
    <n v="0"/>
    <n v="0"/>
    <n v="0"/>
    <n v="0"/>
    <n v="0"/>
    <n v="2"/>
    <n v="1"/>
    <s v="Levitate"/>
    <s v="Force1, Boost3, Levitate"/>
    <s v="Driver seemed to lose control "/>
  </r>
  <r>
    <x v="34"/>
    <n v="29"/>
    <n v="1"/>
    <n v="0"/>
    <n v="0"/>
    <n v="0"/>
    <n v="0"/>
    <n v="0"/>
    <n v="0"/>
    <n v="1"/>
    <s v="Levitate"/>
    <s v="Force1, Boost3, Levitate"/>
    <s v="They seemed to be struggling "/>
  </r>
  <r>
    <x v="34"/>
    <n v="41"/>
    <n v="1"/>
    <n v="0"/>
    <n v="0"/>
    <n v="0"/>
    <n v="0"/>
    <n v="3"/>
    <n v="0"/>
    <n v="0"/>
    <s v="NONE"/>
    <m/>
    <m/>
  </r>
  <r>
    <x v="34"/>
    <n v="46"/>
    <n v="1"/>
    <n v="0"/>
    <n v="0"/>
    <n v="2"/>
    <n v="0"/>
    <n v="0"/>
    <n v="0"/>
    <n v="0"/>
    <s v="NONE"/>
    <m/>
    <s v="Very bad"/>
  </r>
  <r>
    <x v="34"/>
    <n v="51"/>
    <n v="1"/>
    <n v="0"/>
    <n v="0"/>
    <n v="0"/>
    <n v="0"/>
    <n v="0"/>
    <n v="3"/>
    <n v="0"/>
    <s v="NONE"/>
    <s v="Force3, Boost3, Levitate"/>
    <m/>
  </r>
  <r>
    <x v="34"/>
    <n v="56"/>
    <n v="1"/>
    <n v="0"/>
    <n v="0"/>
    <n v="1"/>
    <n v="0"/>
    <n v="0"/>
    <n v="0"/>
    <n v="1"/>
    <s v="Levitate"/>
    <s v="Boost3, Levitate"/>
    <s v="Weak Grip."/>
  </r>
  <r>
    <x v="34"/>
    <n v="67"/>
    <n v="1"/>
    <n v="0"/>
    <n v="0"/>
    <n v="0"/>
    <n v="0"/>
    <n v="0"/>
    <n v="0"/>
    <n v="0"/>
    <s v="Levitate"/>
    <s v="Force1, Levitate"/>
    <s v="They have trouble picking up cubes "/>
  </r>
  <r>
    <x v="34"/>
    <n v="72"/>
    <n v="1"/>
    <n v="0"/>
    <n v="0"/>
    <n v="0"/>
    <n v="0"/>
    <n v="0"/>
    <n v="5"/>
    <n v="1"/>
    <s v="Levitate"/>
    <s v="Boost2, Levitate"/>
    <m/>
  </r>
  <r>
    <x v="35"/>
    <n v="6"/>
    <n v="1"/>
    <n v="0"/>
    <n v="0"/>
    <n v="0"/>
    <n v="3"/>
    <n v="0"/>
    <n v="0"/>
    <n v="0"/>
    <s v="NONE"/>
    <s v="Force3, Boost2"/>
    <s v="Driving seemed weird"/>
  </r>
  <r>
    <x v="35"/>
    <n v="13"/>
    <n v="1"/>
    <n v="0"/>
    <n v="0"/>
    <n v="2"/>
    <n v="2"/>
    <n v="1"/>
    <n v="0"/>
    <n v="1"/>
    <s v="Levitate"/>
    <s v="Force3, Boost3, Levitate"/>
    <s v="Slow"/>
  </r>
  <r>
    <x v="35"/>
    <n v="16"/>
    <n v="1"/>
    <n v="0"/>
    <n v="0"/>
    <n v="0"/>
    <n v="0"/>
    <n v="3"/>
    <n v="0"/>
    <n v="0"/>
    <s v="NONE"/>
    <s v="Force3, Levitate"/>
    <s v="Driving was weird"/>
  </r>
  <r>
    <x v="35"/>
    <n v="26"/>
    <n v="1"/>
    <n v="0"/>
    <n v="0"/>
    <n v="1"/>
    <n v="0"/>
    <n v="2"/>
    <n v="0"/>
    <n v="1"/>
    <s v="Levitate"/>
    <s v="Force3, Boost3, Levitate"/>
    <m/>
  </r>
  <r>
    <x v="35"/>
    <n v="31"/>
    <n v="1"/>
    <n v="0"/>
    <n v="0"/>
    <n v="3"/>
    <n v="0"/>
    <n v="1"/>
    <n v="0"/>
    <n v="1"/>
    <s v="Levitate"/>
    <s v="Levitate"/>
    <s v="Good. I believe in you guys! Go drive team!! Go TechTigers!!!!"/>
  </r>
  <r>
    <x v="35"/>
    <n v="38"/>
    <n v="1"/>
    <n v="0"/>
    <n v="0"/>
    <n v="2"/>
    <n v="0"/>
    <n v="3"/>
    <n v="0"/>
    <n v="1"/>
    <s v="Levitate"/>
    <s v="Boost3, Levitate"/>
    <m/>
  </r>
  <r>
    <x v="35"/>
    <n v="43"/>
    <n v="1"/>
    <n v="0"/>
    <n v="0"/>
    <n v="2"/>
    <n v="0"/>
    <n v="1"/>
    <n v="0"/>
    <n v="1"/>
    <s v="Levitate"/>
    <s v="Force3, Boost3, Levitate"/>
    <m/>
  </r>
  <r>
    <x v="35"/>
    <n v="48"/>
    <n v="1"/>
    <n v="0"/>
    <n v="0"/>
    <n v="3"/>
    <n v="0"/>
    <n v="2"/>
    <n v="0"/>
    <n v="1"/>
    <s v="Levitate"/>
    <s v="Force3, Boost1, Levitate"/>
    <s v="Better turns"/>
  </r>
  <r>
    <x v="35"/>
    <n v="49"/>
    <n v="1"/>
    <n v="0"/>
    <n v="0"/>
    <n v="3"/>
    <n v="0"/>
    <n v="2"/>
    <n v="0"/>
    <n v="0"/>
    <s v="NONE"/>
    <s v="Force3, Boost1, Levitate"/>
    <m/>
  </r>
  <r>
    <x v="35"/>
    <n v="60"/>
    <n v="1"/>
    <n v="0"/>
    <n v="0"/>
    <n v="1"/>
    <n v="0"/>
    <n v="2"/>
    <n v="0"/>
    <n v="1"/>
    <s v="Levitate"/>
    <s v="Force3, Boost1, Levitate"/>
    <m/>
  </r>
  <r>
    <x v="35"/>
    <n v="60"/>
    <n v="1"/>
    <n v="0"/>
    <n v="0"/>
    <n v="0"/>
    <n v="0"/>
    <n v="2"/>
    <n v="0"/>
    <n v="1"/>
    <s v="Assisted (climb on ramp)"/>
    <s v="Force3, Boost2, Levitate"/>
    <m/>
  </r>
  <r>
    <x v="35"/>
    <n v="72"/>
    <n v="1"/>
    <n v="0"/>
    <n v="0"/>
    <n v="0"/>
    <n v="0"/>
    <n v="4"/>
    <n v="0"/>
    <n v="0"/>
    <s v="NONE"/>
    <s v="Boost2, Levitate"/>
    <m/>
  </r>
  <r>
    <x v="36"/>
    <n v="5"/>
    <n v="1"/>
    <n v="0"/>
    <n v="0"/>
    <n v="0"/>
    <n v="0"/>
    <n v="0"/>
    <n v="2"/>
    <n v="0"/>
    <s v="NONE"/>
    <s v="Boost3, Levitate"/>
    <s v="Is missing a wheel on arms so had to push cubes into exchange "/>
  </r>
  <r>
    <x v="36"/>
    <n v="5"/>
    <n v="1"/>
    <n v="0"/>
    <n v="0"/>
    <n v="0"/>
    <n v="0"/>
    <n v="0"/>
    <n v="1"/>
    <n v="1"/>
    <s v="Levitate"/>
    <s v="Force3, Levitate"/>
    <m/>
  </r>
  <r>
    <x v="36"/>
    <n v="10"/>
    <n v="1"/>
    <n v="0"/>
    <n v="0"/>
    <n v="3"/>
    <n v="0"/>
    <n v="0"/>
    <n v="0"/>
    <n v="0"/>
    <m/>
    <m/>
    <m/>
  </r>
  <r>
    <x v="36"/>
    <n v="17"/>
    <n v="1"/>
    <n v="0"/>
    <n v="0"/>
    <n v="2"/>
    <n v="1"/>
    <n v="0"/>
    <n v="0"/>
    <n v="1"/>
    <s v="Levitate"/>
    <s v="Force3, Boost3, Levitate"/>
    <s v="Lost a shooter wheel"/>
  </r>
  <r>
    <x v="36"/>
    <n v="24"/>
    <n v="1"/>
    <n v="0"/>
    <n v="0"/>
    <n v="0"/>
    <n v="0"/>
    <n v="0"/>
    <n v="4"/>
    <n v="0"/>
    <s v="NONE"/>
    <s v="Levitate"/>
    <s v="Kinda slow when trying to do exchange"/>
  </r>
  <r>
    <x v="36"/>
    <n v="28"/>
    <n v="1"/>
    <n v="0"/>
    <n v="0"/>
    <n v="0"/>
    <n v="0"/>
    <n v="0"/>
    <n v="2"/>
    <n v="0"/>
    <s v="NONE"/>
    <s v="Levitate"/>
    <s v="Slow AF"/>
  </r>
  <r>
    <x v="36"/>
    <n v="41"/>
    <n v="1"/>
    <n v="0"/>
    <n v="0"/>
    <n v="0"/>
    <n v="0"/>
    <n v="0"/>
    <n v="4"/>
    <n v="1"/>
    <s v="Levitate"/>
    <s v="Boost3, Levitate"/>
    <m/>
  </r>
  <r>
    <x v="36"/>
    <n v="44"/>
    <n v="1"/>
    <n v="0"/>
    <n v="0"/>
    <n v="1"/>
    <n v="0"/>
    <n v="0"/>
    <n v="1"/>
    <n v="0"/>
    <s v="NONE"/>
    <m/>
    <m/>
  </r>
  <r>
    <x v="36"/>
    <n v="53"/>
    <n v="1"/>
    <n v="0"/>
    <n v="0"/>
    <n v="0"/>
    <n v="0"/>
    <n v="0"/>
    <n v="5"/>
    <n v="1"/>
    <s v="Levitate"/>
    <s v="Force3, Levitate"/>
    <m/>
  </r>
  <r>
    <x v="36"/>
    <n v="61"/>
    <n v="1"/>
    <n v="0"/>
    <n v="0"/>
    <n v="2"/>
    <n v="0"/>
    <n v="0"/>
    <n v="0"/>
    <n v="0"/>
    <m/>
    <s v="Force3, Levitate"/>
    <m/>
  </r>
  <r>
    <x v="36"/>
    <n v="65"/>
    <n v="1"/>
    <n v="0"/>
    <n v="0"/>
    <n v="0"/>
    <n v="3"/>
    <n v="0"/>
    <n v="0"/>
    <n v="1"/>
    <s v="NONE"/>
    <s v="Levitate"/>
    <m/>
  </r>
  <r>
    <x v="36"/>
    <n v="73"/>
    <n v="1"/>
    <n v="0"/>
    <n v="0"/>
    <n v="2"/>
    <n v="0"/>
    <n v="0"/>
    <n v="0"/>
    <n v="0"/>
    <m/>
    <s v="Boost2"/>
    <m/>
  </r>
  <r>
    <x v="36"/>
    <n v="79"/>
    <n v="1"/>
    <n v="0"/>
    <n v="0"/>
    <n v="2"/>
    <n v="0"/>
    <n v="0"/>
    <n v="0"/>
    <n v="1"/>
    <s v="Levitate"/>
    <s v="Levitate"/>
    <m/>
  </r>
  <r>
    <x v="37"/>
    <n v="1"/>
    <n v="0"/>
    <n v="0"/>
    <n v="0"/>
    <n v="0"/>
    <n v="0"/>
    <n v="0"/>
    <n v="5"/>
    <n v="1"/>
    <s v="Levitate"/>
    <s v="Boost1, Levitate"/>
    <m/>
  </r>
  <r>
    <x v="37"/>
    <n v="8"/>
    <n v="1"/>
    <n v="0"/>
    <n v="0"/>
    <n v="1"/>
    <n v="0"/>
    <n v="0"/>
    <n v="6"/>
    <n v="0"/>
    <s v="Climb on own"/>
    <s v="Force3, Boost3, Levitate"/>
    <m/>
  </r>
  <r>
    <x v="37"/>
    <n v="20"/>
    <n v="1"/>
    <n v="0"/>
    <n v="0"/>
    <n v="1"/>
    <n v="0"/>
    <n v="0"/>
    <n v="5"/>
    <n v="0"/>
    <s v="NONE"/>
    <s v="Force2, Levitate"/>
    <m/>
  </r>
  <r>
    <x v="37"/>
    <n v="24"/>
    <n v="1"/>
    <n v="0"/>
    <n v="0"/>
    <n v="1"/>
    <n v="0"/>
    <n v="0"/>
    <n v="3"/>
    <n v="0"/>
    <s v="NONE"/>
    <s v="Levitate"/>
    <m/>
  </r>
  <r>
    <x v="37"/>
    <n v="34"/>
    <n v="0"/>
    <n v="0"/>
    <n v="0"/>
    <n v="3"/>
    <n v="0"/>
    <n v="0"/>
    <n v="0"/>
    <n v="1"/>
    <s v="Climb on own"/>
    <m/>
    <s v="Kinda slow"/>
  </r>
  <r>
    <x v="37"/>
    <n v="41"/>
    <n v="1"/>
    <n v="0"/>
    <n v="0"/>
    <n v="0"/>
    <n v="0"/>
    <n v="0"/>
    <n v="6"/>
    <n v="1"/>
    <s v="Levitate"/>
    <s v="Boost3, Levitate"/>
    <m/>
  </r>
  <r>
    <x v="37"/>
    <n v="44"/>
    <n v="1"/>
    <n v="0"/>
    <n v="0"/>
    <n v="1"/>
    <n v="0"/>
    <n v="0"/>
    <n v="0"/>
    <n v="0"/>
    <s v="Levitate"/>
    <s v="Force3, Boost3, Levitate"/>
    <s v="Had suction cup to grab the cubes that never worked"/>
  </r>
  <r>
    <x v="37"/>
    <n v="49"/>
    <n v="1"/>
    <n v="0"/>
    <n v="0"/>
    <n v="0"/>
    <n v="0"/>
    <n v="0"/>
    <n v="3"/>
    <n v="0"/>
    <s v="NONE"/>
    <s v="Force1, Boost3, Levitate"/>
    <m/>
  </r>
  <r>
    <x v="37"/>
    <n v="56"/>
    <n v="1"/>
    <n v="0"/>
    <n v="0"/>
    <n v="2"/>
    <n v="0"/>
    <n v="0"/>
    <n v="3"/>
    <n v="1"/>
    <s v="Levitate"/>
    <s v="Force1, Levitate"/>
    <m/>
  </r>
  <r>
    <x v="37"/>
    <n v="62"/>
    <n v="1"/>
    <n v="0"/>
    <n v="0"/>
    <n v="0"/>
    <n v="0"/>
    <n v="0"/>
    <n v="4"/>
    <n v="0"/>
    <m/>
    <s v="Boost3, Levitate"/>
    <m/>
  </r>
  <r>
    <x v="37"/>
    <n v="71"/>
    <n v="1"/>
    <n v="0"/>
    <n v="0"/>
    <n v="1"/>
    <n v="0"/>
    <n v="0"/>
    <n v="9"/>
    <n v="1"/>
    <s v="Levitate"/>
    <s v="Force3, Boost3, Levitate"/>
    <m/>
  </r>
  <r>
    <x v="38"/>
    <n v="52"/>
    <n v="1"/>
    <n v="0"/>
    <n v="0"/>
    <n v="3"/>
    <n v="4"/>
    <n v="4"/>
    <n v="3"/>
    <n v="0"/>
    <s v="NONE"/>
    <s v="Boost3"/>
    <m/>
  </r>
  <r>
    <x v="39"/>
    <n v="1"/>
    <n v="1"/>
    <n v="1"/>
    <n v="0"/>
    <n v="1"/>
    <n v="0"/>
    <n v="0"/>
    <n v="3"/>
    <n v="1"/>
    <s v="Climb on own"/>
    <m/>
    <m/>
  </r>
  <r>
    <x v="39"/>
    <n v="11"/>
    <n v="1"/>
    <n v="0"/>
    <n v="0"/>
    <n v="2"/>
    <n v="0"/>
    <n v="0"/>
    <n v="4"/>
    <n v="0"/>
    <s v="NONE"/>
    <s v="Force3, Boost1, Levitate"/>
    <s v="Looked a little slow"/>
  </r>
  <r>
    <x v="39"/>
    <n v="16"/>
    <n v="1"/>
    <n v="0"/>
    <n v="0"/>
    <n v="4"/>
    <n v="0"/>
    <n v="0"/>
    <n v="0"/>
    <n v="1"/>
    <s v="NONE"/>
    <m/>
    <s v="Did not know how many power ups were used"/>
  </r>
  <r>
    <x v="39"/>
    <n v="23"/>
    <n v="1"/>
    <n v="0"/>
    <n v="0"/>
    <n v="0"/>
    <n v="0"/>
    <n v="0"/>
    <n v="4"/>
    <n v="0"/>
    <s v="NONE"/>
    <s v="Boost3, Levitate"/>
    <m/>
  </r>
  <r>
    <x v="39"/>
    <n v="30"/>
    <n v="1"/>
    <n v="0"/>
    <n v="0"/>
    <n v="0"/>
    <n v="1"/>
    <n v="0"/>
    <n v="0"/>
    <n v="0"/>
    <m/>
    <s v="Boost3"/>
    <s v="They have a weird mechanism for picking up cubes"/>
  </r>
  <r>
    <x v="39"/>
    <n v="41"/>
    <n v="1"/>
    <n v="0"/>
    <n v="0"/>
    <n v="1"/>
    <n v="0"/>
    <n v="0"/>
    <n v="3"/>
    <n v="1"/>
    <s v="Levitate"/>
    <s v="Boost1, Boost2, Boost3, Levitate"/>
    <s v="Slow going around field. Has trouble picking up cubes sometimes. Attempted to climb but was very slow"/>
  </r>
  <r>
    <x v="39"/>
    <n v="45"/>
    <n v="1"/>
    <n v="0"/>
    <n v="0"/>
    <n v="1"/>
    <n v="0"/>
    <n v="0"/>
    <n v="0"/>
    <n v="0"/>
    <m/>
    <s v="Force2, Levitate"/>
    <m/>
  </r>
  <r>
    <x v="39"/>
    <n v="45"/>
    <n v="1"/>
    <n v="0"/>
    <n v="0"/>
    <n v="2"/>
    <n v="0"/>
    <n v="0"/>
    <n v="0"/>
    <n v="0"/>
    <s v="NONE"/>
    <s v="Force2, Levitate"/>
    <s v="Stopped at the end of the match"/>
  </r>
  <r>
    <x v="39"/>
    <n v="63"/>
    <n v="0"/>
    <n v="0"/>
    <n v="0"/>
    <n v="2"/>
    <n v="3"/>
    <n v="4"/>
    <n v="3"/>
    <n v="0"/>
    <s v="NONE"/>
    <s v="Boost3"/>
    <m/>
  </r>
  <r>
    <x v="39"/>
    <n v="69"/>
    <n v="0"/>
    <n v="1"/>
    <n v="0"/>
    <n v="1"/>
    <n v="3"/>
    <n v="3"/>
    <n v="2"/>
    <n v="0"/>
    <s v="NONE"/>
    <s v="Force1, Boost3, Levitate"/>
    <m/>
  </r>
  <r>
    <x v="39"/>
    <n v="69"/>
    <n v="1"/>
    <n v="0"/>
    <n v="0"/>
    <n v="0"/>
    <n v="0"/>
    <n v="0"/>
    <n v="2"/>
    <n v="0"/>
    <m/>
    <s v="Force1, Boost2, Levitate"/>
    <m/>
  </r>
  <r>
    <x v="39"/>
    <n v="77"/>
    <n v="1"/>
    <n v="0"/>
    <n v="0"/>
    <n v="0"/>
    <n v="2"/>
    <n v="0"/>
    <n v="0"/>
    <n v="0"/>
    <s v="NONE"/>
    <m/>
    <s v="They were slow and struggled with cubes"/>
  </r>
  <r>
    <x v="40"/>
    <n v="57"/>
    <n v="1"/>
    <n v="0"/>
    <n v="0"/>
    <n v="0"/>
    <n v="0"/>
    <n v="2"/>
    <n v="3"/>
    <n v="1"/>
    <s v="Levitate"/>
    <s v="Force3, Boost3, Levitate"/>
    <m/>
  </r>
  <r>
    <x v="41"/>
    <n v="6"/>
    <n v="1"/>
    <n v="0"/>
    <n v="0"/>
    <n v="5"/>
    <n v="1"/>
    <n v="0"/>
    <n v="4"/>
    <n v="0"/>
    <s v="NONE"/>
    <s v="Force2, Boost2, Levitate"/>
    <m/>
  </r>
  <r>
    <x v="41"/>
    <n v="12"/>
    <n v="1"/>
    <n v="1"/>
    <n v="0"/>
    <n v="0"/>
    <n v="1"/>
    <n v="0"/>
    <n v="9"/>
    <n v="0"/>
    <s v="NONE"/>
    <s v="Force3, Boost3, Levitate"/>
    <s v="Good cycle time for exchange but looked lost after they filled it"/>
  </r>
  <r>
    <x v="41"/>
    <n v="15"/>
    <n v="1"/>
    <n v="1"/>
    <n v="0"/>
    <n v="3"/>
    <n v="1"/>
    <n v="0"/>
    <n v="7"/>
    <n v="0"/>
    <s v="NONE"/>
    <s v="Force2, Boost3, Levitate"/>
    <m/>
  </r>
  <r>
    <x v="41"/>
    <n v="27"/>
    <n v="0"/>
    <n v="1"/>
    <n v="0"/>
    <n v="4"/>
    <n v="5"/>
    <n v="3"/>
    <n v="6"/>
    <n v="0"/>
    <s v="NONE"/>
    <s v="Force3, Boost3"/>
    <m/>
  </r>
  <r>
    <x v="41"/>
    <n v="30"/>
    <n v="0"/>
    <n v="1"/>
    <n v="0"/>
    <n v="3"/>
    <n v="1"/>
    <n v="6"/>
    <n v="5"/>
    <n v="0"/>
    <s v="NONE"/>
    <s v="Force2, Boost3"/>
    <m/>
  </r>
  <r>
    <x v="41"/>
    <n v="36"/>
    <n v="0"/>
    <n v="0"/>
    <n v="0"/>
    <n v="3"/>
    <n v="2"/>
    <n v="0"/>
    <n v="9"/>
    <n v="0"/>
    <s v="NONE"/>
    <s v="Force3, Boost3, Levitate"/>
    <s v="Very fast and good at switch"/>
  </r>
  <r>
    <x v="41"/>
    <n v="42"/>
    <n v="1"/>
    <n v="1"/>
    <n v="0"/>
    <n v="1"/>
    <n v="0"/>
    <n v="0"/>
    <n v="9"/>
    <n v="0"/>
    <s v="NONE"/>
    <s v="Force3, Boost3, Levitate"/>
    <s v="Really fast exchange bot"/>
  </r>
  <r>
    <x v="41"/>
    <n v="49"/>
    <n v="1"/>
    <n v="0"/>
    <n v="0"/>
    <n v="0"/>
    <n v="1"/>
    <n v="0"/>
    <n v="3"/>
    <n v="1"/>
    <s v="Assisted (climb on ramp)"/>
    <s v="Force3, Boost3, Levitate"/>
    <m/>
  </r>
  <r>
    <x v="41"/>
    <n v="66"/>
    <n v="1"/>
    <n v="1"/>
    <n v="0"/>
    <n v="0"/>
    <n v="8"/>
    <n v="0"/>
    <n v="0"/>
    <n v="1"/>
    <s v="Levitate"/>
    <s v="Force3, Boost3, Levitate"/>
    <s v="They dropped a cube"/>
  </r>
  <r>
    <x v="41"/>
    <n v="74"/>
    <n v="0"/>
    <n v="1"/>
    <n v="0"/>
    <n v="0"/>
    <n v="7"/>
    <n v="0"/>
    <n v="0"/>
    <n v="1"/>
    <s v="Levitate"/>
    <s v="Force2, Levitate"/>
    <m/>
  </r>
  <r>
    <x v="41"/>
    <n v="79"/>
    <n v="0"/>
    <n v="1"/>
    <n v="0"/>
    <n v="5"/>
    <n v="4"/>
    <n v="0"/>
    <n v="6"/>
    <n v="0"/>
    <s v="NONE"/>
    <s v="Boost3, Levitate"/>
    <m/>
  </r>
  <r>
    <x v="42"/>
    <n v="5"/>
    <n v="1"/>
    <n v="0"/>
    <n v="0"/>
    <n v="2"/>
    <n v="0"/>
    <n v="1"/>
    <n v="0"/>
    <n v="0"/>
    <s v="NONE"/>
    <m/>
    <s v="When putting cubes on scale, they get too close to the scale and hit it"/>
  </r>
  <r>
    <x v="42"/>
    <n v="9"/>
    <n v="1"/>
    <n v="1"/>
    <n v="0"/>
    <n v="2"/>
    <n v="0"/>
    <n v="0"/>
    <n v="0"/>
    <n v="0"/>
    <s v="NONE"/>
    <m/>
    <s v="Disabled"/>
  </r>
  <r>
    <x v="42"/>
    <n v="15"/>
    <n v="1"/>
    <n v="0"/>
    <n v="0"/>
    <n v="0"/>
    <n v="0"/>
    <n v="0"/>
    <n v="5"/>
    <n v="1"/>
    <s v="Levitate"/>
    <s v="Force2, Levitate"/>
    <s v="Decent job"/>
  </r>
  <r>
    <x v="42"/>
    <n v="25"/>
    <n v="1"/>
    <n v="0"/>
    <n v="0"/>
    <n v="0"/>
    <n v="0"/>
    <n v="0"/>
    <n v="0"/>
    <n v="0"/>
    <s v="NONE"/>
    <s v="Force3, Boost1"/>
    <s v="Something was wrong with their bot. "/>
  </r>
  <r>
    <x v="42"/>
    <n v="29"/>
    <n v="1"/>
    <n v="0"/>
    <n v="0"/>
    <n v="0"/>
    <n v="0"/>
    <n v="1"/>
    <n v="6"/>
    <n v="1"/>
    <s v="Levitate"/>
    <s v="Force1, Boost3, Levitate"/>
    <m/>
  </r>
  <r>
    <x v="42"/>
    <n v="38"/>
    <n v="1"/>
    <n v="0"/>
    <n v="0"/>
    <n v="0"/>
    <n v="0"/>
    <n v="0"/>
    <n v="3"/>
    <n v="0"/>
    <s v="NONE"/>
    <s v="Force3"/>
    <m/>
  </r>
  <r>
    <x v="42"/>
    <n v="50"/>
    <n v="1"/>
    <n v="0"/>
    <n v="0"/>
    <n v="1"/>
    <n v="0"/>
    <n v="0"/>
    <n v="3"/>
    <n v="0"/>
    <s v="NONE"/>
    <s v="Force3, Boost3, Levitate"/>
    <m/>
  </r>
  <r>
    <x v="42"/>
    <n v="55"/>
    <n v="1"/>
    <n v="0"/>
    <n v="0"/>
    <n v="0"/>
    <n v="2"/>
    <n v="1"/>
    <n v="3"/>
    <n v="0"/>
    <s v="Levitate"/>
    <s v="Boost2, Levitate"/>
    <m/>
  </r>
  <r>
    <x v="42"/>
    <n v="68"/>
    <n v="0"/>
    <n v="1"/>
    <n v="0"/>
    <n v="3"/>
    <n v="2"/>
    <n v="4"/>
    <n v="5"/>
    <n v="0"/>
    <s v="NONE"/>
    <s v="Boost3, Levitate"/>
    <s v="Good with scale"/>
  </r>
  <r>
    <x v="42"/>
    <n v="77"/>
    <n v="1"/>
    <n v="0"/>
    <n v="0"/>
    <n v="0"/>
    <n v="0"/>
    <n v="1"/>
    <n v="0"/>
    <n v="0"/>
    <m/>
    <s v="Force1, Boost3, Levitate"/>
    <m/>
  </r>
  <r>
    <x v="43"/>
    <n v="42"/>
    <n v="0"/>
    <n v="0"/>
    <n v="0"/>
    <n v="2"/>
    <n v="0"/>
    <n v="1"/>
    <n v="0"/>
    <n v="1"/>
    <s v="Levitate"/>
    <s v="Force3, Boost3, Levitate"/>
    <m/>
  </r>
  <r>
    <x v="44"/>
    <n v="54"/>
    <n v="1"/>
    <n v="0"/>
    <n v="0"/>
    <n v="0"/>
    <n v="0"/>
    <n v="0"/>
    <n v="2"/>
    <n v="0"/>
    <s v="NONE"/>
    <m/>
    <m/>
  </r>
  <r>
    <x v="45"/>
    <n v="7"/>
    <n v="1"/>
    <n v="0"/>
    <n v="0"/>
    <n v="0"/>
    <n v="0"/>
    <n v="1"/>
    <n v="0"/>
    <n v="1"/>
    <s v="Levitate"/>
    <s v="Levitate"/>
    <s v="Was really slowly didn’t really pick up cubes "/>
  </r>
  <r>
    <x v="45"/>
    <n v="10"/>
    <n v="1"/>
    <n v="0"/>
    <n v="0"/>
    <n v="1"/>
    <n v="0"/>
    <n v="1"/>
    <n v="0"/>
    <n v="0"/>
    <s v="NONE"/>
    <m/>
    <m/>
  </r>
  <r>
    <x v="45"/>
    <n v="27"/>
    <n v="0"/>
    <n v="1"/>
    <n v="0"/>
    <n v="0"/>
    <n v="1"/>
    <n v="0"/>
    <n v="2"/>
    <n v="1"/>
    <s v="Levitate"/>
    <s v="Force1, Force3, Boost1"/>
    <s v="They seemed like they didn’t seem to have a purpose"/>
  </r>
  <r>
    <x v="45"/>
    <n v="32"/>
    <n v="1"/>
    <n v="0"/>
    <n v="0"/>
    <n v="0"/>
    <n v="0"/>
    <n v="0"/>
    <n v="0"/>
    <n v="0"/>
    <s v="Levitate"/>
    <s v="Force3, Boost1, Levitate"/>
    <s v="They didn’t do anything "/>
  </r>
  <r>
    <x v="45"/>
    <n v="35"/>
    <n v="1"/>
    <n v="0"/>
    <n v="0"/>
    <n v="0"/>
    <n v="0"/>
    <n v="0"/>
    <n v="4"/>
    <n v="1"/>
    <s v="Levitate"/>
    <s v="Force1, Levitate"/>
    <m/>
  </r>
  <r>
    <x v="45"/>
    <n v="42"/>
    <n v="1"/>
    <n v="0"/>
    <n v="0"/>
    <n v="3"/>
    <n v="0"/>
    <n v="0"/>
    <n v="0"/>
    <n v="0"/>
    <s v="NONE"/>
    <s v="Force1, Levitate"/>
    <m/>
  </r>
  <r>
    <x v="45"/>
    <n v="42"/>
    <n v="1"/>
    <n v="0"/>
    <n v="0"/>
    <n v="1"/>
    <n v="0"/>
    <n v="0"/>
    <n v="1"/>
    <n v="0"/>
    <m/>
    <s v="Force2, Levitate"/>
    <m/>
  </r>
  <r>
    <x v="45"/>
    <n v="55"/>
    <n v="1"/>
    <n v="0"/>
    <n v="0"/>
    <n v="0"/>
    <n v="1"/>
    <n v="0"/>
    <n v="0"/>
    <n v="0"/>
    <s v="NONE"/>
    <s v="Force3, Boost3, Levitate"/>
    <m/>
  </r>
  <r>
    <x v="45"/>
    <n v="55"/>
    <n v="1"/>
    <n v="0"/>
    <n v="0"/>
    <n v="0"/>
    <n v="1"/>
    <n v="0"/>
    <n v="0"/>
    <n v="0"/>
    <s v="NONE"/>
    <s v="Force3, Boost3, Levitate"/>
    <m/>
  </r>
  <r>
    <x v="45"/>
    <n v="60"/>
    <n v="1"/>
    <n v="0"/>
    <n v="0"/>
    <n v="1"/>
    <n v="0"/>
    <n v="0"/>
    <n v="2"/>
    <n v="1"/>
    <s v="Levitate"/>
    <s v="Levitate"/>
    <m/>
  </r>
  <r>
    <x v="45"/>
    <n v="72"/>
    <n v="1"/>
    <n v="0"/>
    <n v="0"/>
    <n v="2"/>
    <n v="0"/>
    <n v="0"/>
    <n v="0"/>
    <n v="0"/>
    <m/>
    <s v="Boost2, Levitate"/>
    <m/>
  </r>
  <r>
    <x v="46"/>
    <n v="1"/>
    <n v="1"/>
    <n v="0"/>
    <n v="0"/>
    <n v="0"/>
    <n v="0"/>
    <n v="0"/>
    <n v="2"/>
    <n v="0"/>
    <s v="NONE"/>
    <s v="Boost2, Levitate"/>
    <m/>
  </r>
  <r>
    <x v="46"/>
    <n v="1"/>
    <n v="1"/>
    <n v="0"/>
    <n v="0"/>
    <n v="1"/>
    <n v="0"/>
    <n v="0"/>
    <n v="2"/>
    <n v="1"/>
    <s v="NONE"/>
    <s v="Force2, Boost3"/>
    <s v="Arms were stuck"/>
  </r>
  <r>
    <x v="46"/>
    <n v="13"/>
    <n v="1"/>
    <n v="0"/>
    <n v="0"/>
    <n v="1"/>
    <n v="0"/>
    <n v="0"/>
    <n v="4"/>
    <n v="0"/>
    <m/>
    <s v="Levitate"/>
    <s v="Slow"/>
  </r>
  <r>
    <x v="46"/>
    <n v="13"/>
    <n v="1"/>
    <n v="0"/>
    <n v="0"/>
    <n v="1"/>
    <n v="0"/>
    <n v="0"/>
    <n v="3"/>
    <n v="0"/>
    <s v="NONE"/>
    <s v="Levitate"/>
    <m/>
  </r>
  <r>
    <x v="46"/>
    <n v="20"/>
    <n v="1"/>
    <n v="1"/>
    <n v="0"/>
    <n v="2"/>
    <n v="0"/>
    <n v="0"/>
    <n v="0"/>
    <n v="1"/>
    <s v="Levitate"/>
    <s v="Force2, Levitate"/>
    <s v="Had trouble picking up cubes"/>
  </r>
  <r>
    <x v="46"/>
    <n v="25"/>
    <n v="0"/>
    <n v="0"/>
    <n v="0"/>
    <n v="0"/>
    <n v="0"/>
    <n v="0"/>
    <n v="4"/>
    <n v="0"/>
    <m/>
    <s v="Boost1, Levitate"/>
    <s v="Intake was loose around cubes"/>
  </r>
  <r>
    <x v="46"/>
    <n v="33"/>
    <n v="1"/>
    <n v="0"/>
    <n v="0"/>
    <n v="1"/>
    <n v="0"/>
    <n v="0"/>
    <n v="2"/>
    <n v="1"/>
    <s v="Levitate"/>
    <s v="Levitate"/>
    <s v="They aren’t very fast "/>
  </r>
  <r>
    <x v="46"/>
    <n v="36"/>
    <n v="0"/>
    <n v="0"/>
    <n v="0"/>
    <n v="0"/>
    <n v="0"/>
    <n v="0"/>
    <n v="0"/>
    <n v="1"/>
    <s v="Levitate"/>
    <s v="Force3, Boost3, Levitate"/>
    <m/>
  </r>
  <r>
    <x v="46"/>
    <n v="47"/>
    <n v="1"/>
    <n v="0"/>
    <n v="0"/>
    <n v="0"/>
    <n v="0"/>
    <n v="0"/>
    <n v="5"/>
    <n v="0"/>
    <s v="NONE"/>
    <s v="Force3, Levitate"/>
    <s v="Not a fast exchange bot"/>
  </r>
  <r>
    <x v="46"/>
    <n v="52"/>
    <n v="1"/>
    <n v="0"/>
    <n v="0"/>
    <n v="0"/>
    <n v="0"/>
    <n v="2"/>
    <n v="0"/>
    <n v="1"/>
    <s v="Levitate"/>
    <s v="Force1, Boost1, Levitate"/>
    <m/>
  </r>
  <r>
    <x v="46"/>
    <n v="57"/>
    <n v="1"/>
    <n v="0"/>
    <n v="0"/>
    <n v="0"/>
    <n v="0"/>
    <n v="0"/>
    <n v="4"/>
    <n v="0"/>
    <m/>
    <s v="Levitate"/>
    <m/>
  </r>
  <r>
    <x v="46"/>
    <n v="68"/>
    <n v="1"/>
    <n v="0"/>
    <n v="0"/>
    <n v="0"/>
    <n v="0"/>
    <n v="0"/>
    <n v="3"/>
    <n v="0"/>
    <m/>
    <s v="Levitate"/>
    <m/>
  </r>
  <r>
    <x v="46"/>
    <n v="72"/>
    <n v="1"/>
    <n v="1"/>
    <n v="0"/>
    <n v="0"/>
    <n v="0"/>
    <n v="0"/>
    <n v="5"/>
    <n v="1"/>
    <s v="Levitate"/>
    <s v="Boost2, Levitate"/>
    <m/>
  </r>
  <r>
    <x v="46"/>
    <n v="81"/>
    <n v="1"/>
    <n v="0"/>
    <n v="0"/>
    <n v="1"/>
    <n v="3"/>
    <n v="1"/>
    <n v="0"/>
    <n v="1"/>
    <s v="Climb on own"/>
    <s v="Force3, Levitate"/>
    <m/>
  </r>
  <r>
    <x v="47"/>
    <n v="73"/>
    <n v="1"/>
    <n v="0"/>
    <n v="0"/>
    <n v="1"/>
    <n v="0"/>
    <n v="0"/>
    <n v="0"/>
    <n v="0"/>
    <s v="NONE"/>
    <s v="Force2, Levitate"/>
    <m/>
  </r>
  <r>
    <x v="48"/>
    <n v="3"/>
    <n v="1"/>
    <n v="0"/>
    <n v="0"/>
    <n v="2"/>
    <n v="0"/>
    <n v="0"/>
    <n v="0"/>
    <n v="0"/>
    <s v="NONE"/>
    <s v="Boost1"/>
    <s v="Hands are thick so grabbing cubes was hard for them"/>
  </r>
  <r>
    <x v="48"/>
    <n v="9"/>
    <n v="1"/>
    <n v="0"/>
    <n v="0"/>
    <n v="2"/>
    <n v="1"/>
    <n v="0"/>
    <n v="0"/>
    <n v="1"/>
    <s v="Levitate"/>
    <s v="Force3, Boost3, Levitate"/>
    <m/>
  </r>
  <r>
    <x v="48"/>
    <n v="14"/>
    <n v="1"/>
    <n v="0"/>
    <n v="0"/>
    <n v="4"/>
    <n v="0"/>
    <n v="0"/>
    <n v="0"/>
    <n v="0"/>
    <m/>
    <s v="Force3, Boost3, Levitate"/>
    <m/>
  </r>
  <r>
    <x v="48"/>
    <n v="21"/>
    <n v="0"/>
    <n v="0"/>
    <n v="0"/>
    <n v="3"/>
    <n v="2"/>
    <n v="0"/>
    <n v="3"/>
    <n v="0"/>
    <s v="NONE"/>
    <s v="Boost3"/>
    <m/>
  </r>
  <r>
    <x v="48"/>
    <n v="28"/>
    <n v="1"/>
    <n v="0"/>
    <n v="0"/>
    <n v="0"/>
    <n v="0"/>
    <n v="0"/>
    <n v="0"/>
    <n v="1"/>
    <s v="Levitate"/>
    <s v="Levitate"/>
    <s v="They tried to put a cube on the opposite switch but they failed "/>
  </r>
  <r>
    <x v="48"/>
    <n v="38"/>
    <n v="1"/>
    <n v="0"/>
    <n v="0"/>
    <n v="0"/>
    <n v="0"/>
    <n v="0"/>
    <n v="3"/>
    <n v="0"/>
    <s v="NONE"/>
    <s v="Boost3, Levitate"/>
    <m/>
  </r>
  <r>
    <x v="48"/>
    <n v="42"/>
    <n v="1"/>
    <n v="0"/>
    <n v="0"/>
    <n v="0"/>
    <n v="0"/>
    <n v="0"/>
    <n v="4"/>
    <n v="1"/>
    <s v="Levitate"/>
    <s v="Force1, Levitate"/>
    <m/>
  </r>
  <r>
    <x v="48"/>
    <n v="54"/>
    <n v="0"/>
    <n v="1"/>
    <n v="0"/>
    <n v="1"/>
    <n v="4"/>
    <n v="0"/>
    <n v="4"/>
    <n v="0"/>
    <s v="NONE"/>
    <s v="Force1, Boost3"/>
    <m/>
  </r>
  <r>
    <x v="48"/>
    <n v="57"/>
    <n v="1"/>
    <n v="0"/>
    <n v="0"/>
    <n v="1"/>
    <n v="0"/>
    <n v="0"/>
    <n v="0"/>
    <n v="0"/>
    <s v="NONE"/>
    <s v="Levitate"/>
    <m/>
  </r>
  <r>
    <x v="48"/>
    <n v="65"/>
    <n v="1"/>
    <n v="0"/>
    <n v="0"/>
    <n v="0"/>
    <n v="0"/>
    <n v="0"/>
    <n v="5"/>
    <n v="0"/>
    <s v="NONE"/>
    <s v="Force1, Boost2, Levitate"/>
    <m/>
  </r>
  <r>
    <x v="48"/>
    <n v="76"/>
    <n v="1"/>
    <n v="0"/>
    <n v="0"/>
    <n v="0"/>
    <n v="0"/>
    <n v="0"/>
    <n v="1"/>
    <n v="1"/>
    <s v="Levitate"/>
    <s v="Force3, Boost3, Levitate"/>
    <s v="Hey struggle with cubes"/>
  </r>
  <r>
    <x v="49"/>
    <n v="21"/>
    <n v="1"/>
    <n v="0"/>
    <n v="0"/>
    <n v="0"/>
    <n v="0"/>
    <n v="0"/>
    <n v="0"/>
    <n v="1"/>
    <s v="Levitate"/>
    <s v="Force3, Boost3, Levitate"/>
    <s v="They didn’t really do anything. It seemed like they were struggling to be able to do anything "/>
  </r>
  <r>
    <x v="49"/>
    <n v="24"/>
    <n v="0"/>
    <n v="0"/>
    <n v="0"/>
    <n v="0"/>
    <n v="0"/>
    <n v="0"/>
    <n v="0"/>
    <n v="1"/>
    <s v="Levitate"/>
    <s v="Levitate"/>
    <s v="Wheels on the right side of their bot aren’t turning. Caused the robot to not go anywhere but in circles "/>
  </r>
  <r>
    <x v="49"/>
    <n v="30"/>
    <n v="1"/>
    <n v="0"/>
    <n v="0"/>
    <n v="0"/>
    <n v="0"/>
    <n v="0"/>
    <n v="2"/>
    <n v="1"/>
    <s v="Levitate"/>
    <s v="Levitate"/>
    <s v="Thy were struggling to put in cubes through the exchange "/>
  </r>
  <r>
    <x v="49"/>
    <n v="36"/>
    <n v="0"/>
    <n v="0"/>
    <n v="0"/>
    <n v="0"/>
    <n v="0"/>
    <n v="0"/>
    <n v="1"/>
    <n v="1"/>
    <s v="Levitate"/>
    <s v="Levitate"/>
    <s v="We’re getting block the whole time "/>
  </r>
  <r>
    <x v="49"/>
    <n v="60"/>
    <n v="1"/>
    <n v="0"/>
    <n v="0"/>
    <n v="0"/>
    <n v="0"/>
    <n v="0"/>
    <n v="0"/>
    <n v="0"/>
    <s v="NONE"/>
    <s v="Force3, Boost2, Levitate"/>
    <s v="Died toward the end "/>
  </r>
  <r>
    <x v="49"/>
    <n v="67"/>
    <n v="1"/>
    <n v="0"/>
    <n v="0"/>
    <n v="0"/>
    <n v="0"/>
    <n v="0"/>
    <n v="2"/>
    <n v="0"/>
    <m/>
    <s v="Force1, Boost3, Levitate"/>
    <m/>
  </r>
  <r>
    <x v="49"/>
    <n v="77"/>
    <n v="0"/>
    <n v="0"/>
    <n v="0"/>
    <n v="0"/>
    <n v="0"/>
    <n v="0"/>
    <n v="0"/>
    <n v="0"/>
    <s v="NONE"/>
    <m/>
    <s v="Robot wasn’t on the field"/>
  </r>
  <r>
    <x v="50"/>
    <n v="26"/>
    <n v="1"/>
    <n v="0"/>
    <n v="0"/>
    <n v="0"/>
    <n v="0"/>
    <n v="0"/>
    <n v="0"/>
    <n v="0"/>
    <s v="NONE"/>
    <m/>
    <s v="Robot stop working"/>
  </r>
  <r>
    <x v="51"/>
    <n v="3"/>
    <n v="1"/>
    <n v="0"/>
    <n v="0"/>
    <n v="0"/>
    <n v="1"/>
    <n v="0"/>
    <n v="2"/>
    <n v="1"/>
    <s v="Levitate"/>
    <s v="Levitate"/>
    <m/>
  </r>
  <r>
    <x v="51"/>
    <n v="12"/>
    <n v="1"/>
    <n v="0"/>
    <n v="0"/>
    <n v="0"/>
    <n v="1"/>
    <n v="0"/>
    <n v="0"/>
    <n v="0"/>
    <s v="NONE"/>
    <m/>
    <s v="Can’t pick up a cube on its own"/>
  </r>
  <r>
    <x v="51"/>
    <n v="12"/>
    <n v="1"/>
    <n v="0"/>
    <n v="0"/>
    <n v="0"/>
    <n v="0"/>
    <n v="0"/>
    <n v="0"/>
    <n v="0"/>
    <s v="NONE"/>
    <s v="Levitate"/>
    <m/>
  </r>
  <r>
    <x v="51"/>
    <n v="18"/>
    <n v="1"/>
    <n v="0"/>
    <n v="0"/>
    <n v="0"/>
    <n v="0"/>
    <n v="0"/>
    <n v="0"/>
    <n v="0"/>
    <s v="NONE"/>
    <s v="Force2, Levitate"/>
    <m/>
  </r>
  <r>
    <x v="51"/>
    <n v="28"/>
    <n v="1"/>
    <n v="0"/>
    <n v="0"/>
    <n v="0"/>
    <n v="0"/>
    <n v="0"/>
    <n v="5"/>
    <n v="0"/>
    <s v="NONE"/>
    <s v="Levitate"/>
    <m/>
  </r>
  <r>
    <x v="51"/>
    <n v="34"/>
    <n v="1"/>
    <n v="0"/>
    <n v="0"/>
    <n v="1"/>
    <n v="0"/>
    <n v="0"/>
    <n v="2"/>
    <n v="0"/>
    <s v="NONE"/>
    <m/>
    <m/>
  </r>
  <r>
    <x v="51"/>
    <n v="39"/>
    <n v="1"/>
    <n v="0"/>
    <n v="0"/>
    <n v="0"/>
    <n v="0"/>
    <n v="0"/>
    <n v="2"/>
    <n v="1"/>
    <s v="Levitate"/>
    <s v="Force2, Levitate"/>
    <m/>
  </r>
  <r>
    <x v="51"/>
    <n v="48"/>
    <n v="1"/>
    <n v="0"/>
    <n v="0"/>
    <n v="0"/>
    <n v="0"/>
    <n v="0"/>
    <n v="0"/>
    <n v="1"/>
    <s v="Climb on own"/>
    <s v="Force2"/>
    <m/>
  </r>
  <r>
    <x v="51"/>
    <n v="55"/>
    <n v="1"/>
    <n v="0"/>
    <n v="0"/>
    <n v="2"/>
    <n v="0"/>
    <n v="0"/>
    <n v="0"/>
    <n v="0"/>
    <s v="NONE"/>
    <m/>
    <m/>
  </r>
  <r>
    <x v="51"/>
    <n v="58"/>
    <n v="1"/>
    <n v="0"/>
    <n v="0"/>
    <n v="2"/>
    <n v="2"/>
    <n v="0"/>
    <n v="0"/>
    <n v="1"/>
    <s v="Levitate"/>
    <s v="Force2, Boost3, Levitate"/>
    <m/>
  </r>
  <r>
    <x v="51"/>
    <n v="69"/>
    <n v="1"/>
    <n v="0"/>
    <n v="0"/>
    <n v="1"/>
    <n v="0"/>
    <n v="0"/>
    <n v="0"/>
    <n v="0"/>
    <s v="NONE"/>
    <s v="Levitate"/>
    <m/>
  </r>
  <r>
    <x v="51"/>
    <n v="78"/>
    <n v="1"/>
    <n v="0"/>
    <n v="0"/>
    <n v="0"/>
    <n v="0"/>
    <n v="0"/>
    <n v="0"/>
    <n v="1"/>
    <s v="Levitate"/>
    <s v="Levitate"/>
    <s v="They stopped working "/>
  </r>
  <r>
    <x v="51"/>
    <n v="78"/>
    <n v="1"/>
    <n v="0"/>
    <n v="0"/>
    <n v="0"/>
    <n v="0"/>
    <n v="0"/>
    <n v="0"/>
    <n v="1"/>
    <s v="Levitate"/>
    <s v="Levitate"/>
    <s v="They stopped working "/>
  </r>
  <r>
    <x v="52"/>
    <n v="7"/>
    <n v="1"/>
    <n v="0"/>
    <n v="0"/>
    <n v="0"/>
    <n v="0"/>
    <n v="0"/>
    <n v="0"/>
    <n v="0"/>
    <s v="Levitate"/>
    <s v="Force2, Boost2, Levitate"/>
    <s v="Didn’t pick up any cubes"/>
  </r>
  <r>
    <x v="52"/>
    <n v="13"/>
    <n v="1"/>
    <n v="0"/>
    <n v="0"/>
    <n v="0"/>
    <n v="0"/>
    <n v="0"/>
    <n v="6"/>
    <n v="0"/>
    <s v="NONE"/>
    <s v="Force3, Boost3, Levitate"/>
    <m/>
  </r>
  <r>
    <x v="52"/>
    <n v="20"/>
    <n v="1"/>
    <n v="0"/>
    <n v="0"/>
    <n v="0"/>
    <n v="1"/>
    <n v="0"/>
    <n v="0"/>
    <n v="0"/>
    <s v="NONE"/>
    <s v="Force2, Levitate"/>
    <s v="They got a lot of foul points for blocking the blue alliance from the exchange"/>
  </r>
  <r>
    <x v="52"/>
    <n v="23"/>
    <n v="0"/>
    <n v="0"/>
    <n v="0"/>
    <n v="0"/>
    <n v="0"/>
    <n v="0"/>
    <n v="0"/>
    <n v="0"/>
    <s v="NONE"/>
    <m/>
    <s v="The bot wasn’t working. It started to move towards the end but it didn’t do anything"/>
  </r>
  <r>
    <x v="52"/>
    <n v="39"/>
    <n v="1"/>
    <n v="0"/>
    <n v="0"/>
    <n v="0"/>
    <n v="4"/>
    <n v="0"/>
    <n v="0"/>
    <n v="1"/>
    <s v="Levitate"/>
    <s v="Force2, Levitate"/>
    <m/>
  </r>
  <r>
    <x v="52"/>
    <n v="46"/>
    <n v="1"/>
    <n v="0"/>
    <n v="0"/>
    <n v="0"/>
    <n v="2"/>
    <n v="0"/>
    <n v="0"/>
    <n v="0"/>
    <s v="NONE"/>
    <s v="Force3, Boost3, Levitate"/>
    <m/>
  </r>
  <r>
    <x v="52"/>
    <n v="46"/>
    <n v="1"/>
    <n v="0"/>
    <n v="0"/>
    <n v="0"/>
    <n v="4"/>
    <n v="0"/>
    <n v="0"/>
    <n v="0"/>
    <s v="Levitate"/>
    <s v="Force3, Boost3, Levitate"/>
    <m/>
  </r>
  <r>
    <x v="52"/>
    <n v="52"/>
    <n v="0"/>
    <n v="1"/>
    <n v="0"/>
    <n v="3"/>
    <n v="4"/>
    <n v="4"/>
    <n v="6"/>
    <n v="0"/>
    <s v="NONE"/>
    <s v="Force1, Boost3, Levitate"/>
    <m/>
  </r>
  <r>
    <x v="52"/>
    <n v="61"/>
    <n v="1"/>
    <n v="1"/>
    <n v="0"/>
    <n v="0"/>
    <n v="3"/>
    <n v="0"/>
    <n v="0"/>
    <n v="0"/>
    <s v="NONE"/>
    <s v="Force3, Boost3, Levitate"/>
    <m/>
  </r>
  <r>
    <x v="53"/>
    <n v="3"/>
    <n v="1"/>
    <n v="0"/>
    <n v="0"/>
    <n v="1"/>
    <n v="0"/>
    <n v="0"/>
    <n v="1"/>
    <n v="0"/>
    <s v="NONE"/>
    <s v="Boost1"/>
    <s v="The drive team is attractive; had a very hard time doing the exchange, robot could not proper align exchange and robot to push cube in"/>
  </r>
  <r>
    <x v="53"/>
    <n v="10"/>
    <n v="1"/>
    <n v="0"/>
    <n v="0"/>
    <n v="6"/>
    <n v="0"/>
    <n v="0"/>
    <n v="0"/>
    <n v="0"/>
    <s v="NONE"/>
    <m/>
    <m/>
  </r>
  <r>
    <x v="53"/>
    <n v="16"/>
    <n v="1"/>
    <n v="0"/>
    <n v="0"/>
    <n v="0"/>
    <n v="0"/>
    <n v="0"/>
    <n v="8"/>
    <n v="0"/>
    <s v="NONE"/>
    <s v="Boost3, Levitate"/>
    <m/>
  </r>
  <r>
    <x v="53"/>
    <n v="16"/>
    <n v="1"/>
    <n v="0"/>
    <n v="0"/>
    <n v="1"/>
    <n v="0"/>
    <n v="0"/>
    <n v="3"/>
    <n v="0"/>
    <m/>
    <s v="Boost3, Levitate"/>
    <m/>
  </r>
  <r>
    <x v="53"/>
    <n v="26"/>
    <n v="1"/>
    <n v="0"/>
    <n v="0"/>
    <n v="1"/>
    <n v="0"/>
    <n v="0"/>
    <n v="9"/>
    <n v="0"/>
    <s v="NONE"/>
    <s v="Force3, Boost3, Levitate"/>
    <s v="Still in love with their driver; good cycle time with exchange"/>
  </r>
  <r>
    <x v="53"/>
    <n v="33"/>
    <n v="1"/>
    <n v="1"/>
    <n v="0"/>
    <n v="0"/>
    <n v="0"/>
    <n v="0"/>
    <n v="4"/>
    <n v="1"/>
    <s v="Assisted (climb on ramp)"/>
    <s v="Boost3, Levitate"/>
    <m/>
  </r>
  <r>
    <x v="53"/>
    <n v="37"/>
    <n v="1"/>
    <n v="0"/>
    <n v="0"/>
    <n v="2"/>
    <n v="0"/>
    <n v="0"/>
    <n v="4"/>
    <n v="0"/>
    <s v="NONE"/>
    <s v="Boost1, Levitate"/>
    <m/>
  </r>
  <r>
    <x v="53"/>
    <n v="51"/>
    <n v="1"/>
    <n v="0"/>
    <n v="0"/>
    <n v="0"/>
    <n v="1"/>
    <n v="0"/>
    <n v="0"/>
    <n v="0"/>
    <s v="NONE"/>
    <s v="Boost3, Levitate"/>
    <m/>
  </r>
  <r>
    <x v="53"/>
    <n v="61"/>
    <n v="1"/>
    <n v="0"/>
    <n v="0"/>
    <n v="0"/>
    <n v="0"/>
    <n v="0"/>
    <n v="7"/>
    <n v="1"/>
    <s v="Levitate"/>
    <s v="Force3, Boost3, Levitate"/>
    <m/>
  </r>
  <r>
    <x v="53"/>
    <n v="66"/>
    <n v="1"/>
    <n v="0"/>
    <n v="0"/>
    <n v="4"/>
    <n v="0"/>
    <n v="0"/>
    <n v="0"/>
    <n v="0"/>
    <s v="NONE"/>
    <s v="Force3, Boost3, Levitate"/>
    <m/>
  </r>
  <r>
    <x v="53"/>
    <n v="71"/>
    <n v="1"/>
    <n v="0"/>
    <n v="0"/>
    <n v="0"/>
    <n v="0"/>
    <n v="0"/>
    <n v="4"/>
    <n v="0"/>
    <m/>
    <s v="Boost1, Levitate"/>
    <m/>
  </r>
  <r>
    <x v="53"/>
    <n v="71"/>
    <n v="0"/>
    <n v="1"/>
    <n v="0"/>
    <n v="3"/>
    <n v="2"/>
    <n v="2"/>
    <n v="4"/>
    <n v="0"/>
    <s v="NONE"/>
    <s v="Boost3, Levitate"/>
    <m/>
  </r>
  <r>
    <x v="53"/>
    <n v="77"/>
    <n v="1"/>
    <n v="0"/>
    <n v="0"/>
    <n v="4"/>
    <n v="0"/>
    <n v="0"/>
    <n v="0"/>
    <n v="0"/>
    <s v="NONE"/>
    <s v="Force3, Levitate"/>
    <m/>
  </r>
  <r>
    <x v="54"/>
    <n v="57"/>
    <n v="1"/>
    <n v="1"/>
    <n v="0"/>
    <n v="0"/>
    <n v="0"/>
    <n v="1"/>
    <n v="0"/>
    <n v="1"/>
    <s v="Levitate"/>
    <s v="Force3, Boost3, Levitate"/>
    <s v="Cube mechanism doesn’t hold"/>
  </r>
  <r>
    <x v="55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V60" firstHeaderRow="0" firstDataRow="1" firstDataCol="1"/>
  <pivotFields count="13">
    <pivotField axis="axisRow" showAll="0">
      <items count="80">
        <item m="1" x="64"/>
        <item m="1" x="71"/>
        <item x="8"/>
        <item x="10"/>
        <item x="11"/>
        <item x="35"/>
        <item x="55"/>
        <item m="1" x="76"/>
        <item m="1" x="65"/>
        <item m="1" x="73"/>
        <item x="13"/>
        <item m="1" x="58"/>
        <item x="24"/>
        <item m="1" x="63"/>
        <item m="1" x="78"/>
        <item m="1" x="67"/>
        <item m="1" x="56"/>
        <item x="2"/>
        <item m="1" x="70"/>
        <item m="1" x="72"/>
        <item x="18"/>
        <item m="1" x="60"/>
        <item x="23"/>
        <item m="1" x="75"/>
        <item m="1" x="77"/>
        <item x="34"/>
        <item m="1" x="59"/>
        <item m="1" x="62"/>
        <item m="1" x="68"/>
        <item x="42"/>
        <item x="46"/>
        <item m="1" x="61"/>
        <item x="48"/>
        <item x="52"/>
        <item x="53"/>
        <item m="1" x="57"/>
        <item x="28"/>
        <item m="1" x="74"/>
        <item m="1" x="69"/>
        <item m="1" x="66"/>
        <item x="1"/>
        <item x="3"/>
        <item x="4"/>
        <item x="5"/>
        <item x="9"/>
        <item x="12"/>
        <item x="14"/>
        <item x="17"/>
        <item x="19"/>
        <item x="20"/>
        <item x="21"/>
        <item x="22"/>
        <item x="26"/>
        <item x="27"/>
        <item x="30"/>
        <item x="31"/>
        <item x="32"/>
        <item x="33"/>
        <item x="36"/>
        <item x="37"/>
        <item x="39"/>
        <item x="41"/>
        <item x="45"/>
        <item x="51"/>
        <item x="6"/>
        <item x="16"/>
        <item x="49"/>
        <item x="7"/>
        <item x="43"/>
        <item x="50"/>
        <item x="29"/>
        <item x="38"/>
        <item x="44"/>
        <item x="40"/>
        <item x="54"/>
        <item x="0"/>
        <item x="15"/>
        <item x="25"/>
        <item x="4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</pivotFields>
  <rowFields count="1">
    <field x="0"/>
  </rowFields>
  <rowItems count="57">
    <i>
      <x v="2"/>
    </i>
    <i>
      <x v="3"/>
    </i>
    <i>
      <x v="4"/>
    </i>
    <i>
      <x v="5"/>
    </i>
    <i>
      <x v="6"/>
    </i>
    <i>
      <x v="10"/>
    </i>
    <i>
      <x v="12"/>
    </i>
    <i>
      <x v="17"/>
    </i>
    <i>
      <x v="20"/>
    </i>
    <i>
      <x v="22"/>
    </i>
    <i>
      <x v="25"/>
    </i>
    <i>
      <x v="29"/>
    </i>
    <i>
      <x v="30"/>
    </i>
    <i>
      <x v="32"/>
    </i>
    <i>
      <x v="33"/>
    </i>
    <i>
      <x v="34"/>
    </i>
    <i>
      <x v="36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 t="grand">
      <x/>
    </i>
  </rowItems>
  <colFields count="1">
    <field x="-2"/>
  </colFields>
  <colItems count="2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</colItems>
  <dataFields count="21">
    <dataField name="Count of Match#" fld="1" subtotal="count" baseField="0" baseItem="0"/>
    <dataField name="Average of AutoBaseline?" fld="2" subtotal="average" baseField="0" baseItem="0"/>
    <dataField name="Average of AutoSwitch?" fld="3" subtotal="average" baseField="0" baseItem="0"/>
    <dataField name="Average of AutoScale" fld="4" subtotal="average" baseField="0" baseItem="0"/>
    <dataField name="Average of # of cubes for own switch" fld="5" subtotal="average" baseField="0" baseItem="0"/>
    <dataField name="Average of # of cubes for other switch" fld="6" subtotal="average" baseField="0" baseItem="6"/>
    <dataField name="Average of # of cubes for the scale " fld="7" subtotal="average" baseField="0" baseItem="6"/>
    <dataField name="Average of # of cubes for the exchange zone " fld="8" subtotal="average" baseField="0" baseItem="6"/>
    <dataField name="Average of Did the robot get the 30 points for climbing?" fld="9" subtotal="average" baseField="0" baseItem="6"/>
    <dataField name="Max of # of cubes for own switch" fld="5" subtotal="max" baseField="0" baseItem="0"/>
    <dataField name="Max of # of cubes for other switch" fld="6" subtotal="max" baseField="0" baseItem="6"/>
    <dataField name="Max of # of cubes for the scale " fld="7" subtotal="max" baseField="0" baseItem="6"/>
    <dataField name="Max of # of cubes for the exchange zone " fld="8" subtotal="max" baseField="0" baseItem="6"/>
    <dataField name="Min of # of cubes for own switch" fld="5" subtotal="min" baseField="0" baseItem="6"/>
    <dataField name="Min of # of cubes for other switch" fld="6" subtotal="min" baseField="0" baseItem="6"/>
    <dataField name="Min of # of cubes for the scale " fld="7" subtotal="min" baseField="0" baseItem="6"/>
    <dataField name="Min of # of cubes for the exchange zone " fld="8" subtotal="min" baseField="0" baseItem="6"/>
    <dataField name="StdDev of # of cubes for own switch" fld="5" subtotal="stdDev" baseField="0" baseItem="1"/>
    <dataField name="StdDev of # of cubes for other switch" fld="6" subtotal="stdDev" baseField="0" baseItem="1"/>
    <dataField name="StdDev of # of cubes for the scale " fld="7" subtotal="stdDev" baseField="0" baseItem="1"/>
    <dataField name="StdDev of # of cubes for the exchange zone " fld="8" subtotal="stdDev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8" firstHeaderRow="1" firstDataRow="1" firstDataCol="1"/>
  <pivotFields count="9">
    <pivotField showAll="0"/>
    <pivotField axis="axisRow" dataField="1" showAll="0">
      <items count="6">
        <item x="1"/>
        <item m="1" x="4"/>
        <item x="0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AutoGoal" fld="1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0:B15" firstHeaderRow="1" firstDataRow="1" firstDataCol="1"/>
  <pivotFields count="9">
    <pivotField showAll="0"/>
    <pivotField showAll="0"/>
    <pivotField axis="axisRow" dataField="1" showAll="0">
      <items count="5">
        <item x="1"/>
        <item x="0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eleCube" fld="2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0:B34" firstHeaderRow="1" firstDataRow="1" firstDataCol="1"/>
  <pivotFields count="9">
    <pivotField subtotalTop="0" showAll="0"/>
    <pivotField subtotalTop="0" showAll="0"/>
    <pivotField subtotalTop="0" showAll="0"/>
    <pivotField subtotalTop="0" showAll="0"/>
    <pivotField subtotalTop="0" showAll="0"/>
    <pivotField axis="axisRow" dataField="1" subtotalTop="0" showAll="0">
      <items count="8">
        <item m="1" x="3"/>
        <item m="1" x="4"/>
        <item x="0"/>
        <item x="2"/>
        <item m="1" x="5"/>
        <item m="1" x="6"/>
        <item x="1"/>
        <item t="default"/>
      </items>
    </pivotField>
    <pivotField subtotalTop="0" showAll="0"/>
    <pivotField subtotalTop="0" showAll="0"/>
    <pivotField subtotalTop="0" showAll="0"/>
  </pivotFields>
  <rowFields count="1">
    <field x="5"/>
  </rowFields>
  <rowItems count="4">
    <i>
      <x v="2"/>
    </i>
    <i>
      <x v="3"/>
    </i>
    <i>
      <x v="6"/>
    </i>
    <i t="grand">
      <x/>
    </i>
  </rowItems>
  <colItems count="1">
    <i/>
  </colItems>
  <dataFields count="1">
    <dataField name="Count of What drive train do you use?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8:B42" firstHeaderRow="1" firstDataRow="1" firstDataCol="1"/>
  <pivotFields count="9"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dataField="1" subtotalTop="0" showAll="0">
      <items count="4">
        <item x="0"/>
        <item x="1"/>
        <item x="2"/>
        <item t="default"/>
      </items>
    </pivotField>
    <pivotField subtotalTop="0" showAll="0"/>
    <pivotField subtotalTop="0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How many drive CIM motors do you have?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1:B6" firstHeaderRow="1" firstDataRow="1" firstDataCol="1"/>
  <pivotFields count="9">
    <pivotField subtotalTop="0" showAll="0"/>
    <pivotField axis="axisRow" dataField="1" subtotalTop="0" showAll="0">
      <items count="6">
        <item m="1" x="4"/>
        <item x="0"/>
        <item x="3"/>
        <item x="1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1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What is your autonomous goal?" fld="1" subtotal="count" baseField="0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8:B13" firstHeaderRow="1" firstDataRow="1" firstDataCol="1"/>
  <pivotFields count="9">
    <pivotField subtotalTop="0" showAll="0"/>
    <pivotField subtotalTop="0" showAll="0"/>
    <pivotField axis="axisRow" dataField="1" subtotalTop="0" showAll="0">
      <items count="5">
        <item x="1"/>
        <item x="0"/>
        <item x="3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What are your TeleOp cube capabilities?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5:B19" firstHeaderRow="1" firstDataRow="1" firstDataCol="1"/>
  <pivotFields count="9">
    <pivotField subtotalTop="0" showAll="0"/>
    <pivotField subtotalTop="0" showAll="0"/>
    <pivotField subtotalTop="0" showAll="0"/>
    <pivotField axis="axisRow" dataField="1" subtotalTop="0" showAll="0">
      <items count="6">
        <item x="1"/>
        <item x="0"/>
        <item m="1" x="3"/>
        <item x="2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3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Count of What is your climb mechanism?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B27" firstHeaderRow="1" firstDataRow="1" firstDataCol="1"/>
  <pivotFields count="9">
    <pivotField subtotalTop="0" showAll="0"/>
    <pivotField subtotalTop="0" showAll="0"/>
    <pivotField subtotalTop="0" showAll="0"/>
    <pivotField subtotalTop="0" showAll="0"/>
    <pivotField axis="axisRow" dataField="1" subtotalTop="0" showAll="0">
      <items count="5">
        <item m="1" x="3"/>
        <item x="0"/>
        <item x="2"/>
        <item x="1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1">
    <field x="4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unt of How does your robot get cubes?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removeDataOnSave="1" connectionId="2" autoFormatId="0" applyNumberFormats="0" applyBorderFormats="0" applyFontFormats="1" applyPatternFormats="1" applyAlignmentFormats="0" applyWidthHeightFormats="0">
  <queryTableRefresh preserveSortFilterLayout="0" nextId="19">
    <queryTableFields count="18">
      <queryTableField id="1" name="Column1.team_number" tableColumnId="19"/>
      <queryTableField id="2" name="Column1.nickname" tableColumnId="20"/>
      <queryTableField id="3" name="Column1.city" tableColumnId="21"/>
      <queryTableField id="4" name="Column1.state_prov" tableColumnId="22"/>
      <queryTableField id="5" name="Column1.country" tableColumnId="23"/>
      <queryTableField id="6" name="Column1.address" tableColumnId="24"/>
      <queryTableField id="7" name="Column1.gmaps_place_id" tableColumnId="25"/>
      <queryTableField id="8" name="Column1.gmaps_url" tableColumnId="26"/>
      <queryTableField id="9" name="Column1.home_championship" tableColumnId="27"/>
      <queryTableField id="10" name="Column1.key" tableColumnId="28"/>
      <queryTableField id="11" name="Column1.lat" tableColumnId="29"/>
      <queryTableField id="12" name="Column1.lng" tableColumnId="30"/>
      <queryTableField id="13" name="Column1.location_name" tableColumnId="31"/>
      <queryTableField id="14" name="Column1.motto" tableColumnId="32"/>
      <queryTableField id="15" name="Column1.name" tableColumnId="33"/>
      <queryTableField id="16" name="Column1.postal_code" tableColumnId="34"/>
      <queryTableField id="17" name="Column1.rookie_year" tableColumnId="35"/>
      <queryTableField id="18" name="Column1.website" tableColumnId="36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8" unboundColumnsRight="6">
    <queryTableFields count="17">
      <queryTableField id="1" name="match_number" tableColumnId="52"/>
      <queryTableField id="2" name="alliances.blue.team_keys.1.2" tableColumnId="53"/>
      <queryTableField id="3" name="alliances.blue.team_keys.2.2" tableColumnId="54"/>
      <queryTableField id="4" name="alliances.blue.team_keys.3.2" tableColumnId="55"/>
      <queryTableField id="5" name="alliances.red.team_keys.1.2" tableColumnId="56"/>
      <queryTableField id="6" name="alliances.red.team_keys.2.2" tableColumnId="57"/>
      <queryTableField id="7" name="alliances.red.team_keys.3.2" tableColumnId="58"/>
      <queryTableField id="8" name="alliances.blue.score" tableColumnId="59"/>
      <queryTableField id="9" name="alliances.red.score" tableColumnId="60"/>
      <queryTableField id="10" name="winning_alliance" tableColumnId="61"/>
      <queryTableField id="11" name="time" tableColumnId="62"/>
      <queryTableField id="17" dataBound="0" tableColumnId="63"/>
      <queryTableField id="16" dataBound="0" tableColumnId="64"/>
      <queryTableField id="15" dataBound="0" tableColumnId="65"/>
      <queryTableField id="14" dataBound="0" tableColumnId="66"/>
      <queryTableField id="13" dataBound="0" tableColumnId="67"/>
      <queryTableField id="12" dataBound="0" tableColumnId="68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3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Name.2" tableColumnId="16"/>
      <queryTableField id="2" name="rank" tableColumnId="17"/>
      <queryTableField id="3" name="matches_played" tableColumnId="18"/>
      <queryTableField id="4" name="sort_orders.3" tableColumnId="19"/>
      <queryTableField id="5" name="sort_orders.4" tableColumnId="20"/>
      <queryTableField id="6" name="sort_orders.5" tableColumnId="21"/>
      <queryTableField id="7" name="sort_orders.2" tableColumnId="22"/>
      <queryTableField id="8" name="record.wins" tableColumnId="23"/>
      <queryTableField id="9" name="record.losses" tableColumnId="24"/>
      <queryTableField id="10" name="record.ties" tableColumnId="25"/>
      <queryTableField id="11" name="dq" tableColumnId="26"/>
      <queryTableField id="12" name="extra_stats" tableColumnId="27"/>
      <queryTableField id="13" name="qual_average" tableColumnId="28"/>
      <queryTableField id="14" name="sort_orders.1" tableColumnId="29"/>
      <queryTableField id="15" name="sort_orders.6" tableColumnId="30"/>
    </queryTableFields>
  </queryTableRefresh>
</queryTable>
</file>

<file path=xl/queryTables/queryTable4.xml><?xml version="1.0" encoding="utf-8"?>
<queryTable xmlns="http://schemas.openxmlformats.org/spreadsheetml/2006/main" name="ExternalData_1" removeDataOnSave="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Name.2" tableColumnId="3"/>
      <queryTableField id="2" name="Value" tableColumnId="4"/>
    </queryTableFields>
  </queryTableRefresh>
</queryTable>
</file>

<file path=xl/queryTables/queryTable5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Timestamp" tableColumnId="15"/>
      <queryTableField id="2" name="Team#" tableColumnId="16"/>
      <queryTableField id="3" name="Match#" tableColumnId="17"/>
      <queryTableField id="4" name="AutoBaseline?" tableColumnId="18"/>
      <queryTableField id="5" name="AutoSwitch?" tableColumnId="19"/>
      <queryTableField id="6" name="AutoScale" tableColumnId="20"/>
      <queryTableField id="7" name="# of cubes for own switch" tableColumnId="21"/>
      <queryTableField id="8" name="# of cubes for other switch" tableColumnId="22"/>
      <queryTableField id="9" name="# of cubes for the scale " tableColumnId="23"/>
      <queryTableField id="10" name="# of cubes for the exchange zone " tableColumnId="24"/>
      <queryTableField id="11" name="Did the robot get the 30 points for climbing?" tableColumnId="25"/>
      <queryTableField id="12" name="How did the robot climb" tableColumnId="26"/>
      <queryTableField id="13" name="PowerUp used " tableColumnId="27"/>
      <queryTableField id="14" name="Comment" tableColumnId="28"/>
    </queryTableFields>
  </queryTableRefresh>
</queryTable>
</file>

<file path=xl/queryTables/queryTable6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13" unboundColumnsRight="2">
    <queryTableFields count="12">
      <queryTableField id="1" name="Timestamp" tableColumnId="1"/>
      <queryTableField id="2" name="Team #" tableColumnId="2"/>
      <queryTableField id="3" name="What is your autonomous goal?" tableColumnId="3"/>
      <queryTableField id="4" name="What are your TeleOp cube capabilities?" tableColumnId="4"/>
      <queryTableField id="5" name="What is your climb mechanism?" tableColumnId="5"/>
      <queryTableField id="6" name="How does your robot get cubes?" tableColumnId="6"/>
      <queryTableField id="7" name="What drive train do you use?" tableColumnId="7"/>
      <queryTableField id="8" name="How many drive CIM motors do you have?" tableColumnId="8"/>
      <queryTableField id="9" name="Is there anything else you want to tell us about your robot?" tableColumnId="9"/>
      <queryTableField id="10" name="What is your coach's name?" tableColumnId="10"/>
      <queryTableField id="12" dataBound="0" tableColumnId="11"/>
      <queryTableField id="11" dataBound="0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7" name="EventTeam" displayName="EventTeam" ref="A1:R44" tableType="queryTable" totalsRowShown="0">
  <autoFilter ref="A1:R44"/>
  <tableColumns count="18">
    <tableColumn id="19" uniqueName="19" name="Column1.team_number" queryTableFieldId="1" dataDxfId="59"/>
    <tableColumn id="20" uniqueName="20" name="Column1.nickname" queryTableFieldId="2" dataDxfId="58"/>
    <tableColumn id="21" uniqueName="21" name="Column1.city" queryTableFieldId="3" dataDxfId="57"/>
    <tableColumn id="22" uniqueName="22" name="Column1.state_prov" queryTableFieldId="4" dataDxfId="56"/>
    <tableColumn id="23" uniqueName="23" name="Column1.country" queryTableFieldId="5" dataDxfId="55"/>
    <tableColumn id="24" uniqueName="24" name="Column1.address" queryTableFieldId="6" dataDxfId="54"/>
    <tableColumn id="25" uniqueName="25" name="Column1.gmaps_place_id" queryTableFieldId="7" dataDxfId="53"/>
    <tableColumn id="26" uniqueName="26" name="Column1.gmaps_url" queryTableFieldId="8" dataDxfId="52"/>
    <tableColumn id="27" uniqueName="27" name="Column1.home_championship" queryTableFieldId="9" dataDxfId="51"/>
    <tableColumn id="28" uniqueName="28" name="Column1.key" queryTableFieldId="10" dataDxfId="50"/>
    <tableColumn id="29" uniqueName="29" name="Column1.lat" queryTableFieldId="11" dataDxfId="49"/>
    <tableColumn id="30" uniqueName="30" name="Column1.lng" queryTableFieldId="12" dataDxfId="48"/>
    <tableColumn id="31" uniqueName="31" name="Column1.location_name" queryTableFieldId="13" dataDxfId="47"/>
    <tableColumn id="32" uniqueName="32" name="Column1.motto" queryTableFieldId="14" dataDxfId="46"/>
    <tableColumn id="33" uniqueName="33" name="Column1.name" queryTableFieldId="15" dataDxfId="45"/>
    <tableColumn id="34" uniqueName="34" name="Column1.postal_code" queryTableFieldId="16" dataDxfId="44"/>
    <tableColumn id="35" uniqueName="35" name="Column1.rookie_year" queryTableFieldId="17" dataDxfId="43"/>
    <tableColumn id="36" uniqueName="36" name="Column1.website" queryTableFieldId="18" dataDxfId="4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5" name="EventSchedule" displayName="EventSchedule" ref="A1:Q83" tableType="queryTable" totalsRowShown="0">
  <autoFilter ref="A1:Q83"/>
  <tableColumns count="17">
    <tableColumn id="52" uniqueName="52" name="match_number" queryTableFieldId="1" dataDxfId="41"/>
    <tableColumn id="53" uniqueName="53" name="alliances.blue.team_keys.1.2" queryTableFieldId="2" dataDxfId="40"/>
    <tableColumn id="54" uniqueName="54" name="alliances.blue.team_keys.2.2" queryTableFieldId="3" dataDxfId="39"/>
    <tableColumn id="55" uniqueName="55" name="alliances.blue.team_keys.3.2" queryTableFieldId="4" dataDxfId="38"/>
    <tableColumn id="56" uniqueName="56" name="alliances.red.team_keys.1.2" queryTableFieldId="5" dataDxfId="37"/>
    <tableColumn id="57" uniqueName="57" name="alliances.red.team_keys.2.2" queryTableFieldId="6" dataDxfId="36"/>
    <tableColumn id="58" uniqueName="58" name="alliances.red.team_keys.3.2" queryTableFieldId="7" dataDxfId="35"/>
    <tableColumn id="59" uniqueName="59" name="alliances.blue.score" queryTableFieldId="8" dataDxfId="34"/>
    <tableColumn id="60" uniqueName="60" name="alliances.red.score" queryTableFieldId="9" dataDxfId="33"/>
    <tableColumn id="61" uniqueName="61" name="winning_alliance" queryTableFieldId="10" dataDxfId="32"/>
    <tableColumn id="62" uniqueName="62" name="time" queryTableFieldId="11" dataDxfId="31"/>
    <tableColumn id="63" uniqueName="63" name="Column1" queryTableFieldId="17"/>
    <tableColumn id="64" uniqueName="64" name="Column2" queryTableFieldId="16"/>
    <tableColumn id="65" uniqueName="65" name="Column3" queryTableFieldId="15"/>
    <tableColumn id="66" uniqueName="66" name="Column4" queryTableFieldId="14"/>
    <tableColumn id="67" uniqueName="67" name="Column5" queryTableFieldId="13"/>
    <tableColumn id="68" uniqueName="68" name="Column6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FRCranking" displayName="FRCranking" ref="A1:O42" tableType="queryTable" totalsRowShown="0">
  <autoFilter ref="A1:O42"/>
  <tableColumns count="15">
    <tableColumn id="16" uniqueName="16" name="Name.2" queryTableFieldId="1" dataDxfId="30"/>
    <tableColumn id="17" uniqueName="17" name="rank" queryTableFieldId="2" dataDxfId="29"/>
    <tableColumn id="18" uniqueName="18" name="matches_played" queryTableFieldId="3" dataDxfId="28"/>
    <tableColumn id="19" uniqueName="19" name="sort_orders.3" queryTableFieldId="4" dataDxfId="27"/>
    <tableColumn id="20" uniqueName="20" name="sort_orders.4" queryTableFieldId="5" dataDxfId="26"/>
    <tableColumn id="21" uniqueName="21" name="sort_orders.5" queryTableFieldId="6" dataDxfId="25"/>
    <tableColumn id="22" uniqueName="22" name="sort_orders.2" queryTableFieldId="7" dataDxfId="24"/>
    <tableColumn id="23" uniqueName="23" name="record.wins" queryTableFieldId="8" dataDxfId="23"/>
    <tableColumn id="24" uniqueName="24" name="record.losses" queryTableFieldId="9" dataDxfId="22"/>
    <tableColumn id="25" uniqueName="25" name="record.ties" queryTableFieldId="10" dataDxfId="21"/>
    <tableColumn id="26" uniqueName="26" name="dq" queryTableFieldId="11" dataDxfId="20"/>
    <tableColumn id="27" uniqueName="27" name="extra_stats" queryTableFieldId="12" dataDxfId="19"/>
    <tableColumn id="28" uniqueName="28" name="qual_average" queryTableFieldId="13" dataDxfId="18"/>
    <tableColumn id="29" uniqueName="29" name="sort_orders.1" queryTableFieldId="14" dataDxfId="17"/>
    <tableColumn id="30" uniqueName="30" name="sort_orders.6" queryTableFieldId="15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OPR" displayName="OPR" ref="A1:B42" tableType="queryTable" totalsRowShown="0">
  <autoFilter ref="A1:B42"/>
  <tableColumns count="2">
    <tableColumn id="3" uniqueName="3" name="Name.2" queryTableFieldId="1" dataDxfId="15"/>
    <tableColumn id="4" uniqueName="4" name="Value" queryTableFieldId="2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MatchScoutingRaw_2" displayName="MatchScoutingRaw_2" ref="A1:N472" tableType="queryTable" totalsRowShown="0">
  <autoFilter ref="A1:N472"/>
  <tableColumns count="14">
    <tableColumn id="15" uniqueName="15" name="Timestamp" queryTableFieldId="1" dataDxfId="13"/>
    <tableColumn id="16" uniqueName="16" name="Team#" queryTableFieldId="2" dataDxfId="12"/>
    <tableColumn id="17" uniqueName="17" name="Match#" queryTableFieldId="3" dataDxfId="11"/>
    <tableColumn id="18" uniqueName="18" name="AutoBaseline?" queryTableFieldId="4" dataDxfId="10"/>
    <tableColumn id="19" uniqueName="19" name="AutoSwitch?" queryTableFieldId="5" dataDxfId="9"/>
    <tableColumn id="20" uniqueName="20" name="AutoScale" queryTableFieldId="6" dataDxfId="8"/>
    <tableColumn id="21" uniqueName="21" name="# of cubes for own switch" queryTableFieldId="7" dataDxfId="7"/>
    <tableColumn id="22" uniqueName="22" name="# of cubes for other switch" queryTableFieldId="8" dataDxfId="6"/>
    <tableColumn id="23" uniqueName="23" name="# of cubes for the scale " queryTableFieldId="9" dataDxfId="5"/>
    <tableColumn id="24" uniqueName="24" name="# of cubes for the exchange zone " queryTableFieldId="10" dataDxfId="4"/>
    <tableColumn id="25" uniqueName="25" name="Did the robot get the 30 points for climbing?" queryTableFieldId="11" dataDxfId="3"/>
    <tableColumn id="26" uniqueName="26" name="How did the robot climb" queryTableFieldId="12" dataDxfId="2"/>
    <tableColumn id="27" uniqueName="27" name="PowerUp used " queryTableFieldId="13" dataDxfId="1"/>
    <tableColumn id="28" uniqueName="28" name="Comment" queryTableFieldId="14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" name="PitScoutingRaw" displayName="PitScoutingRaw" ref="A1:L41" tableType="queryTable" totalsRowShown="0">
  <autoFilter ref="A1:L41"/>
  <tableColumns count="12">
    <tableColumn id="1" uniqueName="1" name="Timestamp" queryTableFieldId="1" dataDxfId="60"/>
    <tableColumn id="2" uniqueName="2" name="Team #" queryTableFieldId="2"/>
    <tableColumn id="3" uniqueName="3" name="What is your autonomous goal?" queryTableFieldId="3"/>
    <tableColumn id="4" uniqueName="4" name="What are your TeleOp cube capabilities?" queryTableFieldId="4"/>
    <tableColumn id="5" uniqueName="5" name="What is your climb mechanism?" queryTableFieldId="5"/>
    <tableColumn id="6" uniqueName="6" name="How does your robot get cubes?" queryTableFieldId="6"/>
    <tableColumn id="7" uniqueName="7" name="What drive train do you use?" queryTableFieldId="7"/>
    <tableColumn id="8" uniqueName="8" name="How many drive CIM motors do you have?" queryTableFieldId="8"/>
    <tableColumn id="9" uniqueName="9" name="Is there anything else you want to tell us about your robot?" queryTableFieldId="9"/>
    <tableColumn id="10" uniqueName="10" name="What is your coach's name?" queryTableFieldId="10"/>
    <tableColumn id="11" uniqueName="11" name="Column1" queryTableFieldId="12"/>
    <tableColumn id="12" uniqueName="12" name="Column2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docs.google.com/spreadsheets/d/e/2PACX-1vQnEXJl-4rUGczuGhaHZXKg3ihKxxEtHYAiNwO6w8knAYmbL7QUsOXcxSwArZ2cbHHlojgbcu9MiTZo/pub?output=xlsx" TargetMode="External"/><Relationship Id="rId1" Type="http://schemas.openxmlformats.org/officeDocument/2006/relationships/hyperlink" Target="https://docs.google.com/spreadsheets/d/e/2PACX-1vRxh5HYxSruWDZxLVQmX0DwaWQYWfnNWDfCE0AD8VOu2DV1bK5a3Yt0I8ukSqWXqZlDFtLYyHXlDEmW/pub?output=xlsx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drawing" Target="../drawings/drawing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T46"/>
  <sheetViews>
    <sheetView zoomScaleNormal="100" zoomScalePageLayoutView="86" workbookViewId="0">
      <pane ySplit="3" topLeftCell="A4" activePane="bottomLeft" state="frozen"/>
      <selection pane="bottomLeft"/>
    </sheetView>
  </sheetViews>
  <sheetFormatPr defaultColWidth="8.85546875" defaultRowHeight="15"/>
  <cols>
    <col min="1" max="1" width="8.85546875" style="52"/>
    <col min="2" max="2" width="3.42578125" style="12" customWidth="1"/>
    <col min="3" max="3" width="9.5703125" style="12" customWidth="1"/>
    <col min="4" max="4" width="7.7109375" style="12" customWidth="1"/>
    <col min="5" max="5" width="8.42578125" style="12" customWidth="1"/>
    <col min="6" max="6" width="10.85546875" style="12" customWidth="1"/>
    <col min="7" max="7" width="12.140625" style="12" customWidth="1"/>
    <col min="8" max="8" width="7.5703125" style="12" customWidth="1"/>
    <col min="9" max="9" width="9.5703125" style="12" customWidth="1"/>
    <col min="10" max="10" width="8.5703125" style="12" customWidth="1"/>
    <col min="11" max="11" width="7.28515625" style="12" customWidth="1"/>
    <col min="12" max="12" width="8.140625" style="55" customWidth="1"/>
    <col min="13" max="13" width="11.28515625" style="12" customWidth="1"/>
    <col min="14" max="14" width="7.28515625" style="12" customWidth="1"/>
    <col min="15" max="15" width="10.140625" style="12" customWidth="1"/>
    <col min="16" max="16" width="7.5703125" style="12" customWidth="1"/>
    <col min="17" max="17" width="7.28515625" style="12" customWidth="1"/>
    <col min="18" max="18" width="9.7109375" style="12" customWidth="1"/>
    <col min="19" max="19" width="9.28515625" style="12" customWidth="1"/>
    <col min="20" max="16384" width="8.85546875" style="12"/>
  </cols>
  <sheetData>
    <row r="1" spans="1:20" ht="19.5" thickBot="1">
      <c r="A1" s="225" t="s">
        <v>6101</v>
      </c>
      <c r="C1" s="293" t="s">
        <v>17</v>
      </c>
      <c r="D1" s="294"/>
      <c r="E1" s="295"/>
      <c r="F1" s="293" t="s">
        <v>18</v>
      </c>
      <c r="G1" s="294"/>
      <c r="H1" s="294"/>
      <c r="I1" s="294"/>
      <c r="J1" s="295"/>
      <c r="K1" s="159"/>
      <c r="L1" s="296" t="s">
        <v>5970</v>
      </c>
      <c r="M1" s="297"/>
      <c r="N1" s="297"/>
      <c r="O1" s="297"/>
      <c r="P1" s="297"/>
      <c r="Q1" s="298"/>
      <c r="R1" s="212" t="s">
        <v>4363</v>
      </c>
      <c r="S1" s="216" t="s">
        <v>6102</v>
      </c>
      <c r="T1" s="216" t="s">
        <v>6103</v>
      </c>
    </row>
    <row r="2" spans="1:20" ht="32.25" customHeight="1" thickBot="1">
      <c r="B2" s="53"/>
      <c r="C2" s="69"/>
      <c r="D2" s="53"/>
      <c r="E2" s="70"/>
      <c r="F2" s="69"/>
      <c r="G2" s="69"/>
      <c r="H2" s="53"/>
      <c r="I2" s="53"/>
      <c r="J2" s="71"/>
      <c r="K2" s="71"/>
      <c r="L2" s="63"/>
      <c r="M2" s="53"/>
      <c r="N2" s="69"/>
      <c r="O2" s="53"/>
      <c r="P2" s="70"/>
      <c r="Q2" s="53"/>
      <c r="R2" s="237"/>
      <c r="S2" s="238"/>
      <c r="T2" s="239"/>
    </row>
    <row r="3" spans="1:20" ht="25.5" customHeight="1" thickBot="1">
      <c r="A3" s="62" t="s">
        <v>1</v>
      </c>
      <c r="B3" s="54" t="s">
        <v>5870</v>
      </c>
      <c r="C3" s="121" t="s">
        <v>19</v>
      </c>
      <c r="D3" s="101" t="s">
        <v>13</v>
      </c>
      <c r="E3" s="122" t="s">
        <v>14</v>
      </c>
      <c r="F3" s="101" t="s">
        <v>5892</v>
      </c>
      <c r="G3" s="101" t="s">
        <v>5893</v>
      </c>
      <c r="H3" s="122" t="s">
        <v>14</v>
      </c>
      <c r="I3" s="101" t="s">
        <v>23</v>
      </c>
      <c r="J3" s="54" t="s">
        <v>5849</v>
      </c>
      <c r="K3" s="126" t="s">
        <v>5875</v>
      </c>
      <c r="L3" s="126" t="s">
        <v>5876</v>
      </c>
      <c r="M3" s="126" t="s">
        <v>5973</v>
      </c>
      <c r="N3" s="126" t="s">
        <v>5966</v>
      </c>
      <c r="O3" s="126" t="s">
        <v>5967</v>
      </c>
      <c r="P3" s="126" t="s">
        <v>5968</v>
      </c>
      <c r="Q3" s="126" t="s">
        <v>5969</v>
      </c>
      <c r="R3" s="217"/>
      <c r="S3" s="240" t="s">
        <v>6104</v>
      </c>
      <c r="T3" s="241" t="s">
        <v>6105</v>
      </c>
    </row>
    <row r="4" spans="1:20" s="37" customFormat="1" ht="15.75" thickBot="1">
      <c r="A4" s="213">
        <v>195</v>
      </c>
      <c r="B4" s="145">
        <f>IFERROR(VLOOKUP($A4,TBAranking!$A:$H,3,FALSE),0)</f>
        <v>12</v>
      </c>
      <c r="C4" s="148">
        <f>IFERROR(VLOOKUP($A4,MatchPivot!$A:$R,3, FALSE), 0)</f>
        <v>0.83333333333333337</v>
      </c>
      <c r="D4" s="149">
        <f>IFERROR(VLOOKUP($A4,MatchPivot!$A:$R,4, FALSE), 0)</f>
        <v>0.58333333333333337</v>
      </c>
      <c r="E4" s="150">
        <f>IFERROR(VLOOKUP($A4,MatchPivot!$A:$R,5, FALSE), 0)</f>
        <v>0.41666666666666669</v>
      </c>
      <c r="F4" s="148">
        <f>IFERROR(VLOOKUP($A4,MatchPivot!$A:$R,6, FALSE), 0)</f>
        <v>1.1666666666666667</v>
      </c>
      <c r="G4" s="149">
        <f>IFERROR(VLOOKUP($A4,MatchPivot!$A:$R,7, FALSE), 0)</f>
        <v>3</v>
      </c>
      <c r="H4" s="149">
        <f>IFERROR(VLOOKUP($A4,MatchPivot!$A:$R,8, FALSE), 0)</f>
        <v>4</v>
      </c>
      <c r="I4" s="149">
        <f>IFERROR(VLOOKUP($A4,MatchPivot!$A:$R,9, FALSE), 0)</f>
        <v>2.0833333333333335</v>
      </c>
      <c r="J4" s="150">
        <f>IFERROR(VLOOKUP($A4,MatchPivot!$A:$R,10, FALSE), 0)</f>
        <v>0.83333333333333337</v>
      </c>
      <c r="K4" s="227">
        <f t="shared" ref="K4:K46" si="0">$C4*AutoBaselineW+$D4*AutoScaleW+$E4*AutoScaleW+ $F4*TeleOpOwnSwitchW+$G4*TeleOpOtherSwitchW+$H4*TeleOpScaleW+$I4*TeleOpPowerUpCubesW+$J4*climbW</f>
        <v>80.916666666666671</v>
      </c>
      <c r="L4" s="222">
        <f>IFERROR(VLOOKUP($A4,OPRs!$A:$B,2,FALSE),0)</f>
        <v>228.91158142199529</v>
      </c>
      <c r="M4" s="230">
        <f>IFERROR(VLOOKUP($A4,TBAranking!$A:$H,2,FALSE),"")</f>
        <v>1</v>
      </c>
      <c r="N4" s="146">
        <f>INT(IFERROR(VLOOKUP($A4,autoS!$A:$B,2,FALSE)/(IFERROR(VLOOKUP($A4,TBAranking!$A:$H,3,FALSE),0)),0))</f>
        <v>40</v>
      </c>
      <c r="O4" s="147">
        <f>INT(IFERROR(VLOOKUP($A4,TBAranking!$A:$O,5,FALSE)/(IFERROR(VLOOKUP($A4,TBAranking!$A:$H,3,FALSE),0)),0))</f>
        <v>296</v>
      </c>
      <c r="P4" s="147">
        <f>INT(IFERROR(VLOOKUP($A4,TBAranking!$A:$O,6,FALSE)/(IFERROR(VLOOKUP($A4,TBAranking!$A:$H,3,FALSE),0)),0))</f>
        <v>37</v>
      </c>
      <c r="Q4" s="282">
        <f>INT(IFERROR(VLOOKUP($A4,TBAranking!$A:$O,7,FALSE)/(IFERROR(VLOOKUP($A4,TBAranking!$A:$H,3,FALSE),0)),0))</f>
        <v>69</v>
      </c>
      <c r="R4" s="227">
        <v>1</v>
      </c>
      <c r="S4" s="222">
        <v>2</v>
      </c>
      <c r="T4" s="219" t="str">
        <f t="shared" ref="T4:T46" si="1">IF(OR($R4&gt;0,$S4&gt;24),"NO","")</f>
        <v>NO</v>
      </c>
    </row>
    <row r="5" spans="1:20" s="37" customFormat="1" ht="15.75" thickBot="1">
      <c r="A5" s="214">
        <v>177</v>
      </c>
      <c r="B5" s="153">
        <f>IFERROR(VLOOKUP($A5,TBAranking!$A:$H,3,FALSE),0)</f>
        <v>12</v>
      </c>
      <c r="C5" s="151">
        <f>IFERROR(VLOOKUP($A5,MatchPivot!$A:$R,3, FALSE), 0)</f>
        <v>1</v>
      </c>
      <c r="D5" s="123">
        <f>IFERROR(VLOOKUP($A5,MatchPivot!$A:$R,4, FALSE), 0)</f>
        <v>0.16666666666666666</v>
      </c>
      <c r="E5" s="152">
        <f>IFERROR(VLOOKUP($A5,MatchPivot!$A:$R,5, FALSE), 0)</f>
        <v>0.16666666666666666</v>
      </c>
      <c r="F5" s="151">
        <f>IFERROR(VLOOKUP($A5,MatchPivot!$A:$R,6, FALSE), 0)</f>
        <v>0.5</v>
      </c>
      <c r="G5" s="123">
        <f>IFERROR(VLOOKUP($A5,MatchPivot!$A:$R,7, FALSE), 0)</f>
        <v>1</v>
      </c>
      <c r="H5" s="123">
        <f>IFERROR(VLOOKUP($A5,MatchPivot!$A:$R,8, FALSE), 0)</f>
        <v>3.9166666666666665</v>
      </c>
      <c r="I5" s="123">
        <f>IFERROR(VLOOKUP($A5,MatchPivot!$A:$R,9, FALSE), 0)</f>
        <v>1.25</v>
      </c>
      <c r="J5" s="152">
        <f>IFERROR(VLOOKUP($A5,MatchPivot!$A:$R,10, FALSE), 0)</f>
        <v>1</v>
      </c>
      <c r="K5" s="226">
        <f t="shared" si="0"/>
        <v>52.5</v>
      </c>
      <c r="L5" s="222">
        <f>IFERROR(VLOOKUP($A5,OPRs!$A:$B,2,FALSE),0)</f>
        <v>158.76196204350734</v>
      </c>
      <c r="M5" s="231">
        <f>IFERROR(VLOOKUP($A5,TBAranking!$A:$H,2,FALSE),"")</f>
        <v>2</v>
      </c>
      <c r="N5" s="146">
        <f>INT(IFERROR(VLOOKUP($A5,autoS!$A:$B,2,FALSE)/(IFERROR(VLOOKUP($A5,TBAranking!$A:$H,3,FALSE),0)),0))</f>
        <v>31</v>
      </c>
      <c r="O5" s="147">
        <f>INT(IFERROR(VLOOKUP($A5,TBAranking!$A:$O,5,FALSE)/(IFERROR(VLOOKUP($A5,TBAranking!$A:$H,3,FALSE),0)),0))</f>
        <v>243</v>
      </c>
      <c r="P5" s="147">
        <f>INT(IFERROR(VLOOKUP($A5,TBAranking!$A:$O,6,FALSE)/(IFERROR(VLOOKUP($A5,TBAranking!$A:$H,3,FALSE),0)),0))</f>
        <v>33</v>
      </c>
      <c r="Q5" s="282">
        <f>INT(IFERROR(VLOOKUP($A5,TBAranking!$A:$O,7,FALSE)/(IFERROR(VLOOKUP($A5,TBAranking!$A:$H,3,FALSE),0)),0))</f>
        <v>70</v>
      </c>
      <c r="R5" s="226">
        <v>1</v>
      </c>
      <c r="S5" s="223">
        <v>4</v>
      </c>
      <c r="T5" s="220" t="str">
        <f t="shared" si="1"/>
        <v>NO</v>
      </c>
    </row>
    <row r="6" spans="1:20" s="37" customFormat="1" ht="15.75" thickBot="1">
      <c r="A6" s="214">
        <v>7153</v>
      </c>
      <c r="B6" s="153">
        <f>IFERROR(VLOOKUP($A6,TBAranking!$A:$H,3,FALSE),0)</f>
        <v>12</v>
      </c>
      <c r="C6" s="151">
        <f>IFERROR(VLOOKUP($A6,MatchPivot!$A:$R,3, FALSE), 0)</f>
        <v>0.92307692307692313</v>
      </c>
      <c r="D6" s="123">
        <f>IFERROR(VLOOKUP($A6,MatchPivot!$A:$R,4, FALSE), 0)</f>
        <v>0.15384615384615385</v>
      </c>
      <c r="E6" s="152">
        <f>IFERROR(VLOOKUP($A6,MatchPivot!$A:$R,5, FALSE), 0)</f>
        <v>0</v>
      </c>
      <c r="F6" s="151">
        <f>IFERROR(VLOOKUP($A6,MatchPivot!$A:$R,6, FALSE), 0)</f>
        <v>1.6923076923076923</v>
      </c>
      <c r="G6" s="123">
        <f>IFERROR(VLOOKUP($A6,MatchPivot!$A:$R,7, FALSE), 0)</f>
        <v>0.23076923076923078</v>
      </c>
      <c r="H6" s="123">
        <f>IFERROR(VLOOKUP($A6,MatchPivot!$A:$R,8, FALSE), 0)</f>
        <v>0.15384615384615385</v>
      </c>
      <c r="I6" s="123">
        <f>IFERROR(VLOOKUP($A6,MatchPivot!$A:$R,9, FALSE), 0)</f>
        <v>3.3846153846153846</v>
      </c>
      <c r="J6" s="152">
        <f>IFERROR(VLOOKUP($A6,MatchPivot!$A:$R,10, FALSE), 0)</f>
        <v>0.15384615384615385</v>
      </c>
      <c r="K6" s="226">
        <f t="shared" si="0"/>
        <v>36.692307692307693</v>
      </c>
      <c r="L6" s="222">
        <f>IFERROR(VLOOKUP($A6,OPRs!$A:$B,2,FALSE),0)</f>
        <v>50.573044003936197</v>
      </c>
      <c r="M6" s="231">
        <f>IFERROR(VLOOKUP($A6,TBAranking!$A:$H,2,FALSE),"")</f>
        <v>31</v>
      </c>
      <c r="N6" s="146">
        <f>INT(IFERROR(VLOOKUP($A6,autoS!$A:$B,2,FALSE)/(IFERROR(VLOOKUP($A6,TBAranking!$A:$H,3,FALSE),0)),0))</f>
        <v>25</v>
      </c>
      <c r="O6" s="147">
        <f>INT(IFERROR(VLOOKUP($A6,TBAranking!$A:$O,5,FALSE)/(IFERROR(VLOOKUP($A6,TBAranking!$A:$H,3,FALSE),0)),0))</f>
        <v>169</v>
      </c>
      <c r="P6" s="147">
        <f>INT(IFERROR(VLOOKUP($A6,TBAranking!$A:$O,6,FALSE)/(IFERROR(VLOOKUP($A6,TBAranking!$A:$H,3,FALSE),0)),0))</f>
        <v>25</v>
      </c>
      <c r="Q6" s="282">
        <f>INT(IFERROR(VLOOKUP($A6,TBAranking!$A:$O,7,FALSE)/(IFERROR(VLOOKUP($A6,TBAranking!$A:$H,3,FALSE),0)),0))</f>
        <v>40</v>
      </c>
      <c r="R6" s="84">
        <v>1</v>
      </c>
      <c r="S6" s="223">
        <v>22</v>
      </c>
      <c r="T6" s="220" t="str">
        <f t="shared" si="1"/>
        <v>NO</v>
      </c>
    </row>
    <row r="7" spans="1:20" s="37" customFormat="1" ht="15.75" thickBot="1">
      <c r="A7" s="214">
        <v>230</v>
      </c>
      <c r="B7" s="153">
        <f>IFERROR(VLOOKUP($A7,TBAranking!$A:$H,3,FALSE),0)</f>
        <v>12</v>
      </c>
      <c r="C7" s="151">
        <f>IFERROR(VLOOKUP($A7,MatchPivot!$A:$R,3, FALSE), 0)</f>
        <v>1</v>
      </c>
      <c r="D7" s="123">
        <f>IFERROR(VLOOKUP($A7,MatchPivot!$A:$R,4, FALSE), 0)</f>
        <v>0.66666666666666663</v>
      </c>
      <c r="E7" s="152">
        <f>IFERROR(VLOOKUP($A7,MatchPivot!$A:$R,5, FALSE), 0)</f>
        <v>0.33333333333333331</v>
      </c>
      <c r="F7" s="151">
        <f>IFERROR(VLOOKUP($A7,MatchPivot!$A:$R,6, FALSE), 0)</f>
        <v>0.25</v>
      </c>
      <c r="G7" s="123">
        <f>IFERROR(VLOOKUP($A7,MatchPivot!$A:$R,7, FALSE), 0)</f>
        <v>0.66666666666666663</v>
      </c>
      <c r="H7" s="123">
        <f>IFERROR(VLOOKUP($A7,MatchPivot!$A:$R,8, FALSE), 0)</f>
        <v>4.833333333333333</v>
      </c>
      <c r="I7" s="123">
        <f>IFERROR(VLOOKUP($A7,MatchPivot!$A:$R,9, FALSE), 0)</f>
        <v>0.91666666666666663</v>
      </c>
      <c r="J7" s="152">
        <f>IFERROR(VLOOKUP($A7,MatchPivot!$A:$R,10, FALSE), 0)</f>
        <v>1</v>
      </c>
      <c r="K7" s="226">
        <f t="shared" si="0"/>
        <v>60</v>
      </c>
      <c r="L7" s="222">
        <f>IFERROR(VLOOKUP($A7,OPRs!$A:$B,2,FALSE),0)</f>
        <v>192.65911703712757</v>
      </c>
      <c r="M7" s="231">
        <f>IFERROR(VLOOKUP($A7,TBAranking!$A:$H,2,FALSE),"")</f>
        <v>3</v>
      </c>
      <c r="N7" s="146">
        <f>INT(IFERROR(VLOOKUP($A7,autoS!$A:$B,2,FALSE)/(IFERROR(VLOOKUP($A7,TBAranking!$A:$H,3,FALSE),0)),0))</f>
        <v>37</v>
      </c>
      <c r="O7" s="147">
        <f>INT(IFERROR(VLOOKUP($A7,TBAranking!$A:$O,5,FALSE)/(IFERROR(VLOOKUP($A7,TBAranking!$A:$H,3,FALSE),0)),0))</f>
        <v>265</v>
      </c>
      <c r="P7" s="147">
        <f>INT(IFERROR(VLOOKUP($A7,TBAranking!$A:$O,6,FALSE)/(IFERROR(VLOOKUP($A7,TBAranking!$A:$H,3,FALSE),0)),0))</f>
        <v>32</v>
      </c>
      <c r="Q7" s="282">
        <f>INT(IFERROR(VLOOKUP($A7,TBAranking!$A:$O,7,FALSE)/(IFERROR(VLOOKUP($A7,TBAranking!$A:$H,3,FALSE),0)),0))</f>
        <v>61</v>
      </c>
      <c r="R7" s="226">
        <v>2</v>
      </c>
      <c r="S7" s="223">
        <v>3</v>
      </c>
      <c r="T7" s="220" t="str">
        <f t="shared" si="1"/>
        <v>NO</v>
      </c>
    </row>
    <row r="8" spans="1:20" s="37" customFormat="1" ht="15.75" thickBot="1">
      <c r="A8" s="214">
        <v>176</v>
      </c>
      <c r="B8" s="153">
        <f>IFERROR(VLOOKUP($A8,TBAranking!$A:$H,3,FALSE),0)</f>
        <v>12</v>
      </c>
      <c r="C8" s="151">
        <f>IFERROR(VLOOKUP($A8,MatchPivot!$A:$R,3, FALSE), 0)</f>
        <v>0.75</v>
      </c>
      <c r="D8" s="123">
        <f>IFERROR(VLOOKUP($A8,MatchPivot!$A:$R,4, FALSE), 0)</f>
        <v>0.25</v>
      </c>
      <c r="E8" s="152">
        <f>IFERROR(VLOOKUP($A8,MatchPivot!$A:$R,5, FALSE), 0)</f>
        <v>0.25</v>
      </c>
      <c r="F8" s="151">
        <f>IFERROR(VLOOKUP($A8,MatchPivot!$A:$R,6, FALSE), 0)</f>
        <v>1.5</v>
      </c>
      <c r="G8" s="123">
        <f>IFERROR(VLOOKUP($A8,MatchPivot!$A:$R,7, FALSE), 0)</f>
        <v>2</v>
      </c>
      <c r="H8" s="123">
        <f>IFERROR(VLOOKUP($A8,MatchPivot!$A:$R,8, FALSE), 0)</f>
        <v>4.875</v>
      </c>
      <c r="I8" s="123">
        <f>IFERROR(VLOOKUP($A8,MatchPivot!$A:$R,9, FALSE), 0)</f>
        <v>1.125</v>
      </c>
      <c r="J8" s="152">
        <f>IFERROR(VLOOKUP($A8,MatchPivot!$A:$R,10, FALSE), 0)</f>
        <v>0.625</v>
      </c>
      <c r="K8" s="226">
        <f t="shared" si="0"/>
        <v>62.375</v>
      </c>
      <c r="L8" s="222">
        <f>IFERROR(VLOOKUP($A8,OPRs!$A:$B,2,FALSE),0)</f>
        <v>156.43602733826111</v>
      </c>
      <c r="M8" s="231">
        <f>IFERROR(VLOOKUP($A8,TBAranking!$A:$H,2,FALSE),"")</f>
        <v>5</v>
      </c>
      <c r="N8" s="146">
        <f>INT(IFERROR(VLOOKUP($A8,autoS!$A:$B,2,FALSE)/(IFERROR(VLOOKUP($A8,TBAranking!$A:$H,3,FALSE),0)),0))</f>
        <v>40</v>
      </c>
      <c r="O8" s="147">
        <f>INT(IFERROR(VLOOKUP($A8,TBAranking!$A:$O,5,FALSE)/(IFERROR(VLOOKUP($A8,TBAranking!$A:$H,3,FALSE),0)),0))</f>
        <v>248</v>
      </c>
      <c r="P8" s="147">
        <f>INT(IFERROR(VLOOKUP($A8,TBAranking!$A:$O,6,FALSE)/(IFERROR(VLOOKUP($A8,TBAranking!$A:$H,3,FALSE),0)),0))</f>
        <v>28</v>
      </c>
      <c r="Q8" s="282">
        <f>INT(IFERROR(VLOOKUP($A8,TBAranking!$A:$O,7,FALSE)/(IFERROR(VLOOKUP($A8,TBAranking!$A:$H,3,FALSE),0)),0))</f>
        <v>46</v>
      </c>
      <c r="R8" s="226">
        <v>2</v>
      </c>
      <c r="S8" s="223">
        <v>5</v>
      </c>
      <c r="T8" s="220" t="str">
        <f t="shared" si="1"/>
        <v>NO</v>
      </c>
    </row>
    <row r="9" spans="1:20" s="37" customFormat="1" ht="15.75" thickBot="1">
      <c r="A9" s="214">
        <v>2064</v>
      </c>
      <c r="B9" s="153">
        <f>IFERROR(VLOOKUP($A9,TBAranking!$A:$H,3,FALSE),0)</f>
        <v>12</v>
      </c>
      <c r="C9" s="151">
        <f>IFERROR(VLOOKUP($A9,MatchPivot!$A:$R,3, FALSE), 0)</f>
        <v>0.8571428571428571</v>
      </c>
      <c r="D9" s="123">
        <f>IFERROR(VLOOKUP($A9,MatchPivot!$A:$R,4, FALSE), 0)</f>
        <v>0.42857142857142855</v>
      </c>
      <c r="E9" s="152">
        <f>IFERROR(VLOOKUP($A9,MatchPivot!$A:$R,5, FALSE), 0)</f>
        <v>0</v>
      </c>
      <c r="F9" s="151">
        <f>IFERROR(VLOOKUP($A9,MatchPivot!$A:$R,6, FALSE), 0)</f>
        <v>0.7142857142857143</v>
      </c>
      <c r="G9" s="123">
        <f>IFERROR(VLOOKUP($A9,MatchPivot!$A:$R,7, FALSE), 0)</f>
        <v>0.2857142857142857</v>
      </c>
      <c r="H9" s="123">
        <f>IFERROR(VLOOKUP($A9,MatchPivot!$A:$R,8, FALSE), 0)</f>
        <v>1</v>
      </c>
      <c r="I9" s="123">
        <f>IFERROR(VLOOKUP($A9,MatchPivot!$A:$R,9, FALSE), 0)</f>
        <v>4.7857142857142856</v>
      </c>
      <c r="J9" s="152">
        <f>IFERROR(VLOOKUP($A9,MatchPivot!$A:$R,10, FALSE), 0)</f>
        <v>0.5714285714285714</v>
      </c>
      <c r="K9" s="226">
        <f t="shared" si="0"/>
        <v>51.785714285714278</v>
      </c>
      <c r="L9" s="222">
        <f>IFERROR(VLOOKUP($A9,OPRs!$A:$B,2,FALSE),0)</f>
        <v>74.593468161879514</v>
      </c>
      <c r="M9" s="231">
        <f>IFERROR(VLOOKUP($A9,TBAranking!$A:$H,2,FALSE),"")</f>
        <v>19</v>
      </c>
      <c r="N9" s="146">
        <f>INT(IFERROR(VLOOKUP($A9,autoS!$A:$B,2,FALSE)/(IFERROR(VLOOKUP($A9,TBAranking!$A:$H,3,FALSE),0)),0))</f>
        <v>27</v>
      </c>
      <c r="O9" s="147">
        <f>INT(IFERROR(VLOOKUP($A9,TBAranking!$A:$O,5,FALSE)/(IFERROR(VLOOKUP($A9,TBAranking!$A:$H,3,FALSE),0)),0))</f>
        <v>169</v>
      </c>
      <c r="P9" s="147">
        <f>INT(IFERROR(VLOOKUP($A9,TBAranking!$A:$O,6,FALSE)/(IFERROR(VLOOKUP($A9,TBAranking!$A:$H,3,FALSE),0)),0))</f>
        <v>37</v>
      </c>
      <c r="Q9" s="282">
        <f>INT(IFERROR(VLOOKUP($A9,TBAranking!$A:$O,7,FALSE)/(IFERROR(VLOOKUP($A9,TBAranking!$A:$H,3,FALSE),0)),0))</f>
        <v>53</v>
      </c>
      <c r="R9" s="226">
        <v>2</v>
      </c>
      <c r="S9" s="223">
        <v>17</v>
      </c>
      <c r="T9" s="220" t="str">
        <f t="shared" si="1"/>
        <v>NO</v>
      </c>
    </row>
    <row r="10" spans="1:20" s="37" customFormat="1" ht="15.75" thickBot="1">
      <c r="A10" s="214">
        <v>2170</v>
      </c>
      <c r="B10" s="153">
        <f>IFERROR(VLOOKUP($A10,TBAranking!$A:$H,3,FALSE),0)</f>
        <v>12</v>
      </c>
      <c r="C10" s="151">
        <f>IFERROR(VLOOKUP($A10,MatchPivot!$A:$R,3, FALSE), 0)</f>
        <v>0.75</v>
      </c>
      <c r="D10" s="123">
        <f>IFERROR(VLOOKUP($A10,MatchPivot!$A:$R,4, FALSE), 0)</f>
        <v>1</v>
      </c>
      <c r="E10" s="152">
        <f>IFERROR(VLOOKUP($A10,MatchPivot!$A:$R,5, FALSE), 0)</f>
        <v>0</v>
      </c>
      <c r="F10" s="151">
        <f>IFERROR(VLOOKUP($A10,MatchPivot!$A:$R,6, FALSE), 0)</f>
        <v>2.5</v>
      </c>
      <c r="G10" s="123">
        <f>IFERROR(VLOOKUP($A10,MatchPivot!$A:$R,7, FALSE), 0)</f>
        <v>1.75</v>
      </c>
      <c r="H10" s="123">
        <f>IFERROR(VLOOKUP($A10,MatchPivot!$A:$R,8, FALSE), 0)</f>
        <v>0.75</v>
      </c>
      <c r="I10" s="123">
        <f>IFERROR(VLOOKUP($A10,MatchPivot!$A:$R,9, FALSE), 0)</f>
        <v>6.75</v>
      </c>
      <c r="J10" s="152">
        <f>IFERROR(VLOOKUP($A10,MatchPivot!$A:$R,10, FALSE), 0)</f>
        <v>0.375</v>
      </c>
      <c r="K10" s="226">
        <f t="shared" si="0"/>
        <v>85.125</v>
      </c>
      <c r="L10" s="222">
        <f>IFERROR(VLOOKUP($A10,OPRs!$A:$B,2,FALSE),0)</f>
        <v>172.27927355586371</v>
      </c>
      <c r="M10" s="231">
        <f>IFERROR(VLOOKUP($A10,TBAranking!$A:$H,2,FALSE),"")</f>
        <v>4</v>
      </c>
      <c r="N10" s="146">
        <f>INT(IFERROR(VLOOKUP($A10,autoS!$A:$B,2,FALSE)/(IFERROR(VLOOKUP($A10,TBAranking!$A:$H,3,FALSE),0)),0))</f>
        <v>38</v>
      </c>
      <c r="O10" s="147">
        <f>INT(IFERROR(VLOOKUP($A10,TBAranking!$A:$O,5,FALSE)/(IFERROR(VLOOKUP($A10,TBAranking!$A:$H,3,FALSE),0)),0))</f>
        <v>238</v>
      </c>
      <c r="P10" s="147">
        <f>INT(IFERROR(VLOOKUP($A10,TBAranking!$A:$O,6,FALSE)/(IFERROR(VLOOKUP($A10,TBAranking!$A:$H,3,FALSE),0)),0))</f>
        <v>37</v>
      </c>
      <c r="Q10" s="282">
        <f>INT(IFERROR(VLOOKUP($A10,TBAranking!$A:$O,7,FALSE)/(IFERROR(VLOOKUP($A10,TBAranking!$A:$H,3,FALSE),0)),0))</f>
        <v>57</v>
      </c>
      <c r="R10" s="226">
        <v>3</v>
      </c>
      <c r="S10" s="223">
        <v>7</v>
      </c>
      <c r="T10" s="220" t="str">
        <f t="shared" si="1"/>
        <v>NO</v>
      </c>
    </row>
    <row r="11" spans="1:20" s="37" customFormat="1" ht="15.75" thickBot="1">
      <c r="A11" s="214">
        <v>181</v>
      </c>
      <c r="B11" s="153">
        <f>IFERROR(VLOOKUP($A11,TBAranking!$A:$H,3,FALSE),0)</f>
        <v>12</v>
      </c>
      <c r="C11" s="151">
        <f>IFERROR(VLOOKUP($A11,MatchPivot!$A:$R,3, FALSE), 0)</f>
        <v>1</v>
      </c>
      <c r="D11" s="123">
        <f>IFERROR(VLOOKUP($A11,MatchPivot!$A:$R,4, FALSE), 0)</f>
        <v>0.54545454545454541</v>
      </c>
      <c r="E11" s="152">
        <f>IFERROR(VLOOKUP($A11,MatchPivot!$A:$R,5, FALSE), 0)</f>
        <v>0</v>
      </c>
      <c r="F11" s="151">
        <f>IFERROR(VLOOKUP($A11,MatchPivot!$A:$R,6, FALSE), 0)</f>
        <v>0.27272727272727271</v>
      </c>
      <c r="G11" s="123">
        <f>IFERROR(VLOOKUP($A11,MatchPivot!$A:$R,7, FALSE), 0)</f>
        <v>1.1818181818181819</v>
      </c>
      <c r="H11" s="123">
        <f>IFERROR(VLOOKUP($A11,MatchPivot!$A:$R,8, FALSE), 0)</f>
        <v>2.9090909090909092</v>
      </c>
      <c r="I11" s="123">
        <f>IFERROR(VLOOKUP($A11,MatchPivot!$A:$R,9, FALSE), 0)</f>
        <v>1.3636363636363635</v>
      </c>
      <c r="J11" s="152">
        <f>IFERROR(VLOOKUP($A11,MatchPivot!$A:$R,10, FALSE), 0)</f>
        <v>0.72727272727272729</v>
      </c>
      <c r="K11" s="226">
        <f t="shared" si="0"/>
        <v>49.27272727272728</v>
      </c>
      <c r="L11" s="222">
        <f>IFERROR(VLOOKUP($A11,OPRs!$A:$B,2,FALSE),0)</f>
        <v>147.1201130322396</v>
      </c>
      <c r="M11" s="231">
        <f>IFERROR(VLOOKUP($A11,TBAranking!$A:$H,2,FALSE),"")</f>
        <v>20</v>
      </c>
      <c r="N11" s="146">
        <f>INT(IFERROR(VLOOKUP($A11,autoS!$A:$B,2,FALSE)/(IFERROR(VLOOKUP($A11,TBAranking!$A:$H,3,FALSE),0)),0))</f>
        <v>30</v>
      </c>
      <c r="O11" s="147">
        <f>INT(IFERROR(VLOOKUP($A11,TBAranking!$A:$O,5,FALSE)/(IFERROR(VLOOKUP($A11,TBAranking!$A:$H,3,FALSE),0)),0))</f>
        <v>206</v>
      </c>
      <c r="P11" s="147">
        <f>INT(IFERROR(VLOOKUP($A11,TBAranking!$A:$O,6,FALSE)/(IFERROR(VLOOKUP($A11,TBAranking!$A:$H,3,FALSE),0)),0))</f>
        <v>34</v>
      </c>
      <c r="Q11" s="282">
        <f>INT(IFERROR(VLOOKUP($A11,TBAranking!$A:$O,7,FALSE)/(IFERROR(VLOOKUP($A11,TBAranking!$A:$H,3,FALSE),0)),0))</f>
        <v>62</v>
      </c>
      <c r="R11" s="226">
        <v>3</v>
      </c>
      <c r="S11" s="223">
        <v>11</v>
      </c>
      <c r="T11" s="220" t="str">
        <f t="shared" si="1"/>
        <v>NO</v>
      </c>
    </row>
    <row r="12" spans="1:20" s="37" customFormat="1">
      <c r="A12" s="215">
        <v>571</v>
      </c>
      <c r="B12" s="180">
        <f>IFERROR(VLOOKUP($A12,TBAranking!$A:$H,3,FALSE),0)</f>
        <v>12</v>
      </c>
      <c r="C12" s="181">
        <f>IFERROR(VLOOKUP($A12,MatchPivot!$A:$R,3, FALSE), 0)</f>
        <v>1</v>
      </c>
      <c r="D12" s="182">
        <f>IFERROR(VLOOKUP($A12,MatchPivot!$A:$R,4, FALSE), 0)</f>
        <v>0</v>
      </c>
      <c r="E12" s="183">
        <f>IFERROR(VLOOKUP($A12,MatchPivot!$A:$R,5, FALSE), 0)</f>
        <v>0.30769230769230771</v>
      </c>
      <c r="F12" s="181">
        <f>IFERROR(VLOOKUP($A12,MatchPivot!$A:$R,6, FALSE), 0)</f>
        <v>1</v>
      </c>
      <c r="G12" s="182">
        <f>IFERROR(VLOOKUP($A12,MatchPivot!$A:$R,7, FALSE), 0)</f>
        <v>0.23076923076923078</v>
      </c>
      <c r="H12" s="182">
        <f>IFERROR(VLOOKUP($A12,MatchPivot!$A:$R,8, FALSE), 0)</f>
        <v>1.0769230769230769</v>
      </c>
      <c r="I12" s="182">
        <f>IFERROR(VLOOKUP($A12,MatchPivot!$A:$R,9, FALSE), 0)</f>
        <v>1.5384615384615385</v>
      </c>
      <c r="J12" s="183">
        <f>IFERROR(VLOOKUP($A12,MatchPivot!$A:$R,10, FALSE), 0)</f>
        <v>0.53846153846153844</v>
      </c>
      <c r="K12" s="228">
        <f t="shared" si="0"/>
        <v>35.230769230769234</v>
      </c>
      <c r="L12" s="234">
        <f>IFERROR(VLOOKUP($A12,OPRs!$A:$B,2,FALSE),0)</f>
        <v>117.56168937135445</v>
      </c>
      <c r="M12" s="232">
        <f>IFERROR(VLOOKUP($A12,TBAranking!$A:$H,2,FALSE),"")</f>
        <v>25</v>
      </c>
      <c r="N12" s="210">
        <f>INT(IFERROR(VLOOKUP($A12,autoS!$A:$B,2,FALSE)/(IFERROR(VLOOKUP($A12,TBAranking!$A:$H,3,FALSE),0)),0))</f>
        <v>30</v>
      </c>
      <c r="O12" s="184">
        <f>INT(IFERROR(VLOOKUP($A12,TBAranking!$A:$O,5,FALSE)/(IFERROR(VLOOKUP($A12,TBAranking!$A:$H,3,FALSE),0)),0))</f>
        <v>196</v>
      </c>
      <c r="P12" s="184">
        <f>INT(IFERROR(VLOOKUP($A12,TBAranking!$A:$O,6,FALSE)/(IFERROR(VLOOKUP($A12,TBAranking!$A:$H,3,FALSE),0)),0))</f>
        <v>23</v>
      </c>
      <c r="Q12" s="283">
        <f>INT(IFERROR(VLOOKUP($A12,TBAranking!$A:$O,7,FALSE)/(IFERROR(VLOOKUP($A12,TBAranking!$A:$H,3,FALSE),0)),0))</f>
        <v>43</v>
      </c>
      <c r="R12" s="226">
        <v>3</v>
      </c>
      <c r="S12" s="223">
        <v>25</v>
      </c>
      <c r="T12" s="220" t="str">
        <f t="shared" si="1"/>
        <v>NO</v>
      </c>
    </row>
    <row r="13" spans="1:20" s="37" customFormat="1">
      <c r="A13" s="214">
        <v>558</v>
      </c>
      <c r="B13" s="153">
        <f>IFERROR(VLOOKUP($A13,TBAranking!$A:$H,3,FALSE),0)</f>
        <v>12</v>
      </c>
      <c r="C13" s="151">
        <f>IFERROR(VLOOKUP($A13,MatchPivot!$A:$R,3, FALSE), 0)</f>
        <v>0.69230769230769229</v>
      </c>
      <c r="D13" s="123">
        <f>IFERROR(VLOOKUP($A13,MatchPivot!$A:$R,4, FALSE), 0)</f>
        <v>0.84615384615384615</v>
      </c>
      <c r="E13" s="152">
        <f>IFERROR(VLOOKUP($A13,MatchPivot!$A:$R,5, FALSE), 0)</f>
        <v>0</v>
      </c>
      <c r="F13" s="151">
        <f>IFERROR(VLOOKUP($A13,MatchPivot!$A:$R,6, FALSE), 0)</f>
        <v>1.5384615384615385</v>
      </c>
      <c r="G13" s="123">
        <f>IFERROR(VLOOKUP($A13,MatchPivot!$A:$R,7, FALSE), 0)</f>
        <v>1.5384615384615385</v>
      </c>
      <c r="H13" s="123">
        <f>IFERROR(VLOOKUP($A13,MatchPivot!$A:$R,8, FALSE), 0)</f>
        <v>2.3846153846153846</v>
      </c>
      <c r="I13" s="123">
        <f>IFERROR(VLOOKUP($A13,MatchPivot!$A:$R,9, FALSE), 0)</f>
        <v>3.2307692307692308</v>
      </c>
      <c r="J13" s="152">
        <f>IFERROR(VLOOKUP($A13,MatchPivot!$A:$R,10, FALSE), 0)</f>
        <v>0.46153846153846156</v>
      </c>
      <c r="K13" s="226">
        <f t="shared" si="0"/>
        <v>64.84615384615384</v>
      </c>
      <c r="L13" s="223">
        <f>IFERROR(VLOOKUP($A13,OPRs!$A:$B,2,FALSE),0)</f>
        <v>142.30087661006644</v>
      </c>
      <c r="M13" s="231">
        <f>IFERROR(VLOOKUP($A13,TBAranking!$A:$H,2,FALSE),"")</f>
        <v>6</v>
      </c>
      <c r="N13" s="218">
        <f>INT(IFERROR(VLOOKUP($A13,autoS!$A:$B,2,FALSE)/(IFERROR(VLOOKUP($A13,TBAranking!$A:$H,3,FALSE),0)),0))</f>
        <v>35</v>
      </c>
      <c r="O13" s="218">
        <f>INT(IFERROR(VLOOKUP($A13,TBAranking!$A:$O,5,FALSE)/(IFERROR(VLOOKUP($A13,TBAranking!$A:$H,3,FALSE),0)),0))</f>
        <v>211</v>
      </c>
      <c r="P13" s="218">
        <f>INT(IFERROR(VLOOKUP($A13,TBAranking!$A:$O,6,FALSE)/(IFERROR(VLOOKUP($A13,TBAranking!$A:$H,3,FALSE),0)),0))</f>
        <v>37</v>
      </c>
      <c r="Q13" s="284">
        <f>INT(IFERROR(VLOOKUP($A13,TBAranking!$A:$O,7,FALSE)/(IFERROR(VLOOKUP($A13,TBAranking!$A:$H,3,FALSE),0)),0))</f>
        <v>61</v>
      </c>
      <c r="R13" s="226">
        <v>4</v>
      </c>
      <c r="S13" s="223">
        <v>9</v>
      </c>
      <c r="T13" s="220" t="str">
        <f t="shared" si="1"/>
        <v>NO</v>
      </c>
    </row>
    <row r="14" spans="1:20" s="37" customFormat="1">
      <c r="A14" s="214">
        <v>173</v>
      </c>
      <c r="B14" s="153">
        <f>IFERROR(VLOOKUP($A14,TBAranking!$A:$H,3,FALSE),0)</f>
        <v>12</v>
      </c>
      <c r="C14" s="151">
        <f>IFERROR(VLOOKUP($A14,MatchPivot!$A:$R,3, FALSE), 0)</f>
        <v>0.90909090909090906</v>
      </c>
      <c r="D14" s="123">
        <f>IFERROR(VLOOKUP($A14,MatchPivot!$A:$R,4, FALSE), 0)</f>
        <v>0.54545454545454541</v>
      </c>
      <c r="E14" s="152">
        <f>IFERROR(VLOOKUP($A14,MatchPivot!$A:$R,5, FALSE), 0)</f>
        <v>0</v>
      </c>
      <c r="F14" s="151">
        <f>IFERROR(VLOOKUP($A14,MatchPivot!$A:$R,6, FALSE), 0)</f>
        <v>1.0909090909090908</v>
      </c>
      <c r="G14" s="123">
        <f>IFERROR(VLOOKUP($A14,MatchPivot!$A:$R,7, FALSE), 0)</f>
        <v>1</v>
      </c>
      <c r="H14" s="123">
        <f>IFERROR(VLOOKUP($A14,MatchPivot!$A:$R,8, FALSE), 0)</f>
        <v>3.6363636363636362</v>
      </c>
      <c r="I14" s="123">
        <f>IFERROR(VLOOKUP($A14,MatchPivot!$A:$R,9, FALSE), 0)</f>
        <v>2.4545454545454546</v>
      </c>
      <c r="J14" s="152">
        <f>IFERROR(VLOOKUP($A14,MatchPivot!$A:$R,10, FALSE), 0)</f>
        <v>0.54545454545454541</v>
      </c>
      <c r="K14" s="226">
        <f t="shared" si="0"/>
        <v>56.54545454545454</v>
      </c>
      <c r="L14" s="223">
        <f>IFERROR(VLOOKUP($A14,OPRs!$A:$B,2,FALSE),0)</f>
        <v>140.73609465916982</v>
      </c>
      <c r="M14" s="231">
        <f>IFERROR(VLOOKUP($A14,TBAranking!$A:$H,2,FALSE),"")</f>
        <v>11</v>
      </c>
      <c r="N14" s="218">
        <f>INT(IFERROR(VLOOKUP($A14,autoS!$A:$B,2,FALSE)/(IFERROR(VLOOKUP($A14,TBAranking!$A:$H,3,FALSE),0)),0))</f>
        <v>29</v>
      </c>
      <c r="O14" s="218">
        <f>INT(IFERROR(VLOOKUP($A14,TBAranking!$A:$O,5,FALSE)/(IFERROR(VLOOKUP($A14,TBAranking!$A:$H,3,FALSE),0)),0))</f>
        <v>229</v>
      </c>
      <c r="P14" s="218">
        <f>INT(IFERROR(VLOOKUP($A14,TBAranking!$A:$O,6,FALSE)/(IFERROR(VLOOKUP($A14,TBAranking!$A:$H,3,FALSE),0)),0))</f>
        <v>31</v>
      </c>
      <c r="Q14" s="284">
        <f>INT(IFERROR(VLOOKUP($A14,TBAranking!$A:$O,7,FALSE)/(IFERROR(VLOOKUP($A14,TBAranking!$A:$H,3,FALSE),0)),0))</f>
        <v>45</v>
      </c>
      <c r="R14" s="226">
        <v>4</v>
      </c>
      <c r="S14" s="223">
        <v>14</v>
      </c>
      <c r="T14" s="220" t="str">
        <f t="shared" si="1"/>
        <v>NO</v>
      </c>
    </row>
    <row r="15" spans="1:20" s="37" customFormat="1">
      <c r="A15" s="214">
        <v>1027</v>
      </c>
      <c r="B15" s="153">
        <f>IFERROR(VLOOKUP($A15,TBAranking!$A:$H,3,FALSE),0)</f>
        <v>12</v>
      </c>
      <c r="C15" s="151">
        <f>IFERROR(VLOOKUP($A15,MatchPivot!$A:$R,3, FALSE), 0)</f>
        <v>0.53846153846153844</v>
      </c>
      <c r="D15" s="123">
        <f>IFERROR(VLOOKUP($A15,MatchPivot!$A:$R,4, FALSE), 0)</f>
        <v>0.15384615384615385</v>
      </c>
      <c r="E15" s="152">
        <f>IFERROR(VLOOKUP($A15,MatchPivot!$A:$R,5, FALSE), 0)</f>
        <v>0</v>
      </c>
      <c r="F15" s="151">
        <f>IFERROR(VLOOKUP($A15,MatchPivot!$A:$R,6, FALSE), 0)</f>
        <v>0.46153846153846156</v>
      </c>
      <c r="G15" s="123">
        <f>IFERROR(VLOOKUP($A15,MatchPivot!$A:$R,7, FALSE), 0)</f>
        <v>0.46153846153846156</v>
      </c>
      <c r="H15" s="123">
        <f>IFERROR(VLOOKUP($A15,MatchPivot!$A:$R,8, FALSE), 0)</f>
        <v>0</v>
      </c>
      <c r="I15" s="123">
        <f>IFERROR(VLOOKUP($A15,MatchPivot!$A:$R,9, FALSE), 0)</f>
        <v>2.5384615384615383</v>
      </c>
      <c r="J15" s="152">
        <f>IFERROR(VLOOKUP($A15,MatchPivot!$A:$R,10, FALSE), 0)</f>
        <v>0.30769230769230771</v>
      </c>
      <c r="K15" s="226">
        <f t="shared" si="0"/>
        <v>27.84615384615385</v>
      </c>
      <c r="L15" s="223">
        <f>IFERROR(VLOOKUP($A15,OPRs!$A:$B,2,FALSE),0)</f>
        <v>30.318635831137986</v>
      </c>
      <c r="M15" s="231">
        <f>IFERROR(VLOOKUP($A15,TBAranking!$A:$H,2,FALSE),"")</f>
        <v>39</v>
      </c>
      <c r="N15" s="218">
        <f>INT(IFERROR(VLOOKUP($A15,autoS!$A:$B,2,FALSE)/(IFERROR(VLOOKUP($A15,TBAranking!$A:$H,3,FALSE),0)),0))</f>
        <v>24</v>
      </c>
      <c r="O15" s="218">
        <f>INT(IFERROR(VLOOKUP($A15,TBAranking!$A:$O,5,FALSE)/(IFERROR(VLOOKUP($A15,TBAranking!$A:$H,3,FALSE),0)),0))</f>
        <v>148</v>
      </c>
      <c r="P15" s="218">
        <f>INT(IFERROR(VLOOKUP($A15,TBAranking!$A:$O,6,FALSE)/(IFERROR(VLOOKUP($A15,TBAranking!$A:$H,3,FALSE),0)),0))</f>
        <v>30</v>
      </c>
      <c r="Q15" s="284">
        <f>INT(IFERROR(VLOOKUP($A15,TBAranking!$A:$O,7,FALSE)/(IFERROR(VLOOKUP($A15,TBAranking!$A:$H,3,FALSE),0)),0))</f>
        <v>35</v>
      </c>
      <c r="R15" s="226">
        <v>4</v>
      </c>
      <c r="S15" s="223">
        <v>39</v>
      </c>
      <c r="T15" s="220" t="str">
        <f t="shared" si="1"/>
        <v>NO</v>
      </c>
    </row>
    <row r="16" spans="1:20" s="37" customFormat="1">
      <c r="A16" s="214">
        <v>175</v>
      </c>
      <c r="B16" s="153">
        <f>IFERROR(VLOOKUP($A16,TBAranking!$A:$H,3,FALSE),0)</f>
        <v>12</v>
      </c>
      <c r="C16" s="151">
        <f>IFERROR(VLOOKUP($A16,MatchPivot!$A:$R,3, FALSE), 0)</f>
        <v>0.84615384615384615</v>
      </c>
      <c r="D16" s="123">
        <f>IFERROR(VLOOKUP($A16,MatchPivot!$A:$R,4, FALSE), 0)</f>
        <v>0.61538461538461542</v>
      </c>
      <c r="E16" s="152">
        <f>IFERROR(VLOOKUP($A16,MatchPivot!$A:$R,5, FALSE), 0)</f>
        <v>0</v>
      </c>
      <c r="F16" s="151">
        <f>IFERROR(VLOOKUP($A16,MatchPivot!$A:$R,6, FALSE), 0)</f>
        <v>1.5384615384615385</v>
      </c>
      <c r="G16" s="123">
        <f>IFERROR(VLOOKUP($A16,MatchPivot!$A:$R,7, FALSE), 0)</f>
        <v>1.0769230769230769</v>
      </c>
      <c r="H16" s="123">
        <f>IFERROR(VLOOKUP($A16,MatchPivot!$A:$R,8, FALSE), 0)</f>
        <v>3.6153846153846154</v>
      </c>
      <c r="I16" s="123">
        <f>IFERROR(VLOOKUP($A16,MatchPivot!$A:$R,9, FALSE), 0)</f>
        <v>1.7692307692307692</v>
      </c>
      <c r="J16" s="152">
        <f>IFERROR(VLOOKUP($A16,MatchPivot!$A:$R,10, FALSE), 0)</f>
        <v>0.53846153846153844</v>
      </c>
      <c r="K16" s="226">
        <f t="shared" si="0"/>
        <v>56.461538461538467</v>
      </c>
      <c r="L16" s="223">
        <f>IFERROR(VLOOKUP($A16,OPRs!$A:$B,2,FALSE),0)</f>
        <v>168.38140290174633</v>
      </c>
      <c r="M16" s="231">
        <f>IFERROR(VLOOKUP($A16,TBAranking!$A:$H,2,FALSE),"")</f>
        <v>7</v>
      </c>
      <c r="N16" s="218">
        <f>INT(IFERROR(VLOOKUP($A16,autoS!$A:$B,2,FALSE)/(IFERROR(VLOOKUP($A16,TBAranking!$A:$H,3,FALSE),0)),0))</f>
        <v>35</v>
      </c>
      <c r="O16" s="218">
        <f>INT(IFERROR(VLOOKUP($A16,TBAranking!$A:$O,5,FALSE)/(IFERROR(VLOOKUP($A16,TBAranking!$A:$H,3,FALSE),0)),0))</f>
        <v>247</v>
      </c>
      <c r="P16" s="218">
        <f>INT(IFERROR(VLOOKUP($A16,TBAranking!$A:$O,6,FALSE)/(IFERROR(VLOOKUP($A16,TBAranking!$A:$H,3,FALSE),0)),0))</f>
        <v>32</v>
      </c>
      <c r="Q16" s="284">
        <f>INT(IFERROR(VLOOKUP($A16,TBAranking!$A:$O,7,FALSE)/(IFERROR(VLOOKUP($A16,TBAranking!$A:$H,3,FALSE),0)),0))</f>
        <v>55</v>
      </c>
      <c r="R16" s="226">
        <v>5</v>
      </c>
      <c r="S16" s="223">
        <v>6</v>
      </c>
      <c r="T16" s="220" t="str">
        <f t="shared" si="1"/>
        <v>NO</v>
      </c>
    </row>
    <row r="17" spans="1:20" s="37" customFormat="1">
      <c r="A17" s="214">
        <v>190</v>
      </c>
      <c r="B17" s="153">
        <f>IFERROR(VLOOKUP($A17,TBAranking!$A:$H,3,FALSE),0)</f>
        <v>12</v>
      </c>
      <c r="C17" s="151">
        <f>IFERROR(VLOOKUP($A17,MatchPivot!$A:$R,3, FALSE), 0)</f>
        <v>0.92307692307692313</v>
      </c>
      <c r="D17" s="123">
        <f>IFERROR(VLOOKUP($A17,MatchPivot!$A:$R,4, FALSE), 0)</f>
        <v>0.23076923076923078</v>
      </c>
      <c r="E17" s="152">
        <f>IFERROR(VLOOKUP($A17,MatchPivot!$A:$R,5, FALSE), 0)</f>
        <v>0.38461538461538464</v>
      </c>
      <c r="F17" s="151">
        <f>IFERROR(VLOOKUP($A17,MatchPivot!$A:$R,6, FALSE), 0)</f>
        <v>1.0769230769230769</v>
      </c>
      <c r="G17" s="123">
        <f>IFERROR(VLOOKUP($A17,MatchPivot!$A:$R,7, FALSE), 0)</f>
        <v>0.84615384615384615</v>
      </c>
      <c r="H17" s="123">
        <f>IFERROR(VLOOKUP($A17,MatchPivot!$A:$R,8, FALSE), 0)</f>
        <v>3.2307692307692308</v>
      </c>
      <c r="I17" s="123">
        <f>IFERROR(VLOOKUP($A17,MatchPivot!$A:$R,9, FALSE), 0)</f>
        <v>1.9230769230769231</v>
      </c>
      <c r="J17" s="152">
        <f>IFERROR(VLOOKUP($A17,MatchPivot!$A:$R,10, FALSE), 0)</f>
        <v>0.46153846153846156</v>
      </c>
      <c r="K17" s="226">
        <f t="shared" si="0"/>
        <v>51.384615384615387</v>
      </c>
      <c r="L17" s="223">
        <f>IFERROR(VLOOKUP($A17,OPRs!$A:$B,2,FALSE),0)</f>
        <v>150.73868731907288</v>
      </c>
      <c r="M17" s="231">
        <f>IFERROR(VLOOKUP($A17,TBAranking!$A:$H,2,FALSE),"")</f>
        <v>14</v>
      </c>
      <c r="N17" s="218">
        <f>INT(IFERROR(VLOOKUP($A17,autoS!$A:$B,2,FALSE)/(IFERROR(VLOOKUP($A17,TBAranking!$A:$H,3,FALSE),0)),0))</f>
        <v>33</v>
      </c>
      <c r="O17" s="218">
        <f>INT(IFERROR(VLOOKUP($A17,TBAranking!$A:$O,5,FALSE)/(IFERROR(VLOOKUP($A17,TBAranking!$A:$H,3,FALSE),0)),0))</f>
        <v>254</v>
      </c>
      <c r="P17" s="218">
        <f>INT(IFERROR(VLOOKUP($A17,TBAranking!$A:$O,6,FALSE)/(IFERROR(VLOOKUP($A17,TBAranking!$A:$H,3,FALSE),0)),0))</f>
        <v>30</v>
      </c>
      <c r="Q17" s="284">
        <f>INT(IFERROR(VLOOKUP($A17,TBAranking!$A:$O,7,FALSE)/(IFERROR(VLOOKUP($A17,TBAranking!$A:$H,3,FALSE),0)),0))</f>
        <v>44</v>
      </c>
      <c r="R17" s="226">
        <v>5</v>
      </c>
      <c r="S17" s="223">
        <v>13</v>
      </c>
      <c r="T17" s="220" t="str">
        <f t="shared" si="1"/>
        <v>NO</v>
      </c>
    </row>
    <row r="18" spans="1:20" s="37" customFormat="1">
      <c r="A18" s="214">
        <v>155</v>
      </c>
      <c r="B18" s="153">
        <f>IFERROR(VLOOKUP($A18,TBAranking!$A:$H,3,FALSE),0)</f>
        <v>12</v>
      </c>
      <c r="C18" s="151">
        <f>IFERROR(VLOOKUP($A18,MatchPivot!$A:$R,3, FALSE), 0)</f>
        <v>0.8</v>
      </c>
      <c r="D18" s="123">
        <f>IFERROR(VLOOKUP($A18,MatchPivot!$A:$R,4, FALSE), 0)</f>
        <v>0.5</v>
      </c>
      <c r="E18" s="152">
        <f>IFERROR(VLOOKUP($A18,MatchPivot!$A:$R,5, FALSE), 0)</f>
        <v>0</v>
      </c>
      <c r="F18" s="151">
        <f>IFERROR(VLOOKUP($A18,MatchPivot!$A:$R,6, FALSE), 0)</f>
        <v>1.2</v>
      </c>
      <c r="G18" s="123">
        <f>IFERROR(VLOOKUP($A18,MatchPivot!$A:$R,7, FALSE), 0)</f>
        <v>1.7</v>
      </c>
      <c r="H18" s="123">
        <f>IFERROR(VLOOKUP($A18,MatchPivot!$A:$R,8, FALSE), 0)</f>
        <v>0.4</v>
      </c>
      <c r="I18" s="123">
        <f>IFERROR(VLOOKUP($A18,MatchPivot!$A:$R,9, FALSE), 0)</f>
        <v>5.8</v>
      </c>
      <c r="J18" s="152">
        <f>IFERROR(VLOOKUP($A18,MatchPivot!$A:$R,10, FALSE), 0)</f>
        <v>0.7</v>
      </c>
      <c r="K18" s="226">
        <f t="shared" si="0"/>
        <v>70.099999999999994</v>
      </c>
      <c r="L18" s="223">
        <f>IFERROR(VLOOKUP($A18,OPRs!$A:$B,2,FALSE),0)</f>
        <v>123.86791124277281</v>
      </c>
      <c r="M18" s="231">
        <f>IFERROR(VLOOKUP($A18,TBAranking!$A:$H,2,FALSE),"")</f>
        <v>24</v>
      </c>
      <c r="N18" s="218">
        <f>INT(IFERROR(VLOOKUP($A18,autoS!$A:$B,2,FALSE)/(IFERROR(VLOOKUP($A18,TBAranking!$A:$H,3,FALSE),0)),0))</f>
        <v>36</v>
      </c>
      <c r="O18" s="218">
        <f>INT(IFERROR(VLOOKUP($A18,TBAranking!$A:$O,5,FALSE)/(IFERROR(VLOOKUP($A18,TBAranking!$A:$H,3,FALSE),0)),0))</f>
        <v>165</v>
      </c>
      <c r="P18" s="218">
        <f>INT(IFERROR(VLOOKUP($A18,TBAranking!$A:$O,6,FALSE)/(IFERROR(VLOOKUP($A18,TBAranking!$A:$H,3,FALSE),0)),0))</f>
        <v>38</v>
      </c>
      <c r="Q18" s="284">
        <f>INT(IFERROR(VLOOKUP($A18,TBAranking!$A:$O,7,FALSE)/(IFERROR(VLOOKUP($A18,TBAranking!$A:$H,3,FALSE),0)),0))</f>
        <v>48</v>
      </c>
      <c r="R18" s="226">
        <v>5</v>
      </c>
      <c r="S18" s="223">
        <v>16</v>
      </c>
      <c r="T18" s="220" t="str">
        <f t="shared" si="1"/>
        <v>NO</v>
      </c>
    </row>
    <row r="19" spans="1:20" s="37" customFormat="1" ht="15.75" thickBot="1">
      <c r="A19" s="213">
        <v>999</v>
      </c>
      <c r="B19" s="145">
        <f>IFERROR(VLOOKUP($A19,TBAranking!$A:$H,3,FALSE),0)</f>
        <v>12</v>
      </c>
      <c r="C19" s="185">
        <f>IFERROR(VLOOKUP($A19,MatchPivot!$A:$R,3, FALSE), 0)</f>
        <v>0.66666666666666663</v>
      </c>
      <c r="D19" s="186">
        <f>IFERROR(VLOOKUP($A19,MatchPivot!$A:$R,4, FALSE), 0)</f>
        <v>0.22222222222222221</v>
      </c>
      <c r="E19" s="187">
        <f>IFERROR(VLOOKUP($A19,MatchPivot!$A:$R,5, FALSE), 0)</f>
        <v>0.1111111111111111</v>
      </c>
      <c r="F19" s="185">
        <f>IFERROR(VLOOKUP($A19,MatchPivot!$A:$R,6, FALSE), 0)</f>
        <v>0.55555555555555558</v>
      </c>
      <c r="G19" s="186">
        <f>IFERROR(VLOOKUP($A19,MatchPivot!$A:$R,7, FALSE), 0)</f>
        <v>4.7777777777777777</v>
      </c>
      <c r="H19" s="186">
        <f>IFERROR(VLOOKUP($A19,MatchPivot!$A:$R,8, FALSE), 0)</f>
        <v>0.22222222222222221</v>
      </c>
      <c r="I19" s="186">
        <f>IFERROR(VLOOKUP($A19,MatchPivot!$A:$R,9, FALSE), 0)</f>
        <v>2.5555555555555554</v>
      </c>
      <c r="J19" s="187">
        <f>IFERROR(VLOOKUP($A19,MatchPivot!$A:$R,10, FALSE), 0)</f>
        <v>0.33333333333333331</v>
      </c>
      <c r="K19" s="229">
        <f t="shared" si="0"/>
        <v>63</v>
      </c>
      <c r="L19" s="235">
        <f>IFERROR(VLOOKUP($A19,OPRs!$A:$B,2,FALSE),0)</f>
        <v>142.23872419203784</v>
      </c>
      <c r="M19" s="233">
        <f>IFERROR(VLOOKUP($A19,TBAranking!$A:$H,2,FALSE),"")</f>
        <v>8</v>
      </c>
      <c r="N19" s="211">
        <f>INT(IFERROR(VLOOKUP($A19,autoS!$A:$B,2,FALSE)/(IFERROR(VLOOKUP($A19,TBAranking!$A:$H,3,FALSE),0)),0))</f>
        <v>32</v>
      </c>
      <c r="O19" s="125">
        <f>INT(IFERROR(VLOOKUP($A19,TBAranking!$A:$O,5,FALSE)/(IFERROR(VLOOKUP($A19,TBAranking!$A:$H,3,FALSE),0)),0))</f>
        <v>234</v>
      </c>
      <c r="P19" s="125">
        <f>INT(IFERROR(VLOOKUP($A19,TBAranking!$A:$O,6,FALSE)/(IFERROR(VLOOKUP($A19,TBAranking!$A:$H,3,FALSE),0)),0))</f>
        <v>35</v>
      </c>
      <c r="Q19" s="285">
        <f>INT(IFERROR(VLOOKUP($A19,TBAranking!$A:$O,7,FALSE)/(IFERROR(VLOOKUP($A19,TBAranking!$A:$H,3,FALSE),0)),0))</f>
        <v>48</v>
      </c>
      <c r="R19" s="226">
        <v>6</v>
      </c>
      <c r="S19" s="223">
        <v>8</v>
      </c>
      <c r="T19" s="220" t="str">
        <f t="shared" si="1"/>
        <v>NO</v>
      </c>
    </row>
    <row r="20" spans="1:20" s="37" customFormat="1" ht="15.75" thickBot="1">
      <c r="A20" s="214">
        <v>236</v>
      </c>
      <c r="B20" s="153">
        <f>IFERROR(VLOOKUP($A20,TBAranking!$A:$H,3,FALSE),0)</f>
        <v>12</v>
      </c>
      <c r="C20" s="151">
        <f>IFERROR(VLOOKUP($A20,MatchPivot!$A:$R,3, FALSE), 0)</f>
        <v>1</v>
      </c>
      <c r="D20" s="123">
        <f>IFERROR(VLOOKUP($A20,MatchPivot!$A:$R,4, FALSE), 0)</f>
        <v>0.15384615384615385</v>
      </c>
      <c r="E20" s="152">
        <f>IFERROR(VLOOKUP($A20,MatchPivot!$A:$R,5, FALSE), 0)</f>
        <v>0.23076923076923078</v>
      </c>
      <c r="F20" s="151">
        <f>IFERROR(VLOOKUP($A20,MatchPivot!$A:$R,6, FALSE), 0)</f>
        <v>0.53846153846153844</v>
      </c>
      <c r="G20" s="123">
        <f>IFERROR(VLOOKUP($A20,MatchPivot!$A:$R,7, FALSE), 0)</f>
        <v>0.46153846153846156</v>
      </c>
      <c r="H20" s="123">
        <f>IFERROR(VLOOKUP($A20,MatchPivot!$A:$R,8, FALSE), 0)</f>
        <v>1.4615384615384615</v>
      </c>
      <c r="I20" s="123">
        <f>IFERROR(VLOOKUP($A20,MatchPivot!$A:$R,9, FALSE), 0)</f>
        <v>1.6153846153846154</v>
      </c>
      <c r="J20" s="152">
        <f>IFERROR(VLOOKUP($A20,MatchPivot!$A:$R,10, FALSE), 0)</f>
        <v>0.61538461538461542</v>
      </c>
      <c r="K20" s="226">
        <f t="shared" si="0"/>
        <v>38.384615384615387</v>
      </c>
      <c r="L20" s="222">
        <f>IFERROR(VLOOKUP($A20,OPRs!$A:$B,2,FALSE),0)</f>
        <v>99.610553227995254</v>
      </c>
      <c r="M20" s="231">
        <f>IFERROR(VLOOKUP($A20,TBAranking!$A:$H,2,FALSE),"")</f>
        <v>17</v>
      </c>
      <c r="N20" s="146">
        <f>INT(IFERROR(VLOOKUP($A20,autoS!$A:$B,2,FALSE)/(IFERROR(VLOOKUP($A20,TBAranking!$A:$H,3,FALSE),0)),0))</f>
        <v>34</v>
      </c>
      <c r="O20" s="147">
        <f>INT(IFERROR(VLOOKUP($A20,TBAranking!$A:$O,5,FALSE)/(IFERROR(VLOOKUP($A20,TBAranking!$A:$H,3,FALSE),0)),0))</f>
        <v>195</v>
      </c>
      <c r="P20" s="147">
        <f>INT(IFERROR(VLOOKUP($A20,TBAranking!$A:$O,6,FALSE)/(IFERROR(VLOOKUP($A20,TBAranking!$A:$H,3,FALSE),0)),0))</f>
        <v>27</v>
      </c>
      <c r="Q20" s="282">
        <f>INT(IFERROR(VLOOKUP($A20,TBAranking!$A:$O,7,FALSE)/(IFERROR(VLOOKUP($A20,TBAranking!$A:$H,3,FALSE),0)),0))</f>
        <v>52</v>
      </c>
      <c r="R20" s="226">
        <v>6</v>
      </c>
      <c r="S20" s="223">
        <v>15</v>
      </c>
      <c r="T20" s="220" t="str">
        <f t="shared" si="1"/>
        <v>NO</v>
      </c>
    </row>
    <row r="21" spans="1:20" s="37" customFormat="1" ht="15.75" thickBot="1">
      <c r="A21" s="214">
        <v>839</v>
      </c>
      <c r="B21" s="153">
        <f>IFERROR(VLOOKUP($A21,TBAranking!$A:$H,3,FALSE),0)</f>
        <v>12</v>
      </c>
      <c r="C21" s="151">
        <f>IFERROR(VLOOKUP($A21,MatchPivot!$A:$R,3, FALSE), 0)</f>
        <v>0.77777777777777779</v>
      </c>
      <c r="D21" s="123">
        <f>IFERROR(VLOOKUP($A21,MatchPivot!$A:$R,4, FALSE), 0)</f>
        <v>0.1111111111111111</v>
      </c>
      <c r="E21" s="152">
        <f>IFERROR(VLOOKUP($A21,MatchPivot!$A:$R,5, FALSE), 0)</f>
        <v>0</v>
      </c>
      <c r="F21" s="151">
        <f>IFERROR(VLOOKUP($A21,MatchPivot!$A:$R,6, FALSE), 0)</f>
        <v>1.2222222222222223</v>
      </c>
      <c r="G21" s="123">
        <f>IFERROR(VLOOKUP($A21,MatchPivot!$A:$R,7, FALSE), 0)</f>
        <v>1.6666666666666667</v>
      </c>
      <c r="H21" s="123">
        <f>IFERROR(VLOOKUP($A21,MatchPivot!$A:$R,8, FALSE), 0)</f>
        <v>2.8888888888888888</v>
      </c>
      <c r="I21" s="123">
        <f>IFERROR(VLOOKUP($A21,MatchPivot!$A:$R,9, FALSE), 0)</f>
        <v>0.88888888888888884</v>
      </c>
      <c r="J21" s="152">
        <f>IFERROR(VLOOKUP($A21,MatchPivot!$A:$R,10, FALSE), 0)</f>
        <v>1</v>
      </c>
      <c r="K21" s="226">
        <f t="shared" si="0"/>
        <v>51.444444444444443</v>
      </c>
      <c r="L21" s="222">
        <f>IFERROR(VLOOKUP($A21,OPRs!$A:$B,2,FALSE),0)</f>
        <v>139.63995772130554</v>
      </c>
      <c r="M21" s="231">
        <f>IFERROR(VLOOKUP($A21,TBAranking!$A:$H,2,FALSE),"")</f>
        <v>21</v>
      </c>
      <c r="N21" s="146">
        <f>INT(IFERROR(VLOOKUP($A21,autoS!$A:$B,2,FALSE)/(IFERROR(VLOOKUP($A21,TBAranking!$A:$H,3,FALSE),0)),0))</f>
        <v>28</v>
      </c>
      <c r="O21" s="147">
        <f>INT(IFERROR(VLOOKUP($A21,TBAranking!$A:$O,5,FALSE)/(IFERROR(VLOOKUP($A21,TBAranking!$A:$H,3,FALSE),0)),0))</f>
        <v>207</v>
      </c>
      <c r="P21" s="147">
        <f>INT(IFERROR(VLOOKUP($A21,TBAranking!$A:$O,6,FALSE)/(IFERROR(VLOOKUP($A21,TBAranking!$A:$H,3,FALSE),0)),0))</f>
        <v>35</v>
      </c>
      <c r="Q21" s="282">
        <f>INT(IFERROR(VLOOKUP($A21,TBAranking!$A:$O,7,FALSE)/(IFERROR(VLOOKUP($A21,TBAranking!$A:$H,3,FALSE),0)),0))</f>
        <v>60</v>
      </c>
      <c r="R21" s="226">
        <v>6</v>
      </c>
      <c r="S21" s="223">
        <v>19</v>
      </c>
      <c r="T21" s="220" t="str">
        <f t="shared" si="1"/>
        <v>NO</v>
      </c>
    </row>
    <row r="22" spans="1:20" s="37" customFormat="1" ht="15.75" thickBot="1">
      <c r="A22" s="214">
        <v>2067</v>
      </c>
      <c r="B22" s="153">
        <f>IFERROR(VLOOKUP($A22,TBAranking!$A:$H,3,FALSE),0)</f>
        <v>12</v>
      </c>
      <c r="C22" s="151">
        <f>IFERROR(VLOOKUP($A22,MatchPivot!$A:$R,3, FALSE), 0)</f>
        <v>0.7</v>
      </c>
      <c r="D22" s="123">
        <f>IFERROR(VLOOKUP($A22,MatchPivot!$A:$R,4, FALSE), 0)</f>
        <v>0.5</v>
      </c>
      <c r="E22" s="152">
        <f>IFERROR(VLOOKUP($A22,MatchPivot!$A:$R,5, FALSE), 0)</f>
        <v>0.1</v>
      </c>
      <c r="F22" s="151">
        <f>IFERROR(VLOOKUP($A22,MatchPivot!$A:$R,6, FALSE), 0)</f>
        <v>0.7</v>
      </c>
      <c r="G22" s="123">
        <f>IFERROR(VLOOKUP($A22,MatchPivot!$A:$R,7, FALSE), 0)</f>
        <v>1.6</v>
      </c>
      <c r="H22" s="123">
        <f>IFERROR(VLOOKUP($A22,MatchPivot!$A:$R,8, FALSE), 0)</f>
        <v>2.5</v>
      </c>
      <c r="I22" s="123">
        <f>IFERROR(VLOOKUP($A22,MatchPivot!$A:$R,9, FALSE), 0)</f>
        <v>1.8</v>
      </c>
      <c r="J22" s="152">
        <f>IFERROR(VLOOKUP($A22,MatchPivot!$A:$R,10, FALSE), 0)</f>
        <v>0.7</v>
      </c>
      <c r="K22" s="226">
        <f t="shared" si="0"/>
        <v>54.2</v>
      </c>
      <c r="L22" s="222">
        <f>IFERROR(VLOOKUP($A22,OPRs!$A:$B,2,FALSE),0)</f>
        <v>134.74558762008832</v>
      </c>
      <c r="M22" s="231">
        <f>IFERROR(VLOOKUP($A22,TBAranking!$A:$H,2,FALSE),"")</f>
        <v>12</v>
      </c>
      <c r="N22" s="146">
        <f>INT(IFERROR(VLOOKUP($A22,autoS!$A:$B,2,FALSE)/(IFERROR(VLOOKUP($A22,TBAranking!$A:$H,3,FALSE),0)),0))</f>
        <v>32</v>
      </c>
      <c r="O22" s="147">
        <f>INT(IFERROR(VLOOKUP($A22,TBAranking!$A:$O,5,FALSE)/(IFERROR(VLOOKUP($A22,TBAranking!$A:$H,3,FALSE),0)),0))</f>
        <v>200</v>
      </c>
      <c r="P22" s="147">
        <f>INT(IFERROR(VLOOKUP($A22,TBAranking!$A:$O,6,FALSE)/(IFERROR(VLOOKUP($A22,TBAranking!$A:$H,3,FALSE),0)),0))</f>
        <v>25</v>
      </c>
      <c r="Q22" s="282">
        <f>INT(IFERROR(VLOOKUP($A22,TBAranking!$A:$O,7,FALSE)/(IFERROR(VLOOKUP($A22,TBAranking!$A:$H,3,FALSE),0)),0))</f>
        <v>60</v>
      </c>
      <c r="R22" s="226">
        <v>7</v>
      </c>
      <c r="S22" s="223">
        <v>10</v>
      </c>
      <c r="T22" s="220" t="str">
        <f t="shared" si="1"/>
        <v>NO</v>
      </c>
    </row>
    <row r="23" spans="1:20" s="37" customFormat="1" ht="15.75" thickBot="1">
      <c r="A23" s="214">
        <v>5686</v>
      </c>
      <c r="B23" s="153">
        <f>IFERROR(VLOOKUP($A23,TBAranking!$A:$H,3,FALSE),0)</f>
        <v>12</v>
      </c>
      <c r="C23" s="151">
        <f>IFERROR(VLOOKUP($A23,MatchPivot!$A:$R,3, FALSE), 0)</f>
        <v>0.54545454545454541</v>
      </c>
      <c r="D23" s="123">
        <f>IFERROR(VLOOKUP($A23,MatchPivot!$A:$R,4, FALSE), 0)</f>
        <v>0.72727272727272729</v>
      </c>
      <c r="E23" s="152">
        <f>IFERROR(VLOOKUP($A23,MatchPivot!$A:$R,5, FALSE), 0)</f>
        <v>0</v>
      </c>
      <c r="F23" s="151">
        <f>IFERROR(VLOOKUP($A23,MatchPivot!$A:$R,6, FALSE), 0)</f>
        <v>2.1818181818181817</v>
      </c>
      <c r="G23" s="123">
        <f>IFERROR(VLOOKUP($A23,MatchPivot!$A:$R,7, FALSE), 0)</f>
        <v>2.8181818181818183</v>
      </c>
      <c r="H23" s="123">
        <f>IFERROR(VLOOKUP($A23,MatchPivot!$A:$R,8, FALSE), 0)</f>
        <v>0.81818181818181823</v>
      </c>
      <c r="I23" s="123">
        <f>IFERROR(VLOOKUP($A23,MatchPivot!$A:$R,9, FALSE), 0)</f>
        <v>5.2727272727272725</v>
      </c>
      <c r="J23" s="152">
        <f>IFERROR(VLOOKUP($A23,MatchPivot!$A:$R,10, FALSE), 0)</f>
        <v>0.27272727272727271</v>
      </c>
      <c r="K23" s="226">
        <f t="shared" si="0"/>
        <v>77.181818181818187</v>
      </c>
      <c r="L23" s="222">
        <f>IFERROR(VLOOKUP($A23,OPRs!$A:$B,2,FALSE),0)</f>
        <v>97.713355376360084</v>
      </c>
      <c r="M23" s="231">
        <f>IFERROR(VLOOKUP($A23,TBAranking!$A:$H,2,FALSE),"")</f>
        <v>15</v>
      </c>
      <c r="N23" s="146">
        <f>INT(IFERROR(VLOOKUP($A23,autoS!$A:$B,2,FALSE)/(IFERROR(VLOOKUP($A23,TBAranking!$A:$H,3,FALSE),0)),0))</f>
        <v>33</v>
      </c>
      <c r="O23" s="147">
        <f>INT(IFERROR(VLOOKUP($A23,TBAranking!$A:$O,5,FALSE)/(IFERROR(VLOOKUP($A23,TBAranking!$A:$H,3,FALSE),0)),0))</f>
        <v>213</v>
      </c>
      <c r="P23" s="147">
        <f>INT(IFERROR(VLOOKUP($A23,TBAranking!$A:$O,6,FALSE)/(IFERROR(VLOOKUP($A23,TBAranking!$A:$H,3,FALSE),0)),0))</f>
        <v>37</v>
      </c>
      <c r="Q23" s="282">
        <f>INT(IFERROR(VLOOKUP($A23,TBAranking!$A:$O,7,FALSE)/(IFERROR(VLOOKUP($A23,TBAranking!$A:$H,3,FALSE),0)),0))</f>
        <v>48</v>
      </c>
      <c r="R23" s="84">
        <v>7</v>
      </c>
      <c r="S23" s="223">
        <v>12</v>
      </c>
      <c r="T23" s="220" t="str">
        <f t="shared" si="1"/>
        <v>NO</v>
      </c>
    </row>
    <row r="24" spans="1:20" s="37" customFormat="1" ht="15.75" thickBot="1">
      <c r="A24" s="214">
        <v>2836</v>
      </c>
      <c r="B24" s="153">
        <f>IFERROR(VLOOKUP($A24,TBAranking!$A:$H,3,FALSE),0)</f>
        <v>12</v>
      </c>
      <c r="C24" s="151">
        <f>IFERROR(VLOOKUP($A24,MatchPivot!$A:$R,3, FALSE), 0)</f>
        <v>0.9</v>
      </c>
      <c r="D24" s="123">
        <f>IFERROR(VLOOKUP($A24,MatchPivot!$A:$R,4, FALSE), 0)</f>
        <v>0.5</v>
      </c>
      <c r="E24" s="152">
        <f>IFERROR(VLOOKUP($A24,MatchPivot!$A:$R,5, FALSE), 0)</f>
        <v>0</v>
      </c>
      <c r="F24" s="151">
        <f>IFERROR(VLOOKUP($A24,MatchPivot!$A:$R,6, FALSE), 0)</f>
        <v>1.9</v>
      </c>
      <c r="G24" s="123">
        <f>IFERROR(VLOOKUP($A24,MatchPivot!$A:$R,7, FALSE), 0)</f>
        <v>0.8</v>
      </c>
      <c r="H24" s="123">
        <f>IFERROR(VLOOKUP($A24,MatchPivot!$A:$R,8, FALSE), 0)</f>
        <v>2.1</v>
      </c>
      <c r="I24" s="123">
        <f>IFERROR(VLOOKUP($A24,MatchPivot!$A:$R,9, FALSE), 0)</f>
        <v>1.1000000000000001</v>
      </c>
      <c r="J24" s="152">
        <f>IFERROR(VLOOKUP($A24,MatchPivot!$A:$R,10, FALSE), 0)</f>
        <v>0.8</v>
      </c>
      <c r="K24" s="226">
        <f t="shared" si="0"/>
        <v>50.900000000000006</v>
      </c>
      <c r="L24" s="222">
        <f>IFERROR(VLOOKUP($A24,OPRs!$A:$B,2,FALSE),0)</f>
        <v>115.94646102402623</v>
      </c>
      <c r="M24" s="231">
        <f>IFERROR(VLOOKUP($A24,TBAranking!$A:$H,2,FALSE),"")</f>
        <v>9</v>
      </c>
      <c r="N24" s="146">
        <f>INT(IFERROR(VLOOKUP($A24,autoS!$A:$B,2,FALSE)/(IFERROR(VLOOKUP($A24,TBAranking!$A:$H,3,FALSE),0)),0))</f>
        <v>32</v>
      </c>
      <c r="O24" s="147">
        <f>INT(IFERROR(VLOOKUP($A24,TBAranking!$A:$O,5,FALSE)/(IFERROR(VLOOKUP($A24,TBAranking!$A:$H,3,FALSE),0)),0))</f>
        <v>207</v>
      </c>
      <c r="P24" s="147">
        <f>INT(IFERROR(VLOOKUP($A24,TBAranking!$A:$O,6,FALSE)/(IFERROR(VLOOKUP($A24,TBAranking!$A:$H,3,FALSE),0)),0))</f>
        <v>30</v>
      </c>
      <c r="Q24" s="282">
        <f>INT(IFERROR(VLOOKUP($A24,TBAranking!$A:$O,7,FALSE)/(IFERROR(VLOOKUP($A24,TBAranking!$A:$H,3,FALSE),0)),0))</f>
        <v>62</v>
      </c>
      <c r="R24" s="84">
        <v>7</v>
      </c>
      <c r="S24" s="223">
        <v>26</v>
      </c>
      <c r="T24" s="220" t="str">
        <f t="shared" si="1"/>
        <v>NO</v>
      </c>
    </row>
    <row r="25" spans="1:20" s="37" customFormat="1" ht="15.75" thickBot="1">
      <c r="A25" s="214">
        <v>3464</v>
      </c>
      <c r="B25" s="153">
        <f>IFERROR(VLOOKUP($A25,TBAranking!$A:$H,3,FALSE),0)</f>
        <v>12</v>
      </c>
      <c r="C25" s="151">
        <f>IFERROR(VLOOKUP($A25,MatchPivot!$A:$R,3, FALSE), 0)</f>
        <v>0.69230769230769229</v>
      </c>
      <c r="D25" s="123">
        <f>IFERROR(VLOOKUP($A25,MatchPivot!$A:$R,4, FALSE), 0)</f>
        <v>0.84615384615384615</v>
      </c>
      <c r="E25" s="152">
        <f>IFERROR(VLOOKUP($A25,MatchPivot!$A:$R,5, FALSE), 0)</f>
        <v>0</v>
      </c>
      <c r="F25" s="151">
        <f>IFERROR(VLOOKUP($A25,MatchPivot!$A:$R,6, FALSE), 0)</f>
        <v>1.7692307692307692</v>
      </c>
      <c r="G25" s="123">
        <f>IFERROR(VLOOKUP($A25,MatchPivot!$A:$R,7, FALSE), 0)</f>
        <v>1.4615384615384615</v>
      </c>
      <c r="H25" s="123">
        <f>IFERROR(VLOOKUP($A25,MatchPivot!$A:$R,8, FALSE), 0)</f>
        <v>1.0769230769230769</v>
      </c>
      <c r="I25" s="123">
        <f>IFERROR(VLOOKUP($A25,MatchPivot!$A:$R,9, FALSE), 0)</f>
        <v>2.4615384615384617</v>
      </c>
      <c r="J25" s="152">
        <f>IFERROR(VLOOKUP($A25,MatchPivot!$A:$R,10, FALSE), 0)</f>
        <v>0.69230769230769229</v>
      </c>
      <c r="K25" s="226">
        <f t="shared" si="0"/>
        <v>61.153846153846153</v>
      </c>
      <c r="L25" s="222">
        <f>IFERROR(VLOOKUP($A25,OPRs!$A:$B,2,FALSE),0)</f>
        <v>114.0938653919908</v>
      </c>
      <c r="M25" s="231">
        <f>IFERROR(VLOOKUP($A25,TBAranking!$A:$H,2,FALSE),"")</f>
        <v>10</v>
      </c>
      <c r="N25" s="146">
        <f>INT(IFERROR(VLOOKUP($A25,autoS!$A:$B,2,FALSE)/(IFERROR(VLOOKUP($A25,TBAranking!$A:$H,3,FALSE),0)),0))</f>
        <v>31</v>
      </c>
      <c r="O25" s="147">
        <f>INT(IFERROR(VLOOKUP($A25,TBAranking!$A:$O,5,FALSE)/(IFERROR(VLOOKUP($A25,TBAranking!$A:$H,3,FALSE),0)),0))</f>
        <v>202</v>
      </c>
      <c r="P25" s="147">
        <f>INT(IFERROR(VLOOKUP($A25,TBAranking!$A:$O,6,FALSE)/(IFERROR(VLOOKUP($A25,TBAranking!$A:$H,3,FALSE),0)),0))</f>
        <v>29</v>
      </c>
      <c r="Q25" s="282">
        <f>INT(IFERROR(VLOOKUP($A25,TBAranking!$A:$O,7,FALSE)/(IFERROR(VLOOKUP($A25,TBAranking!$A:$H,3,FALSE),0)),0))</f>
        <v>61</v>
      </c>
      <c r="R25" s="84">
        <v>8</v>
      </c>
      <c r="S25" s="223">
        <v>18</v>
      </c>
      <c r="T25" s="220" t="str">
        <f t="shared" si="1"/>
        <v>NO</v>
      </c>
    </row>
    <row r="26" spans="1:20" s="37" customFormat="1" ht="15.75" thickBot="1">
      <c r="A26" s="214">
        <v>3146</v>
      </c>
      <c r="B26" s="153">
        <f>IFERROR(VLOOKUP($A26,TBAranking!$A:$H,3,FALSE),0)</f>
        <v>12</v>
      </c>
      <c r="C26" s="151">
        <f>IFERROR(VLOOKUP($A26,MatchPivot!$A:$R,3, FALSE), 0)</f>
        <v>0.875</v>
      </c>
      <c r="D26" s="123">
        <f>IFERROR(VLOOKUP($A26,MatchPivot!$A:$R,4, FALSE), 0)</f>
        <v>0.5</v>
      </c>
      <c r="E26" s="152">
        <f>IFERROR(VLOOKUP($A26,MatchPivot!$A:$R,5, FALSE), 0)</f>
        <v>0</v>
      </c>
      <c r="F26" s="151">
        <f>IFERROR(VLOOKUP($A26,MatchPivot!$A:$R,6, FALSE), 0)</f>
        <v>1.25</v>
      </c>
      <c r="G26" s="123">
        <f>IFERROR(VLOOKUP($A26,MatchPivot!$A:$R,7, FALSE), 0)</f>
        <v>1.5</v>
      </c>
      <c r="H26" s="123">
        <f>IFERROR(VLOOKUP($A26,MatchPivot!$A:$R,8, FALSE), 0)</f>
        <v>0</v>
      </c>
      <c r="I26" s="123">
        <f>IFERROR(VLOOKUP($A26,MatchPivot!$A:$R,9, FALSE), 0)</f>
        <v>4.125</v>
      </c>
      <c r="J26" s="152">
        <f>IFERROR(VLOOKUP($A26,MatchPivot!$A:$R,10, FALSE), 0)</f>
        <v>0.875</v>
      </c>
      <c r="K26" s="226">
        <f t="shared" si="0"/>
        <v>62.375</v>
      </c>
      <c r="L26" s="222">
        <f>IFERROR(VLOOKUP($A26,OPRs!$A:$B,2,FALSE),0)</f>
        <v>116.94260138087633</v>
      </c>
      <c r="M26" s="231">
        <f>IFERROR(VLOOKUP($A26,TBAranking!$A:$H,2,FALSE),"")</f>
        <v>23</v>
      </c>
      <c r="N26" s="146">
        <f>INT(IFERROR(VLOOKUP($A26,autoS!$A:$B,2,FALSE)/(IFERROR(VLOOKUP($A26,TBAranking!$A:$H,3,FALSE),0)),0))</f>
        <v>24</v>
      </c>
      <c r="O26" s="147">
        <f>INT(IFERROR(VLOOKUP($A26,TBAranking!$A:$O,5,FALSE)/(IFERROR(VLOOKUP($A26,TBAranking!$A:$H,3,FALSE),0)),0))</f>
        <v>168</v>
      </c>
      <c r="P26" s="147">
        <f>INT(IFERROR(VLOOKUP($A26,TBAranking!$A:$O,6,FALSE)/(IFERROR(VLOOKUP($A26,TBAranking!$A:$H,3,FALSE),0)),0))</f>
        <v>34</v>
      </c>
      <c r="Q26" s="282">
        <f>INT(IFERROR(VLOOKUP($A26,TBAranking!$A:$O,7,FALSE)/(IFERROR(VLOOKUP($A26,TBAranking!$A:$H,3,FALSE),0)),0))</f>
        <v>50</v>
      </c>
      <c r="R26" s="84">
        <v>8</v>
      </c>
      <c r="S26" s="223">
        <v>20</v>
      </c>
      <c r="T26" s="220" t="str">
        <f t="shared" si="1"/>
        <v>NO</v>
      </c>
    </row>
    <row r="27" spans="1:20" s="37" customFormat="1" ht="15.75" thickBot="1">
      <c r="A27" s="214">
        <v>1991</v>
      </c>
      <c r="B27" s="153">
        <f>IFERROR(VLOOKUP($A27,TBAranking!$A:$H,3,FALSE),0)</f>
        <v>12</v>
      </c>
      <c r="C27" s="151">
        <f>IFERROR(VLOOKUP($A27,MatchPivot!$A:$R,3, FALSE), 0)</f>
        <v>0.91666666666666663</v>
      </c>
      <c r="D27" s="123">
        <f>IFERROR(VLOOKUP($A27,MatchPivot!$A:$R,4, FALSE), 0)</f>
        <v>8.3333333333333329E-2</v>
      </c>
      <c r="E27" s="152">
        <f>IFERROR(VLOOKUP($A27,MatchPivot!$A:$R,5, FALSE), 0)</f>
        <v>0.33333333333333331</v>
      </c>
      <c r="F27" s="151">
        <f>IFERROR(VLOOKUP($A27,MatchPivot!$A:$R,6, FALSE), 0)</f>
        <v>0.91666666666666663</v>
      </c>
      <c r="G27" s="123">
        <f>IFERROR(VLOOKUP($A27,MatchPivot!$A:$R,7, FALSE), 0)</f>
        <v>0.16666666666666666</v>
      </c>
      <c r="H27" s="123">
        <f>IFERROR(VLOOKUP($A27,MatchPivot!$A:$R,8, FALSE), 0)</f>
        <v>1.6666666666666667</v>
      </c>
      <c r="I27" s="123">
        <f>IFERROR(VLOOKUP($A27,MatchPivot!$A:$R,9, FALSE), 0)</f>
        <v>0</v>
      </c>
      <c r="J27" s="152">
        <f>IFERROR(VLOOKUP($A27,MatchPivot!$A:$R,10, FALSE), 0)</f>
        <v>0.66666666666666663</v>
      </c>
      <c r="K27" s="226">
        <f t="shared" si="0"/>
        <v>31.583333333333332</v>
      </c>
      <c r="L27" s="222">
        <f>IFERROR(VLOOKUP($A27,OPRs!$A:$B,2,FALSE),0)</f>
        <v>90.893715887951487</v>
      </c>
      <c r="M27" s="231">
        <f>IFERROR(VLOOKUP($A27,TBAranking!$A:$H,2,FALSE),"")</f>
        <v>28</v>
      </c>
      <c r="N27" s="146">
        <f>INT(IFERROR(VLOOKUP($A27,autoS!$A:$B,2,FALSE)/(IFERROR(VLOOKUP($A27,TBAranking!$A:$H,3,FALSE),0)),0))</f>
        <v>28</v>
      </c>
      <c r="O27" s="147">
        <f>INT(IFERROR(VLOOKUP($A27,TBAranking!$A:$O,5,FALSE)/(IFERROR(VLOOKUP($A27,TBAranking!$A:$H,3,FALSE),0)),0))</f>
        <v>195</v>
      </c>
      <c r="P27" s="147">
        <f>INT(IFERROR(VLOOKUP($A27,TBAranking!$A:$O,6,FALSE)/(IFERROR(VLOOKUP($A27,TBAranking!$A:$H,3,FALSE),0)),0))</f>
        <v>31</v>
      </c>
      <c r="Q27" s="282">
        <f>INT(IFERROR(VLOOKUP($A27,TBAranking!$A:$O,7,FALSE)/(IFERROR(VLOOKUP($A27,TBAranking!$A:$H,3,FALSE),0)),0))</f>
        <v>50</v>
      </c>
      <c r="R27" s="226">
        <v>8</v>
      </c>
      <c r="S27" s="223">
        <v>27</v>
      </c>
      <c r="T27" s="220" t="str">
        <f t="shared" si="1"/>
        <v>NO</v>
      </c>
    </row>
    <row r="28" spans="1:20" s="37" customFormat="1" ht="15.75" thickBot="1">
      <c r="A28" s="214">
        <v>3654</v>
      </c>
      <c r="B28" s="153">
        <f>IFERROR(VLOOKUP($A28,TBAranking!$A:$H,3,FALSE),0)</f>
        <v>12</v>
      </c>
      <c r="C28" s="151">
        <f>IFERROR(VLOOKUP($A28,MatchPivot!$A:$R,3, FALSE), 0)</f>
        <v>1</v>
      </c>
      <c r="D28" s="123">
        <f>IFERROR(VLOOKUP($A28,MatchPivot!$A:$R,4, FALSE), 0)</f>
        <v>0</v>
      </c>
      <c r="E28" s="152">
        <f>IFERROR(VLOOKUP($A28,MatchPivot!$A:$R,5, FALSE), 0)</f>
        <v>0</v>
      </c>
      <c r="F28" s="151">
        <f>IFERROR(VLOOKUP($A28,MatchPivot!$A:$R,6, FALSE), 0)</f>
        <v>1.4166666666666667</v>
      </c>
      <c r="G28" s="123">
        <f>IFERROR(VLOOKUP($A28,MatchPivot!$A:$R,7, FALSE), 0)</f>
        <v>0.41666666666666669</v>
      </c>
      <c r="H28" s="123">
        <f>IFERROR(VLOOKUP($A28,MatchPivot!$A:$R,8, FALSE), 0)</f>
        <v>1.9166666666666667</v>
      </c>
      <c r="I28" s="123">
        <f>IFERROR(VLOOKUP($A28,MatchPivot!$A:$R,9, FALSE), 0)</f>
        <v>0</v>
      </c>
      <c r="J28" s="152">
        <f>IFERROR(VLOOKUP($A28,MatchPivot!$A:$R,10, FALSE), 0)</f>
        <v>0.66666666666666663</v>
      </c>
      <c r="K28" s="226">
        <f t="shared" si="0"/>
        <v>30.75</v>
      </c>
      <c r="L28" s="222">
        <f>IFERROR(VLOOKUP($A28,OPRs!$A:$B,2,FALSE),0)</f>
        <v>91.329003402311969</v>
      </c>
      <c r="M28" s="231">
        <f>IFERROR(VLOOKUP($A28,TBAranking!$A:$H,2,FALSE),"")</f>
        <v>32</v>
      </c>
      <c r="N28" s="146">
        <f>INT(IFERROR(VLOOKUP($A28,autoS!$A:$B,2,FALSE)/(IFERROR(VLOOKUP($A28,TBAranking!$A:$H,3,FALSE),0)),0))</f>
        <v>28</v>
      </c>
      <c r="O28" s="147">
        <f>INT(IFERROR(VLOOKUP($A28,TBAranking!$A:$O,5,FALSE)/(IFERROR(VLOOKUP($A28,TBAranking!$A:$H,3,FALSE),0)),0))</f>
        <v>170</v>
      </c>
      <c r="P28" s="147">
        <f>INT(IFERROR(VLOOKUP($A28,TBAranking!$A:$O,6,FALSE)/(IFERROR(VLOOKUP($A28,TBAranking!$A:$H,3,FALSE),0)),0))</f>
        <v>30</v>
      </c>
      <c r="Q28" s="282">
        <f>INT(IFERROR(VLOOKUP($A28,TBAranking!$A:$O,7,FALSE)/(IFERROR(VLOOKUP($A28,TBAranking!$A:$H,3,FALSE),0)),0))</f>
        <v>47</v>
      </c>
      <c r="R28" s="84"/>
      <c r="S28" s="223">
        <v>1</v>
      </c>
      <c r="T28" s="220" t="str">
        <f t="shared" si="1"/>
        <v/>
      </c>
    </row>
    <row r="29" spans="1:20" s="37" customFormat="1" ht="15.75" thickBot="1">
      <c r="A29" s="214">
        <v>5129</v>
      </c>
      <c r="B29" s="153">
        <f>IFERROR(VLOOKUP($A29,TBAranking!$A:$H,3,FALSE),0)</f>
        <v>12</v>
      </c>
      <c r="C29" s="151">
        <f>IFERROR(VLOOKUP($A29,MatchPivot!$A:$R,3, FALSE), 0)</f>
        <v>0.81818181818181823</v>
      </c>
      <c r="D29" s="123">
        <f>IFERROR(VLOOKUP($A29,MatchPivot!$A:$R,4, FALSE), 0)</f>
        <v>0</v>
      </c>
      <c r="E29" s="152">
        <f>IFERROR(VLOOKUP($A29,MatchPivot!$A:$R,5, FALSE), 0)</f>
        <v>0</v>
      </c>
      <c r="F29" s="151">
        <f>IFERROR(VLOOKUP($A29,MatchPivot!$A:$R,6, FALSE), 0)</f>
        <v>0.90909090909090906</v>
      </c>
      <c r="G29" s="123">
        <f>IFERROR(VLOOKUP($A29,MatchPivot!$A:$R,7, FALSE), 0)</f>
        <v>0</v>
      </c>
      <c r="H29" s="123">
        <f>IFERROR(VLOOKUP($A29,MatchPivot!$A:$R,8, FALSE), 0)</f>
        <v>0</v>
      </c>
      <c r="I29" s="123">
        <f>IFERROR(VLOOKUP($A29,MatchPivot!$A:$R,9, FALSE), 0)</f>
        <v>4</v>
      </c>
      <c r="J29" s="152">
        <f>IFERROR(VLOOKUP($A29,MatchPivot!$A:$R,10, FALSE), 0)</f>
        <v>0.45454545454545453</v>
      </c>
      <c r="K29" s="226">
        <f t="shared" si="0"/>
        <v>35.454545454545453</v>
      </c>
      <c r="L29" s="222">
        <f>IFERROR(VLOOKUP($A29,OPRs!$A:$B,2,FALSE),0)</f>
        <v>48.309309169628946</v>
      </c>
      <c r="M29" s="231">
        <f>IFERROR(VLOOKUP($A29,TBAranking!$A:$H,2,FALSE),"")</f>
        <v>36</v>
      </c>
      <c r="N29" s="146">
        <f>INT(IFERROR(VLOOKUP($A29,autoS!$A:$B,2,FALSE)/(IFERROR(VLOOKUP($A29,TBAranking!$A:$H,3,FALSE),0)),0))</f>
        <v>29</v>
      </c>
      <c r="O29" s="147">
        <f>INT(IFERROR(VLOOKUP($A29,TBAranking!$A:$O,5,FALSE)/(IFERROR(VLOOKUP($A29,TBAranking!$A:$H,3,FALSE),0)),0))</f>
        <v>166</v>
      </c>
      <c r="P29" s="147">
        <f>INT(IFERROR(VLOOKUP($A29,TBAranking!$A:$O,6,FALSE)/(IFERROR(VLOOKUP($A29,TBAranking!$A:$H,3,FALSE),0)),0))</f>
        <v>30</v>
      </c>
      <c r="Q29" s="282">
        <f>INT(IFERROR(VLOOKUP($A29,TBAranking!$A:$O,7,FALSE)/(IFERROR(VLOOKUP($A29,TBAranking!$A:$H,3,FALSE),0)),0))</f>
        <v>45</v>
      </c>
      <c r="R29" s="84"/>
      <c r="S29" s="223">
        <v>21</v>
      </c>
      <c r="T29" s="220" t="str">
        <f t="shared" si="1"/>
        <v/>
      </c>
    </row>
    <row r="30" spans="1:20" s="37" customFormat="1" ht="15.75" thickBot="1">
      <c r="A30" s="214">
        <v>5746</v>
      </c>
      <c r="B30" s="153">
        <f>IFERROR(VLOOKUP($A30,TBAranking!$A:$H,3,FALSE),0)</f>
        <v>12</v>
      </c>
      <c r="C30" s="151">
        <f>IFERROR(VLOOKUP($A30,MatchPivot!$A:$R,3, FALSE), 0)</f>
        <v>0.9</v>
      </c>
      <c r="D30" s="123">
        <f>IFERROR(VLOOKUP($A30,MatchPivot!$A:$R,4, FALSE), 0)</f>
        <v>0.2</v>
      </c>
      <c r="E30" s="152">
        <f>IFERROR(VLOOKUP($A30,MatchPivot!$A:$R,5, FALSE), 0)</f>
        <v>0</v>
      </c>
      <c r="F30" s="151">
        <f>IFERROR(VLOOKUP($A30,MatchPivot!$A:$R,6, FALSE), 0)</f>
        <v>0.8</v>
      </c>
      <c r="G30" s="123">
        <f>IFERROR(VLOOKUP($A30,MatchPivot!$A:$R,7, FALSE), 0)</f>
        <v>0.4</v>
      </c>
      <c r="H30" s="123">
        <f>IFERROR(VLOOKUP($A30,MatchPivot!$A:$R,8, FALSE), 0)</f>
        <v>0.8</v>
      </c>
      <c r="I30" s="123">
        <f>IFERROR(VLOOKUP($A30,MatchPivot!$A:$R,9, FALSE), 0)</f>
        <v>2.5</v>
      </c>
      <c r="J30" s="152">
        <f>IFERROR(VLOOKUP($A30,MatchPivot!$A:$R,10, FALSE), 0)</f>
        <v>0.2</v>
      </c>
      <c r="K30" s="226">
        <f t="shared" si="0"/>
        <v>32.200000000000003</v>
      </c>
      <c r="L30" s="222">
        <f>IFERROR(VLOOKUP($A30,OPRs!$A:$B,2,FALSE),0)</f>
        <v>81.692607033571861</v>
      </c>
      <c r="M30" s="231">
        <f>IFERROR(VLOOKUP($A30,TBAranking!$A:$H,2,FALSE),"")</f>
        <v>26</v>
      </c>
      <c r="N30" s="146">
        <f>INT(IFERROR(VLOOKUP($A30,autoS!$A:$B,2,FALSE)/(IFERROR(VLOOKUP($A30,TBAranking!$A:$H,3,FALSE),0)),0))</f>
        <v>26</v>
      </c>
      <c r="O30" s="147">
        <f>INT(IFERROR(VLOOKUP($A30,TBAranking!$A:$O,5,FALSE)/(IFERROR(VLOOKUP($A30,TBAranking!$A:$H,3,FALSE),0)),0))</f>
        <v>184</v>
      </c>
      <c r="P30" s="147">
        <f>INT(IFERROR(VLOOKUP($A30,TBAranking!$A:$O,6,FALSE)/(IFERROR(VLOOKUP($A30,TBAranking!$A:$H,3,FALSE),0)),0))</f>
        <v>27</v>
      </c>
      <c r="Q30" s="282">
        <f>INT(IFERROR(VLOOKUP($A30,TBAranking!$A:$O,7,FALSE)/(IFERROR(VLOOKUP($A30,TBAranking!$A:$H,3,FALSE),0)),0))</f>
        <v>42</v>
      </c>
      <c r="R30" s="84"/>
      <c r="S30" s="223">
        <v>23</v>
      </c>
      <c r="T30" s="220" t="str">
        <f t="shared" si="1"/>
        <v/>
      </c>
    </row>
    <row r="31" spans="1:20" s="37" customFormat="1" ht="15.75" thickBot="1">
      <c r="A31" s="214">
        <v>6346</v>
      </c>
      <c r="B31" s="153">
        <f>IFERROR(VLOOKUP($A31,TBAranking!$A:$H,3,FALSE),0)</f>
        <v>12</v>
      </c>
      <c r="C31" s="151">
        <f>IFERROR(VLOOKUP($A31,MatchPivot!$A:$R,3, FALSE), 0)</f>
        <v>0.8571428571428571</v>
      </c>
      <c r="D31" s="123">
        <f>IFERROR(VLOOKUP($A31,MatchPivot!$A:$R,4, FALSE), 0)</f>
        <v>0.14285714285714285</v>
      </c>
      <c r="E31" s="152">
        <f>IFERROR(VLOOKUP($A31,MatchPivot!$A:$R,5, FALSE), 0)</f>
        <v>0</v>
      </c>
      <c r="F31" s="151">
        <f>IFERROR(VLOOKUP($A31,MatchPivot!$A:$R,6, FALSE), 0)</f>
        <v>0.5</v>
      </c>
      <c r="G31" s="123">
        <f>IFERROR(VLOOKUP($A31,MatchPivot!$A:$R,7, FALSE), 0)</f>
        <v>0.21428571428571427</v>
      </c>
      <c r="H31" s="123">
        <f>IFERROR(VLOOKUP($A31,MatchPivot!$A:$R,8, FALSE), 0)</f>
        <v>0.21428571428571427</v>
      </c>
      <c r="I31" s="123">
        <f>IFERROR(VLOOKUP($A31,MatchPivot!$A:$R,9, FALSE), 0)</f>
        <v>2.4285714285714284</v>
      </c>
      <c r="J31" s="152">
        <f>IFERROR(VLOOKUP($A31,MatchPivot!$A:$R,10, FALSE), 0)</f>
        <v>0.5</v>
      </c>
      <c r="K31" s="226">
        <f t="shared" si="0"/>
        <v>30.714285714285715</v>
      </c>
      <c r="L31" s="222">
        <f>IFERROR(VLOOKUP($A31,OPRs!$A:$B,2,FALSE),0)</f>
        <v>91.723949099689619</v>
      </c>
      <c r="M31" s="231">
        <f>IFERROR(VLOOKUP($A31,TBAranking!$A:$H,2,FALSE),"")</f>
        <v>18</v>
      </c>
      <c r="N31" s="146">
        <f>INT(IFERROR(VLOOKUP($A31,autoS!$A:$B,2,FALSE)/(IFERROR(VLOOKUP($A31,TBAranking!$A:$H,3,FALSE),0)),0))</f>
        <v>33</v>
      </c>
      <c r="O31" s="147">
        <f>INT(IFERROR(VLOOKUP($A31,TBAranking!$A:$O,5,FALSE)/(IFERROR(VLOOKUP($A31,TBAranking!$A:$H,3,FALSE),0)),0))</f>
        <v>186</v>
      </c>
      <c r="P31" s="147">
        <f>INT(IFERROR(VLOOKUP($A31,TBAranking!$A:$O,6,FALSE)/(IFERROR(VLOOKUP($A31,TBAranking!$A:$H,3,FALSE),0)),0))</f>
        <v>26</v>
      </c>
      <c r="Q31" s="282">
        <f>INT(IFERROR(VLOOKUP($A31,TBAranking!$A:$O,7,FALSE)/(IFERROR(VLOOKUP($A31,TBAranking!$A:$H,3,FALSE),0)),0))</f>
        <v>47</v>
      </c>
      <c r="R31" s="84"/>
      <c r="S31" s="223">
        <v>24</v>
      </c>
      <c r="T31" s="220" t="str">
        <f t="shared" si="1"/>
        <v/>
      </c>
    </row>
    <row r="32" spans="1:20" s="37" customFormat="1" ht="15.75" thickBot="1">
      <c r="A32" s="214">
        <v>1740</v>
      </c>
      <c r="B32" s="153">
        <f>IFERROR(VLOOKUP($A32,TBAranking!$A:$H,3,FALSE),0)</f>
        <v>12</v>
      </c>
      <c r="C32" s="151">
        <f>IFERROR(VLOOKUP($A32,MatchPivot!$A:$R,3, FALSE), 0)</f>
        <v>0.63636363636363635</v>
      </c>
      <c r="D32" s="123">
        <f>IFERROR(VLOOKUP($A32,MatchPivot!$A:$R,4, FALSE), 0)</f>
        <v>0</v>
      </c>
      <c r="E32" s="152">
        <f>IFERROR(VLOOKUP($A32,MatchPivot!$A:$R,5, FALSE), 0)</f>
        <v>0</v>
      </c>
      <c r="F32" s="151">
        <f>IFERROR(VLOOKUP($A32,MatchPivot!$A:$R,6, FALSE), 0)</f>
        <v>0.81818181818181823</v>
      </c>
      <c r="G32" s="123">
        <f>IFERROR(VLOOKUP($A32,MatchPivot!$A:$R,7, FALSE), 0)</f>
        <v>0.18181818181818182</v>
      </c>
      <c r="H32" s="123">
        <f>IFERROR(VLOOKUP($A32,MatchPivot!$A:$R,8, FALSE), 0)</f>
        <v>0.81818181818181823</v>
      </c>
      <c r="I32" s="123">
        <f>IFERROR(VLOOKUP($A32,MatchPivot!$A:$R,9, FALSE), 0)</f>
        <v>1.6363636363636365</v>
      </c>
      <c r="J32" s="152">
        <f>IFERROR(VLOOKUP($A32,MatchPivot!$A:$R,10, FALSE), 0)</f>
        <v>0.63636363636363635</v>
      </c>
      <c r="K32" s="226">
        <f t="shared" si="0"/>
        <v>28.727272727272727</v>
      </c>
      <c r="L32" s="222">
        <f>IFERROR(VLOOKUP($A32,OPRs!$A:$B,2,FALSE),0)</f>
        <v>139.47135026977202</v>
      </c>
      <c r="M32" s="231">
        <f>IFERROR(VLOOKUP($A32,TBAranking!$A:$H,2,FALSE),"")</f>
        <v>16</v>
      </c>
      <c r="N32" s="146">
        <f>INT(IFERROR(VLOOKUP($A32,autoS!$A:$B,2,FALSE)/(IFERROR(VLOOKUP($A32,TBAranking!$A:$H,3,FALSE),0)),0))</f>
        <v>26</v>
      </c>
      <c r="O32" s="147">
        <f>INT(IFERROR(VLOOKUP($A32,TBAranking!$A:$O,5,FALSE)/(IFERROR(VLOOKUP($A32,TBAranking!$A:$H,3,FALSE),0)),0))</f>
        <v>213</v>
      </c>
      <c r="P32" s="147">
        <f>INT(IFERROR(VLOOKUP($A32,TBAranking!$A:$O,6,FALSE)/(IFERROR(VLOOKUP($A32,TBAranking!$A:$H,3,FALSE),0)),0))</f>
        <v>23</v>
      </c>
      <c r="Q32" s="282">
        <f>INT(IFERROR(VLOOKUP($A32,TBAranking!$A:$O,7,FALSE)/(IFERROR(VLOOKUP($A32,TBAranking!$A:$H,3,FALSE),0)),0))</f>
        <v>62</v>
      </c>
      <c r="R32" s="226"/>
      <c r="S32" s="223">
        <v>28</v>
      </c>
      <c r="T32" s="220" t="str">
        <f t="shared" si="1"/>
        <v>NO</v>
      </c>
    </row>
    <row r="33" spans="1:20" s="37" customFormat="1" ht="15.75" thickBot="1">
      <c r="A33" s="214">
        <v>6895</v>
      </c>
      <c r="B33" s="153">
        <f>IFERROR(VLOOKUP($A33,TBAranking!$A:$H,3,FALSE),0)</f>
        <v>12</v>
      </c>
      <c r="C33" s="188">
        <f>IFERROR(VLOOKUP($A33,MatchPivot!$A:$R,3, FALSE), 0)</f>
        <v>1</v>
      </c>
      <c r="D33" s="189">
        <f>IFERROR(VLOOKUP($A33,MatchPivot!$A:$R,4, FALSE), 0)</f>
        <v>0</v>
      </c>
      <c r="E33" s="190">
        <f>IFERROR(VLOOKUP($A33,MatchPivot!$A:$R,5, FALSE), 0)</f>
        <v>0</v>
      </c>
      <c r="F33" s="188">
        <f>IFERROR(VLOOKUP($A33,MatchPivot!$A:$R,6, FALSE), 0)</f>
        <v>0.46153846153846156</v>
      </c>
      <c r="G33" s="189">
        <f>IFERROR(VLOOKUP($A33,MatchPivot!$A:$R,7, FALSE), 0)</f>
        <v>0.30769230769230771</v>
      </c>
      <c r="H33" s="189">
        <f>IFERROR(VLOOKUP($A33,MatchPivot!$A:$R,8, FALSE), 0)</f>
        <v>0</v>
      </c>
      <c r="I33" s="189">
        <f>IFERROR(VLOOKUP($A33,MatchPivot!$A:$R,9, FALSE), 0)</f>
        <v>0.84615384615384615</v>
      </c>
      <c r="J33" s="190">
        <f>IFERROR(VLOOKUP($A33,MatchPivot!$A:$R,10, FALSE), 0)</f>
        <v>0.46153846153846156</v>
      </c>
      <c r="K33" s="226">
        <f t="shared" si="0"/>
        <v>20.615384615384617</v>
      </c>
      <c r="L33" s="236">
        <f>IFERROR(VLOOKUP($A33,OPRs!$A:$B,2,FALSE),0)</f>
        <v>27.727870879234143</v>
      </c>
      <c r="M33" s="231">
        <f>IFERROR(VLOOKUP($A33,TBAranking!$A:$H,2,FALSE),"")</f>
        <v>37</v>
      </c>
      <c r="N33" s="146">
        <f>INT(IFERROR(VLOOKUP($A33,autoS!$A:$B,2,FALSE)/(IFERROR(VLOOKUP($A33,TBAranking!$A:$H,3,FALSE),0)),0))</f>
        <v>23</v>
      </c>
      <c r="O33" s="147">
        <f>INT(IFERROR(VLOOKUP($A33,TBAranking!$A:$O,5,FALSE)/(IFERROR(VLOOKUP($A33,TBAranking!$A:$H,3,FALSE),0)),0))</f>
        <v>136</v>
      </c>
      <c r="P33" s="147">
        <f>INT(IFERROR(VLOOKUP($A33,TBAranking!$A:$O,6,FALSE)/(IFERROR(VLOOKUP($A33,TBAranking!$A:$H,3,FALSE),0)),0))</f>
        <v>20</v>
      </c>
      <c r="Q33" s="282">
        <f>INT(IFERROR(VLOOKUP($A33,TBAranking!$A:$O,7,FALSE)/(IFERROR(VLOOKUP($A33,TBAranking!$A:$H,3,FALSE),0)),0))</f>
        <v>50</v>
      </c>
      <c r="R33" s="93"/>
      <c r="S33" s="224">
        <v>29</v>
      </c>
      <c r="T33" s="221" t="str">
        <f t="shared" si="1"/>
        <v>NO</v>
      </c>
    </row>
    <row r="34" spans="1:20" ht="15.75" thickBot="1">
      <c r="A34" s="214">
        <v>5142</v>
      </c>
      <c r="B34" s="153">
        <f>IFERROR(VLOOKUP($A34,TBAranking!$A:$H,3,FALSE),0)</f>
        <v>12</v>
      </c>
      <c r="C34" s="151">
        <f>IFERROR(VLOOKUP($A34,MatchPivot!$A:$R,3, FALSE), 0)</f>
        <v>0.83333333333333337</v>
      </c>
      <c r="D34" s="123">
        <f>IFERROR(VLOOKUP($A34,MatchPivot!$A:$R,4, FALSE), 0)</f>
        <v>0.16666666666666666</v>
      </c>
      <c r="E34" s="152">
        <f>IFERROR(VLOOKUP($A34,MatchPivot!$A:$R,5, FALSE), 0)</f>
        <v>0</v>
      </c>
      <c r="F34" s="151">
        <f>IFERROR(VLOOKUP($A34,MatchPivot!$A:$R,6, FALSE), 0)</f>
        <v>1.1666666666666667</v>
      </c>
      <c r="G34" s="123">
        <f>IFERROR(VLOOKUP($A34,MatchPivot!$A:$R,7, FALSE), 0)</f>
        <v>0.75</v>
      </c>
      <c r="H34" s="123">
        <f>IFERROR(VLOOKUP($A34,MatchPivot!$A:$R,8, FALSE), 0)</f>
        <v>0.58333333333333337</v>
      </c>
      <c r="I34" s="123">
        <f>IFERROR(VLOOKUP($A34,MatchPivot!$A:$R,9, FALSE), 0)</f>
        <v>1.75</v>
      </c>
      <c r="J34" s="152">
        <f>IFERROR(VLOOKUP($A34,MatchPivot!$A:$R,10, FALSE), 0)</f>
        <v>0.25</v>
      </c>
      <c r="K34" s="226">
        <f t="shared" si="0"/>
        <v>32</v>
      </c>
      <c r="L34" s="222">
        <f>IFERROR(VLOOKUP($A34,OPRs!$A:$B,2,FALSE),0)</f>
        <v>62.087372793613511</v>
      </c>
      <c r="M34" s="231">
        <f>IFERROR(VLOOKUP($A34,TBAranking!$A:$H,2,FALSE),"")</f>
        <v>33</v>
      </c>
      <c r="N34" s="146">
        <f>INT(IFERROR(VLOOKUP($A34,autoS!$A:$B,2,FALSE)/(IFERROR(VLOOKUP($A34,TBAranking!$A:$H,3,FALSE),0)),0))</f>
        <v>25</v>
      </c>
      <c r="O34" s="147">
        <f>INT(IFERROR(VLOOKUP($A34,TBAranking!$A:$O,5,FALSE)/(IFERROR(VLOOKUP($A34,TBAranking!$A:$H,3,FALSE),0)),0))</f>
        <v>172</v>
      </c>
      <c r="P34" s="147">
        <f>INT(IFERROR(VLOOKUP($A34,TBAranking!$A:$O,6,FALSE)/(IFERROR(VLOOKUP($A34,TBAranking!$A:$H,3,FALSE),0)),0))</f>
        <v>26</v>
      </c>
      <c r="Q34" s="282">
        <f>INT(IFERROR(VLOOKUP($A34,TBAranking!$A:$O,7,FALSE)/(IFERROR(VLOOKUP($A34,TBAranking!$A:$H,3,FALSE),0)),0))</f>
        <v>40</v>
      </c>
      <c r="R34" s="84"/>
      <c r="S34" s="223">
        <v>30</v>
      </c>
      <c r="T34" s="220" t="str">
        <f t="shared" si="1"/>
        <v>NO</v>
      </c>
    </row>
    <row r="35" spans="1:20" ht="15.75" thickBot="1">
      <c r="A35" s="214">
        <v>4987</v>
      </c>
      <c r="B35" s="153">
        <f>IFERROR(VLOOKUP($A35,TBAranking!$A:$H,3,FALSE),0)</f>
        <v>12</v>
      </c>
      <c r="C35" s="151">
        <f>IFERROR(VLOOKUP($A35,MatchPivot!$A:$R,3, FALSE), 0)</f>
        <v>1</v>
      </c>
      <c r="D35" s="123">
        <f>IFERROR(VLOOKUP($A35,MatchPivot!$A:$R,4, FALSE), 0)</f>
        <v>0</v>
      </c>
      <c r="E35" s="152">
        <f>IFERROR(VLOOKUP($A35,MatchPivot!$A:$R,5, FALSE), 0)</f>
        <v>0</v>
      </c>
      <c r="F35" s="151">
        <f>IFERROR(VLOOKUP($A35,MatchPivot!$A:$R,6, FALSE), 0)</f>
        <v>0.92307692307692313</v>
      </c>
      <c r="G35" s="123">
        <f>IFERROR(VLOOKUP($A35,MatchPivot!$A:$R,7, FALSE), 0)</f>
        <v>0.30769230769230771</v>
      </c>
      <c r="H35" s="123">
        <f>IFERROR(VLOOKUP($A35,MatchPivot!$A:$R,8, FALSE), 0)</f>
        <v>0</v>
      </c>
      <c r="I35" s="123">
        <f>IFERROR(VLOOKUP($A35,MatchPivot!$A:$R,9, FALSE), 0)</f>
        <v>1.4615384615384615</v>
      </c>
      <c r="J35" s="152">
        <f>IFERROR(VLOOKUP($A35,MatchPivot!$A:$R,10, FALSE), 0)</f>
        <v>0.46153846153846156</v>
      </c>
      <c r="K35" s="226">
        <f t="shared" si="0"/>
        <v>26</v>
      </c>
      <c r="L35" s="222">
        <f>IFERROR(VLOOKUP($A35,OPRs!$A:$B,2,FALSE),0)</f>
        <v>51.219339236546112</v>
      </c>
      <c r="M35" s="231">
        <f>IFERROR(VLOOKUP($A35,TBAranking!$A:$H,2,FALSE),"")</f>
        <v>34</v>
      </c>
      <c r="N35" s="146">
        <f>INT(IFERROR(VLOOKUP($A35,autoS!$A:$B,2,FALSE)/(IFERROR(VLOOKUP($A35,TBAranking!$A:$H,3,FALSE),0)),0))</f>
        <v>27</v>
      </c>
      <c r="O35" s="147">
        <f>INT(IFERROR(VLOOKUP($A35,TBAranking!$A:$O,5,FALSE)/(IFERROR(VLOOKUP($A35,TBAranking!$A:$H,3,FALSE),0)),0))</f>
        <v>151</v>
      </c>
      <c r="P35" s="147">
        <f>INT(IFERROR(VLOOKUP($A35,TBAranking!$A:$O,6,FALSE)/(IFERROR(VLOOKUP($A35,TBAranking!$A:$H,3,FALSE),0)),0))</f>
        <v>22</v>
      </c>
      <c r="Q35" s="282">
        <f>INT(IFERROR(VLOOKUP($A35,TBAranking!$A:$O,7,FALSE)/(IFERROR(VLOOKUP($A35,TBAranking!$A:$H,3,FALSE),0)),0))</f>
        <v>37</v>
      </c>
      <c r="R35" s="84"/>
      <c r="S35" s="223">
        <v>31</v>
      </c>
      <c r="T35" s="220" t="str">
        <f t="shared" si="1"/>
        <v>NO</v>
      </c>
    </row>
    <row r="36" spans="1:20" ht="15.75" thickBot="1">
      <c r="A36" s="214">
        <v>3182</v>
      </c>
      <c r="B36" s="153">
        <f>IFERROR(VLOOKUP($A36,TBAranking!$A:$H,3,FALSE),0)</f>
        <v>12</v>
      </c>
      <c r="C36" s="188">
        <f>IFERROR(VLOOKUP($A36,MatchPivot!$A:$R,3, FALSE), 0)</f>
        <v>1</v>
      </c>
      <c r="D36" s="189">
        <f>IFERROR(VLOOKUP($A36,MatchPivot!$A:$R,4, FALSE), 0)</f>
        <v>0.22222222222222221</v>
      </c>
      <c r="E36" s="190">
        <f>IFERROR(VLOOKUP($A36,MatchPivot!$A:$R,5, FALSE), 0)</f>
        <v>0</v>
      </c>
      <c r="F36" s="188">
        <f>IFERROR(VLOOKUP($A36,MatchPivot!$A:$R,6, FALSE), 0)</f>
        <v>2.1111111111111112</v>
      </c>
      <c r="G36" s="189">
        <f>IFERROR(VLOOKUP($A36,MatchPivot!$A:$R,7, FALSE), 0)</f>
        <v>0.1111111111111111</v>
      </c>
      <c r="H36" s="189">
        <f>IFERROR(VLOOKUP($A36,MatchPivot!$A:$R,8, FALSE), 0)</f>
        <v>0</v>
      </c>
      <c r="I36" s="189">
        <f>IFERROR(VLOOKUP($A36,MatchPivot!$A:$R,9, FALSE), 0)</f>
        <v>1.2222222222222223</v>
      </c>
      <c r="J36" s="190">
        <f>IFERROR(VLOOKUP($A36,MatchPivot!$A:$R,10, FALSE), 0)</f>
        <v>0.66666666666666663</v>
      </c>
      <c r="K36" s="226">
        <f t="shared" si="0"/>
        <v>35.777777777777771</v>
      </c>
      <c r="L36" s="236">
        <f>IFERROR(VLOOKUP($A36,OPRs!$A:$B,2,FALSE),0)</f>
        <v>92.343138694651316</v>
      </c>
      <c r="M36" s="231">
        <f>IFERROR(VLOOKUP($A36,TBAranking!$A:$H,2,FALSE),"")</f>
        <v>22</v>
      </c>
      <c r="N36" s="146">
        <f>INT(IFERROR(VLOOKUP($A36,autoS!$A:$B,2,FALSE)/(IFERROR(VLOOKUP($A36,TBAranking!$A:$H,3,FALSE),0)),0))</f>
        <v>26</v>
      </c>
      <c r="O36" s="147">
        <f>INT(IFERROR(VLOOKUP($A36,TBAranking!$A:$O,5,FALSE)/(IFERROR(VLOOKUP($A36,TBAranking!$A:$H,3,FALSE),0)),0))</f>
        <v>175</v>
      </c>
      <c r="P36" s="147">
        <f>INT(IFERROR(VLOOKUP($A36,TBAranking!$A:$O,6,FALSE)/(IFERROR(VLOOKUP($A36,TBAranking!$A:$H,3,FALSE),0)),0))</f>
        <v>25</v>
      </c>
      <c r="Q36" s="282">
        <f>INT(IFERROR(VLOOKUP($A36,TBAranking!$A:$O,7,FALSE)/(IFERROR(VLOOKUP($A36,TBAranking!$A:$H,3,FALSE),0)),0))</f>
        <v>53</v>
      </c>
      <c r="R36" s="93"/>
      <c r="S36" s="224">
        <v>32</v>
      </c>
      <c r="T36" s="221" t="str">
        <f t="shared" si="1"/>
        <v>NO</v>
      </c>
    </row>
    <row r="37" spans="1:20" ht="15.75" thickBot="1">
      <c r="A37" s="214">
        <v>6811</v>
      </c>
      <c r="B37" s="153">
        <f>IFERROR(VLOOKUP($A37,TBAranking!$A:$H,3,FALSE),0)</f>
        <v>12</v>
      </c>
      <c r="C37" s="151">
        <f>IFERROR(VLOOKUP($A37,MatchPivot!$A:$R,3, FALSE), 0)</f>
        <v>0.81818181818181823</v>
      </c>
      <c r="D37" s="123">
        <f>IFERROR(VLOOKUP($A37,MatchPivot!$A:$R,4, FALSE), 0)</f>
        <v>9.0909090909090912E-2</v>
      </c>
      <c r="E37" s="152">
        <f>IFERROR(VLOOKUP($A37,MatchPivot!$A:$R,5, FALSE), 0)</f>
        <v>0</v>
      </c>
      <c r="F37" s="151">
        <f>IFERROR(VLOOKUP($A37,MatchPivot!$A:$R,6, FALSE), 0)</f>
        <v>1.1818181818181819</v>
      </c>
      <c r="G37" s="123">
        <f>IFERROR(VLOOKUP($A37,MatchPivot!$A:$R,7, FALSE), 0)</f>
        <v>0.63636363636363635</v>
      </c>
      <c r="H37" s="123">
        <f>IFERROR(VLOOKUP($A37,MatchPivot!$A:$R,8, FALSE), 0)</f>
        <v>0</v>
      </c>
      <c r="I37" s="123">
        <f>IFERROR(VLOOKUP($A37,MatchPivot!$A:$R,9, FALSE), 0)</f>
        <v>1.8181818181818181</v>
      </c>
      <c r="J37" s="152">
        <f>IFERROR(VLOOKUP($A37,MatchPivot!$A:$R,10, FALSE), 0)</f>
        <v>0.36363636363636365</v>
      </c>
      <c r="K37" s="226">
        <f t="shared" si="0"/>
        <v>30.36363636363636</v>
      </c>
      <c r="L37" s="222">
        <f>IFERROR(VLOOKUP($A37,OPRs!$A:$B,2,FALSE),0)</f>
        <v>32.677119451182477</v>
      </c>
      <c r="M37" s="231">
        <f>IFERROR(VLOOKUP($A37,TBAranking!$A:$H,2,FALSE),"")</f>
        <v>38</v>
      </c>
      <c r="N37" s="146">
        <f>INT(IFERROR(VLOOKUP($A37,autoS!$A:$B,2,FALSE)/(IFERROR(VLOOKUP($A37,TBAranking!$A:$H,3,FALSE),0)),0))</f>
        <v>23</v>
      </c>
      <c r="O37" s="147">
        <f>INT(IFERROR(VLOOKUP($A37,TBAranking!$A:$O,5,FALSE)/(IFERROR(VLOOKUP($A37,TBAranking!$A:$H,3,FALSE),0)),0))</f>
        <v>109</v>
      </c>
      <c r="P37" s="147">
        <f>INT(IFERROR(VLOOKUP($A37,TBAranking!$A:$O,6,FALSE)/(IFERROR(VLOOKUP($A37,TBAranking!$A:$H,3,FALSE),0)),0))</f>
        <v>24</v>
      </c>
      <c r="Q37" s="282">
        <f>INT(IFERROR(VLOOKUP($A37,TBAranking!$A:$O,7,FALSE)/(IFERROR(VLOOKUP($A37,TBAranking!$A:$H,3,FALSE),0)),0))</f>
        <v>40</v>
      </c>
      <c r="R37" s="84"/>
      <c r="S37" s="223">
        <v>33</v>
      </c>
      <c r="T37" s="220" t="str">
        <f t="shared" si="1"/>
        <v>NO</v>
      </c>
    </row>
    <row r="38" spans="1:20" ht="15.75" thickBot="1">
      <c r="A38" s="214">
        <v>7127</v>
      </c>
      <c r="B38" s="153">
        <f>IFERROR(VLOOKUP($A38,TBAranking!$A:$H,3,FALSE),0)</f>
        <v>12</v>
      </c>
      <c r="C38" s="151">
        <f>IFERROR(VLOOKUP($A38,MatchPivot!$A:$R,3, FALSE), 0)</f>
        <v>0.77777777777777779</v>
      </c>
      <c r="D38" s="123">
        <f>IFERROR(VLOOKUP($A38,MatchPivot!$A:$R,4, FALSE), 0)</f>
        <v>0.22222222222222221</v>
      </c>
      <c r="E38" s="152">
        <f>IFERROR(VLOOKUP($A38,MatchPivot!$A:$R,5, FALSE), 0)</f>
        <v>0</v>
      </c>
      <c r="F38" s="151">
        <f>IFERROR(VLOOKUP($A38,MatchPivot!$A:$R,6, FALSE), 0)</f>
        <v>0.33333333333333331</v>
      </c>
      <c r="G38" s="123">
        <f>IFERROR(VLOOKUP($A38,MatchPivot!$A:$R,7, FALSE), 0)</f>
        <v>2</v>
      </c>
      <c r="H38" s="123">
        <f>IFERROR(VLOOKUP($A38,MatchPivot!$A:$R,8, FALSE), 0)</f>
        <v>0.44444444444444442</v>
      </c>
      <c r="I38" s="123">
        <f>IFERROR(VLOOKUP($A38,MatchPivot!$A:$R,9, FALSE), 0)</f>
        <v>1.3333333333333333</v>
      </c>
      <c r="J38" s="152">
        <f>IFERROR(VLOOKUP($A38,MatchPivot!$A:$R,10, FALSE), 0)</f>
        <v>0.1111111111111111</v>
      </c>
      <c r="K38" s="226">
        <f t="shared" si="0"/>
        <v>32.55555555555555</v>
      </c>
      <c r="L38" s="222">
        <f>IFERROR(VLOOKUP($A38,OPRs!$A:$B,2,FALSE),0)</f>
        <v>97.355987560020239</v>
      </c>
      <c r="M38" s="231">
        <f>IFERROR(VLOOKUP($A38,TBAranking!$A:$H,2,FALSE),"")</f>
        <v>13</v>
      </c>
      <c r="N38" s="146">
        <f>INT(IFERROR(VLOOKUP($A38,autoS!$A:$B,2,FALSE)/(IFERROR(VLOOKUP($A38,TBAranking!$A:$H,3,FALSE),0)),0))</f>
        <v>31</v>
      </c>
      <c r="O38" s="147">
        <f>INT(IFERROR(VLOOKUP($A38,TBAranking!$A:$O,5,FALSE)/(IFERROR(VLOOKUP($A38,TBAranking!$A:$H,3,FALSE),0)),0))</f>
        <v>210</v>
      </c>
      <c r="P38" s="147">
        <f>INT(IFERROR(VLOOKUP($A38,TBAranking!$A:$O,6,FALSE)/(IFERROR(VLOOKUP($A38,TBAranking!$A:$H,3,FALSE),0)),0))</f>
        <v>31</v>
      </c>
      <c r="Q38" s="282">
        <f>INT(IFERROR(VLOOKUP($A38,TBAranking!$A:$O,7,FALSE)/(IFERROR(VLOOKUP($A38,TBAranking!$A:$H,3,FALSE),0)),0))</f>
        <v>48</v>
      </c>
      <c r="R38" s="84"/>
      <c r="S38" s="223">
        <v>34</v>
      </c>
      <c r="T38" s="220" t="str">
        <f t="shared" si="1"/>
        <v>NO</v>
      </c>
    </row>
    <row r="39" spans="1:20" ht="15.75" thickBot="1">
      <c r="A39" s="214">
        <v>3634</v>
      </c>
      <c r="B39" s="153">
        <f>IFERROR(VLOOKUP($A39,TBAranking!$A:$H,3,FALSE),0)</f>
        <v>12</v>
      </c>
      <c r="C39" s="188">
        <f>IFERROR(VLOOKUP($A39,MatchPivot!$A:$R,3, FALSE), 0)</f>
        <v>0.9</v>
      </c>
      <c r="D39" s="189">
        <f>IFERROR(VLOOKUP($A39,MatchPivot!$A:$R,4, FALSE), 0)</f>
        <v>0</v>
      </c>
      <c r="E39" s="190">
        <f>IFERROR(VLOOKUP($A39,MatchPivot!$A:$R,5, FALSE), 0)</f>
        <v>0</v>
      </c>
      <c r="F39" s="188">
        <f>IFERROR(VLOOKUP($A39,MatchPivot!$A:$R,6, FALSE), 0)</f>
        <v>0.3</v>
      </c>
      <c r="G39" s="189">
        <f>IFERROR(VLOOKUP($A39,MatchPivot!$A:$R,7, FALSE), 0)</f>
        <v>0</v>
      </c>
      <c r="H39" s="189">
        <f>IFERROR(VLOOKUP($A39,MatchPivot!$A:$R,8, FALSE), 0)</f>
        <v>0.3</v>
      </c>
      <c r="I39" s="189">
        <f>IFERROR(VLOOKUP($A39,MatchPivot!$A:$R,9, FALSE), 0)</f>
        <v>1.2</v>
      </c>
      <c r="J39" s="190">
        <f>IFERROR(VLOOKUP($A39,MatchPivot!$A:$R,10, FALSE), 0)</f>
        <v>0.4</v>
      </c>
      <c r="K39" s="226">
        <f t="shared" si="0"/>
        <v>18.899999999999999</v>
      </c>
      <c r="L39" s="236">
        <f>IFERROR(VLOOKUP($A39,OPRs!$A:$B,2,FALSE),0)</f>
        <v>31.189296330722499</v>
      </c>
      <c r="M39" s="231">
        <f>IFERROR(VLOOKUP($A39,TBAranking!$A:$H,2,FALSE),"")</f>
        <v>27</v>
      </c>
      <c r="N39" s="146">
        <f>INT(IFERROR(VLOOKUP($A39,autoS!$A:$B,2,FALSE)/(IFERROR(VLOOKUP($A39,TBAranking!$A:$H,3,FALSE),0)),0))</f>
        <v>27</v>
      </c>
      <c r="O39" s="147">
        <f>INT(IFERROR(VLOOKUP($A39,TBAranking!$A:$O,5,FALSE)/(IFERROR(VLOOKUP($A39,TBAranking!$A:$H,3,FALSE),0)),0))</f>
        <v>149</v>
      </c>
      <c r="P39" s="147">
        <f>INT(IFERROR(VLOOKUP($A39,TBAranking!$A:$O,6,FALSE)/(IFERROR(VLOOKUP($A39,TBAranking!$A:$H,3,FALSE),0)),0))</f>
        <v>23</v>
      </c>
      <c r="Q39" s="282">
        <f>INT(IFERROR(VLOOKUP($A39,TBAranking!$A:$O,7,FALSE)/(IFERROR(VLOOKUP($A39,TBAranking!$A:$H,3,FALSE),0)),0))</f>
        <v>45</v>
      </c>
      <c r="R39" s="93"/>
      <c r="S39" s="224">
        <v>35</v>
      </c>
      <c r="T39" s="221" t="str">
        <f t="shared" si="1"/>
        <v>NO</v>
      </c>
    </row>
    <row r="40" spans="1:20" ht="15.75" thickBot="1">
      <c r="A40" s="214">
        <v>1973</v>
      </c>
      <c r="B40" s="153">
        <f>IFERROR(VLOOKUP($A40,TBAranking!$A:$H,3,FALSE),0)</f>
        <v>12</v>
      </c>
      <c r="C40" s="151">
        <f>IFERROR(VLOOKUP($A40,MatchPivot!$A:$R,3, FALSE), 0)</f>
        <v>0.9</v>
      </c>
      <c r="D40" s="123">
        <f>IFERROR(VLOOKUP($A40,MatchPivot!$A:$R,4, FALSE), 0)</f>
        <v>0</v>
      </c>
      <c r="E40" s="152">
        <f>IFERROR(VLOOKUP($A40,MatchPivot!$A:$R,5, FALSE), 0)</f>
        <v>0</v>
      </c>
      <c r="F40" s="151">
        <f>IFERROR(VLOOKUP($A40,MatchPivot!$A:$R,6, FALSE), 0)</f>
        <v>0.3</v>
      </c>
      <c r="G40" s="123">
        <f>IFERROR(VLOOKUP($A40,MatchPivot!$A:$R,7, FALSE), 0)</f>
        <v>0.2</v>
      </c>
      <c r="H40" s="123">
        <f>IFERROR(VLOOKUP($A40,MatchPivot!$A:$R,8, FALSE), 0)</f>
        <v>0</v>
      </c>
      <c r="I40" s="123">
        <f>IFERROR(VLOOKUP($A40,MatchPivot!$A:$R,9, FALSE), 0)</f>
        <v>0.8</v>
      </c>
      <c r="J40" s="152">
        <f>IFERROR(VLOOKUP($A40,MatchPivot!$A:$R,10, FALSE), 0)</f>
        <v>0.5</v>
      </c>
      <c r="K40" s="226">
        <f t="shared" si="0"/>
        <v>18.899999999999999</v>
      </c>
      <c r="L40" s="222">
        <f>IFERROR(VLOOKUP($A40,OPRs!$A:$B,2,FALSE),0)</f>
        <v>53.800881659179254</v>
      </c>
      <c r="M40" s="231">
        <f>IFERROR(VLOOKUP($A40,TBAranking!$A:$H,2,FALSE),"")</f>
        <v>41</v>
      </c>
      <c r="N40" s="146">
        <f>INT(IFERROR(VLOOKUP($A40,autoS!$A:$B,2,FALSE)/(IFERROR(VLOOKUP($A40,TBAranking!$A:$H,3,FALSE),0)),0))</f>
        <v>21</v>
      </c>
      <c r="O40" s="147">
        <f>INT(IFERROR(VLOOKUP($A40,TBAranking!$A:$O,5,FALSE)/(IFERROR(VLOOKUP($A40,TBAranking!$A:$H,3,FALSE),0)),0))</f>
        <v>124</v>
      </c>
      <c r="P40" s="147">
        <f>INT(IFERROR(VLOOKUP($A40,TBAranking!$A:$O,6,FALSE)/(IFERROR(VLOOKUP($A40,TBAranking!$A:$H,3,FALSE),0)),0))</f>
        <v>20</v>
      </c>
      <c r="Q40" s="282">
        <f>INT(IFERROR(VLOOKUP($A40,TBAranking!$A:$O,7,FALSE)/(IFERROR(VLOOKUP($A40,TBAranking!$A:$H,3,FALSE),0)),0))</f>
        <v>41</v>
      </c>
      <c r="R40" s="226"/>
      <c r="S40" s="223">
        <v>36</v>
      </c>
      <c r="T40" s="220" t="str">
        <f t="shared" si="1"/>
        <v>NO</v>
      </c>
    </row>
    <row r="41" spans="1:20" ht="15.75" thickBot="1">
      <c r="A41" s="214">
        <v>2785</v>
      </c>
      <c r="B41" s="153">
        <f>IFERROR(VLOOKUP($A41,TBAranking!$A:$H,3,FALSE),0)</f>
        <v>12</v>
      </c>
      <c r="C41" s="151">
        <f>IFERROR(VLOOKUP($A41,MatchPivot!$A:$R,3, FALSE), 0)</f>
        <v>1</v>
      </c>
      <c r="D41" s="123">
        <f>IFERROR(VLOOKUP($A41,MatchPivot!$A:$R,4, FALSE), 0)</f>
        <v>0</v>
      </c>
      <c r="E41" s="152">
        <f>IFERROR(VLOOKUP($A41,MatchPivot!$A:$R,5, FALSE), 0)</f>
        <v>0</v>
      </c>
      <c r="F41" s="151">
        <f>IFERROR(VLOOKUP($A41,MatchPivot!$A:$R,6, FALSE), 0)</f>
        <v>0.44444444444444442</v>
      </c>
      <c r="G41" s="123">
        <f>IFERROR(VLOOKUP($A41,MatchPivot!$A:$R,7, FALSE), 0)</f>
        <v>0.1111111111111111</v>
      </c>
      <c r="H41" s="123">
        <f>IFERROR(VLOOKUP($A41,MatchPivot!$A:$R,8, FALSE), 0)</f>
        <v>0</v>
      </c>
      <c r="I41" s="123">
        <f>IFERROR(VLOOKUP($A41,MatchPivot!$A:$R,9, FALSE), 0)</f>
        <v>2</v>
      </c>
      <c r="J41" s="152">
        <f>IFERROR(VLOOKUP($A41,MatchPivot!$A:$R,10, FALSE), 0)</f>
        <v>0.44444444444444442</v>
      </c>
      <c r="K41" s="226">
        <f t="shared" si="0"/>
        <v>24.666666666666664</v>
      </c>
      <c r="L41" s="222">
        <f>IFERROR(VLOOKUP($A41,OPRs!$A:$B,2,FALSE),0)</f>
        <v>60.199625631851021</v>
      </c>
      <c r="M41" s="231">
        <f>IFERROR(VLOOKUP($A41,TBAranking!$A:$H,2,FALSE),"")</f>
        <v>29</v>
      </c>
      <c r="N41" s="146">
        <f>INT(IFERROR(VLOOKUP($A41,autoS!$A:$B,2,FALSE)/(IFERROR(VLOOKUP($A41,TBAranking!$A:$H,3,FALSE),0)),0))</f>
        <v>25</v>
      </c>
      <c r="O41" s="147">
        <f>INT(IFERROR(VLOOKUP($A41,TBAranking!$A:$O,5,FALSE)/(IFERROR(VLOOKUP($A41,TBAranking!$A:$H,3,FALSE),0)),0))</f>
        <v>149</v>
      </c>
      <c r="P41" s="147">
        <f>INT(IFERROR(VLOOKUP($A41,TBAranking!$A:$O,6,FALSE)/(IFERROR(VLOOKUP($A41,TBAranking!$A:$H,3,FALSE),0)),0))</f>
        <v>26</v>
      </c>
      <c r="Q41" s="282">
        <f>INT(IFERROR(VLOOKUP($A41,TBAranking!$A:$O,7,FALSE)/(IFERROR(VLOOKUP($A41,TBAranking!$A:$H,3,FALSE),0)),0))</f>
        <v>50</v>
      </c>
      <c r="R41" s="226"/>
      <c r="S41" s="223">
        <v>37</v>
      </c>
      <c r="T41" s="220" t="str">
        <f t="shared" si="1"/>
        <v>NO</v>
      </c>
    </row>
    <row r="42" spans="1:20" ht="15.75" thickBot="1">
      <c r="A42" s="214">
        <v>6812</v>
      </c>
      <c r="B42" s="153">
        <f>IFERROR(VLOOKUP($A42,TBAranking!$A:$H,3,FALSE),0)</f>
        <v>12</v>
      </c>
      <c r="C42" s="188">
        <f>IFERROR(VLOOKUP($A42,MatchPivot!$A:$R,3, FALSE), 0)</f>
        <v>0.5714285714285714</v>
      </c>
      <c r="D42" s="189">
        <f>IFERROR(VLOOKUP($A42,MatchPivot!$A:$R,4, FALSE), 0)</f>
        <v>0</v>
      </c>
      <c r="E42" s="190">
        <f>IFERROR(VLOOKUP($A42,MatchPivot!$A:$R,5, FALSE), 0)</f>
        <v>0</v>
      </c>
      <c r="F42" s="188">
        <f>IFERROR(VLOOKUP($A42,MatchPivot!$A:$R,6, FALSE), 0)</f>
        <v>0</v>
      </c>
      <c r="G42" s="189">
        <f>IFERROR(VLOOKUP($A42,MatchPivot!$A:$R,7, FALSE), 0)</f>
        <v>0</v>
      </c>
      <c r="H42" s="189">
        <f>IFERROR(VLOOKUP($A42,MatchPivot!$A:$R,8, FALSE), 0)</f>
        <v>0</v>
      </c>
      <c r="I42" s="189">
        <f>IFERROR(VLOOKUP($A42,MatchPivot!$A:$R,9, FALSE), 0)</f>
        <v>0.7142857142857143</v>
      </c>
      <c r="J42" s="190">
        <f>IFERROR(VLOOKUP($A42,MatchPivot!$A:$R,10, FALSE), 0)</f>
        <v>0.5714285714285714</v>
      </c>
      <c r="K42" s="226">
        <f t="shared" si="0"/>
        <v>15</v>
      </c>
      <c r="L42" s="236">
        <f>IFERROR(VLOOKUP($A42,OPRs!$A:$B,2,FALSE),0)</f>
        <v>43.869824843514799</v>
      </c>
      <c r="M42" s="231">
        <f>IFERROR(VLOOKUP($A42,TBAranking!$A:$H,2,FALSE),"")</f>
        <v>35</v>
      </c>
      <c r="N42" s="146">
        <f>INT(IFERROR(VLOOKUP($A42,autoS!$A:$B,2,FALSE)/(IFERROR(VLOOKUP($A42,TBAranking!$A:$H,3,FALSE),0)),0))</f>
        <v>23</v>
      </c>
      <c r="O42" s="147">
        <f>INT(IFERROR(VLOOKUP($A42,TBAranking!$A:$O,5,FALSE)/(IFERROR(VLOOKUP($A42,TBAranking!$A:$H,3,FALSE),0)),0))</f>
        <v>144</v>
      </c>
      <c r="P42" s="147">
        <f>INT(IFERROR(VLOOKUP($A42,TBAranking!$A:$O,6,FALSE)/(IFERROR(VLOOKUP($A42,TBAranking!$A:$H,3,FALSE),0)),0))</f>
        <v>19</v>
      </c>
      <c r="Q42" s="282">
        <f>INT(IFERROR(VLOOKUP($A42,TBAranking!$A:$O,7,FALSE)/(IFERROR(VLOOKUP($A42,TBAranking!$A:$H,3,FALSE),0)),0))</f>
        <v>39</v>
      </c>
      <c r="R42" s="93"/>
      <c r="S42" s="224">
        <v>38</v>
      </c>
      <c r="T42" s="221" t="str">
        <f t="shared" si="1"/>
        <v>NO</v>
      </c>
    </row>
    <row r="43" spans="1:20" ht="15.75" thickBot="1">
      <c r="A43" s="214">
        <v>6333</v>
      </c>
      <c r="B43" s="153">
        <f>IFERROR(VLOOKUP($A43,TBAranking!$A:$H,3,FALSE),0)</f>
        <v>12</v>
      </c>
      <c r="C43" s="151">
        <f>IFERROR(VLOOKUP($A43,MatchPivot!$A:$R,3, FALSE), 0)</f>
        <v>0.90909090909090906</v>
      </c>
      <c r="D43" s="123">
        <f>IFERROR(VLOOKUP($A43,MatchPivot!$A:$R,4, FALSE), 0)</f>
        <v>9.0909090909090912E-2</v>
      </c>
      <c r="E43" s="152">
        <f>IFERROR(VLOOKUP($A43,MatchPivot!$A:$R,5, FALSE), 0)</f>
        <v>0</v>
      </c>
      <c r="F43" s="151">
        <f>IFERROR(VLOOKUP($A43,MatchPivot!$A:$R,6, FALSE), 0)</f>
        <v>0.72727272727272729</v>
      </c>
      <c r="G43" s="123">
        <f>IFERROR(VLOOKUP($A43,MatchPivot!$A:$R,7, FALSE), 0)</f>
        <v>0.27272727272727271</v>
      </c>
      <c r="H43" s="123">
        <f>IFERROR(VLOOKUP($A43,MatchPivot!$A:$R,8, FALSE), 0)</f>
        <v>0.18181818181818182</v>
      </c>
      <c r="I43" s="123">
        <f>IFERROR(VLOOKUP($A43,MatchPivot!$A:$R,9, FALSE), 0)</f>
        <v>0.81818181818181823</v>
      </c>
      <c r="J43" s="152">
        <f>IFERROR(VLOOKUP($A43,MatchPivot!$A:$R,10, FALSE), 0)</f>
        <v>0.36363636363636365</v>
      </c>
      <c r="K43" s="226">
        <f t="shared" si="0"/>
        <v>21.545454545454547</v>
      </c>
      <c r="L43" s="222">
        <f>IFERROR(VLOOKUP($A43,OPRs!$A:$B,2,FALSE),0)</f>
        <v>29.648154699228321</v>
      </c>
      <c r="M43" s="231">
        <f>IFERROR(VLOOKUP($A43,TBAranking!$A:$H,2,FALSE),"")</f>
        <v>40</v>
      </c>
      <c r="N43" s="146">
        <f>INT(IFERROR(VLOOKUP($A43,autoS!$A:$B,2,FALSE)/(IFERROR(VLOOKUP($A43,TBAranking!$A:$H,3,FALSE),0)),0))</f>
        <v>27</v>
      </c>
      <c r="O43" s="147">
        <f>INT(IFERROR(VLOOKUP($A43,TBAranking!$A:$O,5,FALSE)/(IFERROR(VLOOKUP($A43,TBAranking!$A:$H,3,FALSE),0)),0))</f>
        <v>147</v>
      </c>
      <c r="P43" s="147">
        <f>INT(IFERROR(VLOOKUP($A43,TBAranking!$A:$O,6,FALSE)/(IFERROR(VLOOKUP($A43,TBAranking!$A:$H,3,FALSE),0)),0))</f>
        <v>24</v>
      </c>
      <c r="Q43" s="282">
        <f>INT(IFERROR(VLOOKUP($A43,TBAranking!$A:$O,7,FALSE)/(IFERROR(VLOOKUP($A43,TBAranking!$A:$H,3,FALSE),0)),0))</f>
        <v>44</v>
      </c>
      <c r="R43" s="84"/>
      <c r="S43" s="223">
        <v>40</v>
      </c>
      <c r="T43" s="220" t="str">
        <f t="shared" si="1"/>
        <v>NO</v>
      </c>
    </row>
    <row r="44" spans="1:20" ht="15.75" thickBot="1">
      <c r="A44" s="214">
        <v>1085</v>
      </c>
      <c r="B44" s="153">
        <f>IFERROR(VLOOKUP($A44,TBAranking!$A:$H,3,FALSE),0)</f>
        <v>12</v>
      </c>
      <c r="C44" s="151">
        <f>IFERROR(VLOOKUP($A44,MatchPivot!$A:$R,3, FALSE), 0)</f>
        <v>0.7142857142857143</v>
      </c>
      <c r="D44" s="123">
        <f>IFERROR(VLOOKUP($A44,MatchPivot!$A:$R,4, FALSE), 0)</f>
        <v>0</v>
      </c>
      <c r="E44" s="152">
        <f>IFERROR(VLOOKUP($A44,MatchPivot!$A:$R,5, FALSE), 0)</f>
        <v>0</v>
      </c>
      <c r="F44" s="151">
        <f>IFERROR(VLOOKUP($A44,MatchPivot!$A:$R,6, FALSE), 0)</f>
        <v>0.21428571428571427</v>
      </c>
      <c r="G44" s="123">
        <f>IFERROR(VLOOKUP($A44,MatchPivot!$A:$R,7, FALSE), 0)</f>
        <v>0.21428571428571427</v>
      </c>
      <c r="H44" s="123">
        <f>IFERROR(VLOOKUP($A44,MatchPivot!$A:$R,8, FALSE), 0)</f>
        <v>0</v>
      </c>
      <c r="I44" s="123">
        <f>IFERROR(VLOOKUP($A44,MatchPivot!$A:$R,9, FALSE), 0)</f>
        <v>0.35714285714285715</v>
      </c>
      <c r="J44" s="152">
        <f>IFERROR(VLOOKUP($A44,MatchPivot!$A:$R,10, FALSE), 0)</f>
        <v>0.5</v>
      </c>
      <c r="K44" s="226">
        <f t="shared" si="0"/>
        <v>15.428571428571429</v>
      </c>
      <c r="L44" s="222">
        <f>IFERROR(VLOOKUP($A44,OPRs!$A:$B,2,FALSE),0)</f>
        <v>81.957129559190179</v>
      </c>
      <c r="M44" s="231">
        <f>IFERROR(VLOOKUP($A44,TBAranking!$A:$H,2,FALSE),"")</f>
        <v>30</v>
      </c>
      <c r="N44" s="146">
        <f>INT(IFERROR(VLOOKUP($A44,autoS!$A:$B,2,FALSE)/(IFERROR(VLOOKUP($A44,TBAranking!$A:$H,3,FALSE),0)),0))</f>
        <v>28</v>
      </c>
      <c r="O44" s="147">
        <f>INT(IFERROR(VLOOKUP($A44,TBAranking!$A:$O,5,FALSE)/(IFERROR(VLOOKUP($A44,TBAranking!$A:$H,3,FALSE),0)),0))</f>
        <v>187</v>
      </c>
      <c r="P44" s="147">
        <f>INT(IFERROR(VLOOKUP($A44,TBAranking!$A:$O,6,FALSE)/(IFERROR(VLOOKUP($A44,TBAranking!$A:$H,3,FALSE),0)),0))</f>
        <v>22</v>
      </c>
      <c r="Q44" s="282">
        <f>INT(IFERROR(VLOOKUP($A44,TBAranking!$A:$O,7,FALSE)/(IFERROR(VLOOKUP($A44,TBAranking!$A:$H,3,FALSE),0)),0))</f>
        <v>45</v>
      </c>
      <c r="R44" s="226"/>
      <c r="S44" s="223">
        <v>41</v>
      </c>
      <c r="T44" s="220" t="str">
        <f t="shared" si="1"/>
        <v>NO</v>
      </c>
    </row>
    <row r="45" spans="1:20" ht="15.75" thickBot="1">
      <c r="A45" s="214">
        <v>1124</v>
      </c>
      <c r="B45" s="153">
        <f>IFERROR(VLOOKUP($A45,TBAranking!$A:$H,3,FALSE),0)</f>
        <v>0</v>
      </c>
      <c r="C45" s="188">
        <f>IFERROR(VLOOKUP($A45,MatchPivot!$A:$R,3, FALSE), 0)</f>
        <v>0</v>
      </c>
      <c r="D45" s="189">
        <f>IFERROR(VLOOKUP($A45,MatchPivot!$A:$R,4, FALSE), 0)</f>
        <v>0</v>
      </c>
      <c r="E45" s="190">
        <f>IFERROR(VLOOKUP($A45,MatchPivot!$A:$R,5, FALSE), 0)</f>
        <v>0</v>
      </c>
      <c r="F45" s="188">
        <f>IFERROR(VLOOKUP($A45,MatchPivot!$A:$R,6, FALSE), 0)</f>
        <v>0</v>
      </c>
      <c r="G45" s="189">
        <f>IFERROR(VLOOKUP($A45,MatchPivot!$A:$R,7, FALSE), 0)</f>
        <v>0</v>
      </c>
      <c r="H45" s="189">
        <f>IFERROR(VLOOKUP($A45,MatchPivot!$A:$R,8, FALSE), 0)</f>
        <v>0</v>
      </c>
      <c r="I45" s="189">
        <f>IFERROR(VLOOKUP($A45,MatchPivot!$A:$R,9, FALSE), 0)</f>
        <v>0</v>
      </c>
      <c r="J45" s="190">
        <f>IFERROR(VLOOKUP($A45,MatchPivot!$A:$R,10, FALSE), 0)</f>
        <v>0</v>
      </c>
      <c r="K45" s="226">
        <f t="shared" si="0"/>
        <v>0</v>
      </c>
      <c r="L45" s="236">
        <f>IFERROR(VLOOKUP($A45,OPRs!$A:$B,2,FALSE),0)</f>
        <v>51.223877775189429</v>
      </c>
      <c r="M45" s="231" t="str">
        <f>IFERROR(VLOOKUP($A45,TBAranking!$A:$H,2,FALSE),"")</f>
        <v/>
      </c>
      <c r="N45" s="146">
        <f>INT(IFERROR(VLOOKUP($A45,autoS!$A:$B,2,FALSE)/(IFERROR(VLOOKUP($A45,TBAranking!$A:$H,3,FALSE),0)),0))</f>
        <v>0</v>
      </c>
      <c r="O45" s="147">
        <f>INT(IFERROR(VLOOKUP($A45,TBAranking!$A:$O,5,FALSE)/(IFERROR(VLOOKUP($A45,TBAranking!$A:$H,3,FALSE),0)),0))</f>
        <v>0</v>
      </c>
      <c r="P45" s="147">
        <f>INT(IFERROR(VLOOKUP($A45,TBAranking!$A:$O,6,FALSE)/(IFERROR(VLOOKUP($A45,TBAranking!$A:$H,3,FALSE),0)),0))</f>
        <v>0</v>
      </c>
      <c r="Q45" s="282">
        <f>INT(IFERROR(VLOOKUP($A45,TBAranking!$A:$O,7,FALSE)/(IFERROR(VLOOKUP($A45,TBAranking!$A:$H,3,FALSE),0)),0))</f>
        <v>0</v>
      </c>
      <c r="R45" s="281"/>
      <c r="S45" s="224"/>
      <c r="T45" s="221" t="str">
        <f t="shared" si="1"/>
        <v/>
      </c>
    </row>
    <row r="46" spans="1:20" ht="15.75" thickBot="1">
      <c r="A46" s="214">
        <v>3104</v>
      </c>
      <c r="B46" s="153">
        <f>IFERROR(VLOOKUP($A46,TBAranking!$A:$H,3,FALSE),0)</f>
        <v>0</v>
      </c>
      <c r="C46" s="188">
        <f>IFERROR(VLOOKUP($A46,MatchPivot!$A:$R,3, FALSE), 0)</f>
        <v>0</v>
      </c>
      <c r="D46" s="189">
        <f>IFERROR(VLOOKUP($A46,MatchPivot!$A:$R,4, FALSE), 0)</f>
        <v>0</v>
      </c>
      <c r="E46" s="190">
        <f>IFERROR(VLOOKUP($A46,MatchPivot!$A:$R,5, FALSE), 0)</f>
        <v>0</v>
      </c>
      <c r="F46" s="188">
        <f>IFERROR(VLOOKUP($A46,MatchPivot!$A:$R,6, FALSE), 0)</f>
        <v>0</v>
      </c>
      <c r="G46" s="189">
        <f>IFERROR(VLOOKUP($A46,MatchPivot!$A:$R,7, FALSE), 0)</f>
        <v>0</v>
      </c>
      <c r="H46" s="189">
        <f>IFERROR(VLOOKUP($A46,MatchPivot!$A:$R,8, FALSE), 0)</f>
        <v>0</v>
      </c>
      <c r="I46" s="189">
        <f>IFERROR(VLOOKUP($A46,MatchPivot!$A:$R,9, FALSE), 0)</f>
        <v>0</v>
      </c>
      <c r="J46" s="190">
        <f>IFERROR(VLOOKUP($A46,MatchPivot!$A:$R,10, FALSE), 0)</f>
        <v>0</v>
      </c>
      <c r="K46" s="281">
        <f t="shared" si="0"/>
        <v>0</v>
      </c>
      <c r="L46" s="236">
        <f>IFERROR(VLOOKUP($A46,OPRs!$A:$B,2,FALSE),0)</f>
        <v>44.547264262867223</v>
      </c>
      <c r="M46" s="286" t="str">
        <f>IFERROR(VLOOKUP($A46,TBAranking!$A:$H,2,FALSE),"")</f>
        <v/>
      </c>
      <c r="N46" s="287">
        <f>INT(IFERROR(VLOOKUP($A46,autoS!$A:$B,2,FALSE)/(IFERROR(VLOOKUP($A46,TBAranking!$A:$H,3,FALSE),0)),0))</f>
        <v>0</v>
      </c>
      <c r="O46" s="288">
        <f>INT(IFERROR(VLOOKUP($A46,TBAranking!$A:$O,5,FALSE)/(IFERROR(VLOOKUP($A46,TBAranking!$A:$H,3,FALSE),0)),0))</f>
        <v>0</v>
      </c>
      <c r="P46" s="288">
        <f>INT(IFERROR(VLOOKUP($A46,TBAranking!$A:$O,6,FALSE)/(IFERROR(VLOOKUP($A46,TBAranking!$A:$H,3,FALSE),0)),0))</f>
        <v>0</v>
      </c>
      <c r="Q46" s="289">
        <f>INT(IFERROR(VLOOKUP($A46,TBAranking!$A:$O,7,FALSE)/(IFERROR(VLOOKUP($A46,TBAranking!$A:$H,3,FALSE),0)),0))</f>
        <v>0</v>
      </c>
      <c r="R46" s="84"/>
      <c r="S46" s="223"/>
      <c r="T46" s="220" t="str">
        <f t="shared" si="1"/>
        <v/>
      </c>
    </row>
  </sheetData>
  <sortState ref="A4:T47">
    <sortCondition ref="R3:R47"/>
  </sortState>
  <mergeCells count="3">
    <mergeCell ref="C1:E1"/>
    <mergeCell ref="F1:J1"/>
    <mergeCell ref="L1:Q1"/>
  </mergeCells>
  <conditionalFormatting sqref="C4:J46">
    <cfRule type="cellIs" dxfId="71" priority="25" operator="lessThan">
      <formula>0.1</formula>
    </cfRule>
  </conditionalFormatting>
  <conditionalFormatting sqref="C4:E46 J4:J46">
    <cfRule type="dataBar" priority="24">
      <dataBar>
        <cfvo type="num" val="0"/>
        <cfvo type="num" val="1"/>
        <color rgb="FFFF6600"/>
      </dataBar>
      <extLst>
        <ext xmlns:x14="http://schemas.microsoft.com/office/spreadsheetml/2009/9/main" uri="{B025F937-C7B1-47D3-B67F-A62EFF666E3E}">
          <x14:id>{CB1F857C-2ED9-4AD5-B099-A6F34F7A8B5F}</x14:id>
        </ext>
      </extLst>
    </cfRule>
  </conditionalFormatting>
  <conditionalFormatting sqref="K1:K1048576">
    <cfRule type="dataBar" priority="2">
      <dataBar>
        <cfvo type="min"/>
        <cfvo type="max"/>
        <color rgb="FFF13DBE"/>
      </dataBar>
      <extLst>
        <ext xmlns:x14="http://schemas.microsoft.com/office/spreadsheetml/2009/9/main" uri="{B025F937-C7B1-47D3-B67F-A62EFF666E3E}">
          <x14:id>{2962F3CF-792E-4D2D-A731-10076469F29F}</x14:id>
        </ext>
      </extLst>
    </cfRule>
  </conditionalFormatting>
  <conditionalFormatting sqref="F4:G46">
    <cfRule type="dataBar" priority="16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{FD115C87-E908-4977-B333-2D3F6B8DCD08}</x14:id>
        </ext>
      </extLst>
    </cfRule>
  </conditionalFormatting>
  <conditionalFormatting sqref="H4:H46">
    <cfRule type="dataBar" priority="161">
      <dataBar>
        <cfvo type="min"/>
        <cfvo type="max"/>
        <color rgb="FF86E8EA"/>
      </dataBar>
      <extLst>
        <ext xmlns:x14="http://schemas.microsoft.com/office/spreadsheetml/2009/9/main" uri="{B025F937-C7B1-47D3-B67F-A62EFF666E3E}">
          <x14:id>{E04B71AA-0392-446B-B501-2575EDABA9BD}</x14:id>
        </ext>
      </extLst>
    </cfRule>
  </conditionalFormatting>
  <conditionalFormatting sqref="I4:I46">
    <cfRule type="dataBar" priority="162">
      <dataBar>
        <cfvo type="min"/>
        <cfvo type="max"/>
        <color rgb="FF0070C0"/>
      </dataBar>
      <extLst>
        <ext xmlns:x14="http://schemas.microsoft.com/office/spreadsheetml/2009/9/main" uri="{B025F937-C7B1-47D3-B67F-A62EFF666E3E}">
          <x14:id>{C00004B0-C7E5-43F9-B918-C81257EE0AA4}</x14:id>
        </ext>
      </extLst>
    </cfRule>
  </conditionalFormatting>
  <conditionalFormatting sqref="L4:L46">
    <cfRule type="dataBar" priority="163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{EE7FEE86-B7E7-4EEF-B1A4-0AA04CD076A0}</x14:id>
        </ext>
      </extLst>
    </cfRule>
  </conditionalFormatting>
  <conditionalFormatting sqref="M4:M46">
    <cfRule type="dataBar" priority="164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{88DEA3DF-3B17-4D8E-8425-29D11EBEE94C}</x14:id>
        </ext>
      </extLst>
    </cfRule>
  </conditionalFormatting>
  <conditionalFormatting sqref="N4:N46">
    <cfRule type="dataBar" priority="165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{597B436F-D98B-4EBF-B46D-3626F0389775}</x14:id>
        </ext>
      </extLst>
    </cfRule>
  </conditionalFormatting>
  <conditionalFormatting sqref="O4:O46">
    <cfRule type="dataBar" priority="166">
      <dataBar>
        <cfvo type="min"/>
        <cfvo type="max"/>
        <color rgb="FFABEB43"/>
      </dataBar>
      <extLst>
        <ext xmlns:x14="http://schemas.microsoft.com/office/spreadsheetml/2009/9/main" uri="{B025F937-C7B1-47D3-B67F-A62EFF666E3E}">
          <x14:id>{428B33B9-91EF-4FF7-9006-48F96E65D99A}</x14:id>
        </ext>
      </extLst>
    </cfRule>
  </conditionalFormatting>
  <conditionalFormatting sqref="P4:P46">
    <cfRule type="dataBar" priority="167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{90BF5DA7-43F6-4A49-91E6-B6896B9EFB4D}</x14:id>
        </ext>
      </extLst>
    </cfRule>
  </conditionalFormatting>
  <conditionalFormatting sqref="Q4:Q46">
    <cfRule type="dataBar" priority="168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{D9C424A6-2A56-49CA-B017-4AEC599AD537}</x14:id>
        </ext>
      </extLst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25" right="0.25" top="0.25" bottom="0.25" header="0.3" footer="0.3"/>
  <pageSetup scale="8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1F857C-2ED9-4AD5-B099-A6F34F7A8B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C4:E46 J4:J46</xm:sqref>
        </x14:conditionalFormatting>
        <x14:conditionalFormatting xmlns:xm="http://schemas.microsoft.com/office/excel/2006/main">
          <x14:cfRule type="dataBar" id="{2962F3CF-792E-4D2D-A731-10076469F29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FD115C87-E908-4977-B333-2D3F6B8DCD0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F4:G46</xm:sqref>
        </x14:conditionalFormatting>
        <x14:conditionalFormatting xmlns:xm="http://schemas.microsoft.com/office/excel/2006/main">
          <x14:cfRule type="dataBar" id="{E04B71AA-0392-446B-B501-2575EDABA9BD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H4:H46</xm:sqref>
        </x14:conditionalFormatting>
        <x14:conditionalFormatting xmlns:xm="http://schemas.microsoft.com/office/excel/2006/main">
          <x14:cfRule type="dataBar" id="{C00004B0-C7E5-43F9-B918-C81257EE0AA4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I4:I46</xm:sqref>
        </x14:conditionalFormatting>
        <x14:conditionalFormatting xmlns:xm="http://schemas.microsoft.com/office/excel/2006/main">
          <x14:cfRule type="dataBar" id="{EE7FEE86-B7E7-4EEF-B1A4-0AA04CD076A0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L4:L46</xm:sqref>
        </x14:conditionalFormatting>
        <x14:conditionalFormatting xmlns:xm="http://schemas.microsoft.com/office/excel/2006/main">
          <x14:cfRule type="dataBar" id="{88DEA3DF-3B17-4D8E-8425-29D11EBEE94C}">
            <x14:dataBar minLength="0" maxLength="100" gradient="0" direction="rightToLeft">
              <x14:cfvo type="autoMin"/>
              <x14:cfvo type="autoMax"/>
              <x14:negativeFillColor rgb="FFFF0000"/>
              <x14:axisColor rgb="FF000000"/>
            </x14:dataBar>
          </x14:cfRule>
          <xm:sqref>M4:M46</xm:sqref>
        </x14:conditionalFormatting>
        <x14:conditionalFormatting xmlns:xm="http://schemas.microsoft.com/office/excel/2006/main">
          <x14:cfRule type="dataBar" id="{597B436F-D98B-4EBF-B46D-3626F0389775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N4:N46</xm:sqref>
        </x14:conditionalFormatting>
        <x14:conditionalFormatting xmlns:xm="http://schemas.microsoft.com/office/excel/2006/main">
          <x14:cfRule type="dataBar" id="{428B33B9-91EF-4FF7-9006-48F96E65D99A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O4:O46</xm:sqref>
        </x14:conditionalFormatting>
        <x14:conditionalFormatting xmlns:xm="http://schemas.microsoft.com/office/excel/2006/main">
          <x14:cfRule type="dataBar" id="{90BF5DA7-43F6-4A49-91E6-B6896B9EFB4D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P4:P46</xm:sqref>
        </x14:conditionalFormatting>
        <x14:conditionalFormatting xmlns:xm="http://schemas.microsoft.com/office/excel/2006/main">
          <x14:cfRule type="dataBar" id="{D9C424A6-2A56-49CA-B017-4AEC599AD537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Q4:Q46</xm:sqref>
        </x14:conditionalFormatting>
        <x14:conditionalFormatting xmlns:xm="http://schemas.microsoft.com/office/excel/2006/main">
          <x14:cfRule type="dataBar" priority="19" id="{53FAC4F3-30B3-4D30-A05F-A83B8418C7E3}">
            <x14:dataBar minLength="0" maxLength="100" gradient="0">
              <x14:cfvo type="num">
                <xm:f>0</xm:f>
              </x14:cfvo>
              <x14:cfvo type="num">
                <xm:f>MatchStats!$F$3</xm:f>
              </x14:cfvo>
              <x14:fillColor rgb="FF92D050"/>
              <x14:negativeFillColor rgb="FFFF0000"/>
              <x14:axisColor rgb="FF000000"/>
            </x14:dataBar>
          </x14:cfRule>
          <xm:sqref>G4:G46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44"/>
  <sheetViews>
    <sheetView workbookViewId="0">
      <selection activeCell="F10" sqref="F10"/>
    </sheetView>
  </sheetViews>
  <sheetFormatPr defaultColWidth="8.85546875" defaultRowHeight="15"/>
  <cols>
    <col min="1" max="1" width="24.7109375" bestFit="1" customWidth="1"/>
    <col min="2" max="2" width="27.7109375" bestFit="1" customWidth="1"/>
    <col min="3" max="3" width="22.5703125" bestFit="1" customWidth="1"/>
    <col min="4" max="4" width="21.42578125" bestFit="1" customWidth="1"/>
    <col min="5" max="5" width="18.5703125" bestFit="1" customWidth="1"/>
    <col min="6" max="6" width="18.7109375" bestFit="1" customWidth="1"/>
    <col min="7" max="7" width="26.28515625" bestFit="1" customWidth="1"/>
    <col min="8" max="8" width="21.140625" bestFit="1" customWidth="1"/>
    <col min="9" max="9" width="30.85546875" bestFit="1" customWidth="1"/>
    <col min="10" max="10" width="14.85546875" bestFit="1" customWidth="1"/>
    <col min="11" max="11" width="14" bestFit="1" customWidth="1"/>
    <col min="12" max="12" width="14.42578125" bestFit="1" customWidth="1"/>
    <col min="13" max="13" width="25.28515625" bestFit="1" customWidth="1"/>
    <col min="14" max="14" width="41.85546875" bestFit="1" customWidth="1"/>
    <col min="15" max="15" width="255.7109375" bestFit="1" customWidth="1"/>
    <col min="16" max="16" width="22.7109375" bestFit="1" customWidth="1"/>
    <col min="17" max="17" width="22.5703125" bestFit="1" customWidth="1"/>
    <col min="18" max="18" width="60" bestFit="1" customWidth="1"/>
  </cols>
  <sheetData>
    <row r="1" spans="1:18">
      <c r="A1" s="2" t="s">
        <v>5940</v>
      </c>
      <c r="B1" s="2" t="s">
        <v>5941</v>
      </c>
      <c r="C1" s="2" t="s">
        <v>5942</v>
      </c>
      <c r="D1" s="2" t="s">
        <v>5943</v>
      </c>
      <c r="E1" s="2" t="s">
        <v>5944</v>
      </c>
      <c r="F1" s="2" t="s">
        <v>5945</v>
      </c>
      <c r="G1" s="2" t="s">
        <v>5946</v>
      </c>
      <c r="H1" s="2" t="s">
        <v>5947</v>
      </c>
      <c r="I1" s="2" t="s">
        <v>5948</v>
      </c>
      <c r="J1" s="2" t="s">
        <v>5922</v>
      </c>
      <c r="K1" s="2" t="s">
        <v>5949</v>
      </c>
      <c r="L1" s="2" t="s">
        <v>5950</v>
      </c>
      <c r="M1" s="2" t="s">
        <v>5951</v>
      </c>
      <c r="N1" s="2" t="s">
        <v>5952</v>
      </c>
      <c r="O1" s="2" t="s">
        <v>5953</v>
      </c>
      <c r="P1" s="2" t="s">
        <v>5954</v>
      </c>
      <c r="Q1" s="2" t="s">
        <v>5955</v>
      </c>
      <c r="R1" s="2" t="s">
        <v>5956</v>
      </c>
    </row>
    <row r="2" spans="1:18">
      <c r="A2" s="2">
        <v>155</v>
      </c>
      <c r="B2" s="2" t="s">
        <v>199</v>
      </c>
      <c r="C2" s="2" t="s">
        <v>200</v>
      </c>
      <c r="D2" s="2" t="s">
        <v>201</v>
      </c>
      <c r="E2" s="2" t="s">
        <v>40</v>
      </c>
      <c r="F2" s="2"/>
      <c r="G2" s="2"/>
      <c r="H2" s="2"/>
      <c r="I2" s="2" t="s">
        <v>5957</v>
      </c>
      <c r="J2" s="2" t="s">
        <v>6046</v>
      </c>
      <c r="K2" s="2"/>
      <c r="L2" s="2"/>
      <c r="M2" s="2"/>
      <c r="N2" s="2" t="s">
        <v>6047</v>
      </c>
      <c r="O2" s="2" t="s">
        <v>6048</v>
      </c>
      <c r="P2" s="2" t="s">
        <v>6049</v>
      </c>
      <c r="Q2" s="2">
        <v>1994</v>
      </c>
      <c r="R2" s="2" t="s">
        <v>6050</v>
      </c>
    </row>
    <row r="3" spans="1:18">
      <c r="A3" s="2">
        <v>173</v>
      </c>
      <c r="B3" s="2" t="s">
        <v>218</v>
      </c>
      <c r="C3" s="2" t="s">
        <v>219</v>
      </c>
      <c r="D3" s="2" t="s">
        <v>201</v>
      </c>
      <c r="E3" s="2" t="s">
        <v>40</v>
      </c>
      <c r="F3" s="2"/>
      <c r="G3" s="2"/>
      <c r="H3" s="2"/>
      <c r="I3" s="2" t="s">
        <v>5957</v>
      </c>
      <c r="J3" s="2" t="s">
        <v>6255</v>
      </c>
      <c r="K3" s="2"/>
      <c r="L3" s="2"/>
      <c r="M3" s="2"/>
      <c r="N3" s="2" t="s">
        <v>6256</v>
      </c>
      <c r="O3" s="2" t="s">
        <v>6257</v>
      </c>
      <c r="P3" s="2" t="s">
        <v>6258</v>
      </c>
      <c r="Q3" s="2">
        <v>1995</v>
      </c>
      <c r="R3" s="2" t="s">
        <v>6259</v>
      </c>
    </row>
    <row r="4" spans="1:18">
      <c r="A4" s="2">
        <v>175</v>
      </c>
      <c r="B4" s="2" t="s">
        <v>222</v>
      </c>
      <c r="C4" s="2" t="s">
        <v>223</v>
      </c>
      <c r="D4" s="2" t="s">
        <v>201</v>
      </c>
      <c r="E4" s="2" t="s">
        <v>40</v>
      </c>
      <c r="F4" s="2"/>
      <c r="G4" s="2"/>
      <c r="H4" s="2"/>
      <c r="I4" s="2" t="s">
        <v>5957</v>
      </c>
      <c r="J4" s="2" t="s">
        <v>6260</v>
      </c>
      <c r="K4" s="2"/>
      <c r="L4" s="2"/>
      <c r="M4" s="2"/>
      <c r="N4" s="2" t="s">
        <v>6261</v>
      </c>
      <c r="O4" s="2" t="s">
        <v>6906</v>
      </c>
      <c r="P4" s="2" t="s">
        <v>6262</v>
      </c>
      <c r="Q4" s="2">
        <v>1996</v>
      </c>
      <c r="R4" s="2" t="s">
        <v>6263</v>
      </c>
    </row>
    <row r="5" spans="1:18">
      <c r="A5" s="2">
        <v>176</v>
      </c>
      <c r="B5" s="2" t="s">
        <v>224</v>
      </c>
      <c r="C5" s="2" t="s">
        <v>225</v>
      </c>
      <c r="D5" s="2" t="s">
        <v>201</v>
      </c>
      <c r="E5" s="2" t="s">
        <v>40</v>
      </c>
      <c r="F5" s="2"/>
      <c r="G5" s="2"/>
      <c r="H5" s="2"/>
      <c r="I5" s="2" t="s">
        <v>5957</v>
      </c>
      <c r="J5" s="2" t="s">
        <v>6264</v>
      </c>
      <c r="K5" s="2"/>
      <c r="L5" s="2"/>
      <c r="M5" s="2"/>
      <c r="N5" s="2" t="s">
        <v>6265</v>
      </c>
      <c r="O5" s="2" t="s">
        <v>6266</v>
      </c>
      <c r="P5" s="2" t="s">
        <v>6267</v>
      </c>
      <c r="Q5" s="2">
        <v>1996</v>
      </c>
      <c r="R5" s="2" t="s">
        <v>6268</v>
      </c>
    </row>
    <row r="6" spans="1:18">
      <c r="A6" s="2">
        <v>177</v>
      </c>
      <c r="B6" s="2" t="s">
        <v>226</v>
      </c>
      <c r="C6" s="2" t="s">
        <v>227</v>
      </c>
      <c r="D6" s="2" t="s">
        <v>201</v>
      </c>
      <c r="E6" s="2" t="s">
        <v>40</v>
      </c>
      <c r="F6" s="2"/>
      <c r="G6" s="2"/>
      <c r="H6" s="2"/>
      <c r="I6" s="2" t="s">
        <v>5957</v>
      </c>
      <c r="J6" s="2" t="s">
        <v>6269</v>
      </c>
      <c r="K6" s="2"/>
      <c r="L6" s="2"/>
      <c r="M6" s="2"/>
      <c r="N6" s="2" t="s">
        <v>6270</v>
      </c>
      <c r="O6" s="2" t="s">
        <v>6271</v>
      </c>
      <c r="P6" s="2" t="s">
        <v>6272</v>
      </c>
      <c r="Q6" s="2">
        <v>1995</v>
      </c>
      <c r="R6" s="2" t="s">
        <v>6273</v>
      </c>
    </row>
    <row r="7" spans="1:18">
      <c r="A7" s="2">
        <v>181</v>
      </c>
      <c r="B7" s="2" t="s">
        <v>234</v>
      </c>
      <c r="C7" s="2" t="s">
        <v>235</v>
      </c>
      <c r="D7" s="2" t="s">
        <v>201</v>
      </c>
      <c r="E7" s="2" t="s">
        <v>40</v>
      </c>
      <c r="F7" s="2"/>
      <c r="G7" s="2"/>
      <c r="H7" s="2"/>
      <c r="I7" s="2" t="s">
        <v>5957</v>
      </c>
      <c r="J7" s="2" t="s">
        <v>6274</v>
      </c>
      <c r="K7" s="2"/>
      <c r="L7" s="2"/>
      <c r="M7" s="2"/>
      <c r="N7" s="2" t="s">
        <v>6275</v>
      </c>
      <c r="O7" s="2" t="s">
        <v>6276</v>
      </c>
      <c r="P7" s="2" t="s">
        <v>6277</v>
      </c>
      <c r="Q7" s="2">
        <v>1998</v>
      </c>
      <c r="R7" s="2" t="s">
        <v>6278</v>
      </c>
    </row>
    <row r="8" spans="1:18">
      <c r="A8" s="2">
        <v>190</v>
      </c>
      <c r="B8" s="2" t="s">
        <v>240</v>
      </c>
      <c r="C8" s="2" t="s">
        <v>241</v>
      </c>
      <c r="D8" s="2" t="s">
        <v>60</v>
      </c>
      <c r="E8" s="2" t="s">
        <v>40</v>
      </c>
      <c r="F8" s="2"/>
      <c r="G8" s="2"/>
      <c r="H8" s="2"/>
      <c r="I8" s="2" t="s">
        <v>5957</v>
      </c>
      <c r="J8" s="2" t="s">
        <v>6279</v>
      </c>
      <c r="K8" s="2"/>
      <c r="L8" s="2"/>
      <c r="M8" s="2"/>
      <c r="N8" s="2" t="s">
        <v>6280</v>
      </c>
      <c r="O8" s="2" t="s">
        <v>6281</v>
      </c>
      <c r="P8" s="2" t="s">
        <v>6282</v>
      </c>
      <c r="Q8" s="2">
        <v>1992</v>
      </c>
      <c r="R8" s="2" t="s">
        <v>6283</v>
      </c>
    </row>
    <row r="9" spans="1:18">
      <c r="A9" s="2">
        <v>195</v>
      </c>
      <c r="B9" s="2" t="s">
        <v>246</v>
      </c>
      <c r="C9" s="2" t="s">
        <v>247</v>
      </c>
      <c r="D9" s="2" t="s">
        <v>201</v>
      </c>
      <c r="E9" s="2" t="s">
        <v>40</v>
      </c>
      <c r="F9" s="2"/>
      <c r="G9" s="2"/>
      <c r="H9" s="2"/>
      <c r="I9" s="2" t="s">
        <v>5957</v>
      </c>
      <c r="J9" s="2" t="s">
        <v>6051</v>
      </c>
      <c r="K9" s="2"/>
      <c r="L9" s="2"/>
      <c r="M9" s="2"/>
      <c r="N9" s="2" t="s">
        <v>6052</v>
      </c>
      <c r="O9" s="2" t="s">
        <v>6086</v>
      </c>
      <c r="P9" s="2" t="s">
        <v>6053</v>
      </c>
      <c r="Q9" s="2">
        <v>1998</v>
      </c>
      <c r="R9" s="2" t="s">
        <v>6054</v>
      </c>
    </row>
    <row r="10" spans="1:18">
      <c r="A10" s="2">
        <v>230</v>
      </c>
      <c r="B10" s="2" t="s">
        <v>279</v>
      </c>
      <c r="C10" s="2" t="s">
        <v>280</v>
      </c>
      <c r="D10" s="2" t="s">
        <v>201</v>
      </c>
      <c r="E10" s="2" t="s">
        <v>40</v>
      </c>
      <c r="F10" s="2"/>
      <c r="G10" s="2"/>
      <c r="H10" s="2"/>
      <c r="I10" s="2" t="s">
        <v>5957</v>
      </c>
      <c r="J10" s="2" t="s">
        <v>6001</v>
      </c>
      <c r="K10" s="2"/>
      <c r="L10" s="2"/>
      <c r="M10" s="2"/>
      <c r="N10" s="2" t="s">
        <v>6002</v>
      </c>
      <c r="O10" s="2" t="s">
        <v>6087</v>
      </c>
      <c r="P10" s="2" t="s">
        <v>6003</v>
      </c>
      <c r="Q10" s="2">
        <v>1999</v>
      </c>
      <c r="R10" s="2" t="s">
        <v>6004</v>
      </c>
    </row>
    <row r="11" spans="1:18">
      <c r="A11" s="2">
        <v>236</v>
      </c>
      <c r="B11" s="2" t="s">
        <v>287</v>
      </c>
      <c r="C11" s="2" t="s">
        <v>288</v>
      </c>
      <c r="D11" s="2" t="s">
        <v>201</v>
      </c>
      <c r="E11" s="2" t="s">
        <v>40</v>
      </c>
      <c r="F11" s="2"/>
      <c r="G11" s="2"/>
      <c r="H11" s="2"/>
      <c r="I11" s="2" t="s">
        <v>5957</v>
      </c>
      <c r="J11" s="2" t="s">
        <v>6284</v>
      </c>
      <c r="K11" s="2"/>
      <c r="L11" s="2"/>
      <c r="M11" s="2"/>
      <c r="N11" s="2" t="s">
        <v>6285</v>
      </c>
      <c r="O11" s="2" t="s">
        <v>6286</v>
      </c>
      <c r="P11" s="2" t="s">
        <v>6287</v>
      </c>
      <c r="Q11" s="2">
        <v>1999</v>
      </c>
      <c r="R11" s="2" t="s">
        <v>6288</v>
      </c>
    </row>
    <row r="12" spans="1:18">
      <c r="A12" s="2">
        <v>558</v>
      </c>
      <c r="B12" s="2" t="s">
        <v>498</v>
      </c>
      <c r="C12" s="2" t="s">
        <v>499</v>
      </c>
      <c r="D12" s="2" t="s">
        <v>201</v>
      </c>
      <c r="E12" s="2" t="s">
        <v>40</v>
      </c>
      <c r="F12" s="2"/>
      <c r="G12" s="2"/>
      <c r="H12" s="2"/>
      <c r="I12" s="2" t="s">
        <v>5957</v>
      </c>
      <c r="J12" s="2" t="s">
        <v>6289</v>
      </c>
      <c r="K12" s="2"/>
      <c r="L12" s="2"/>
      <c r="M12" s="2"/>
      <c r="N12" s="2" t="s">
        <v>6290</v>
      </c>
      <c r="O12" s="2" t="s">
        <v>6291</v>
      </c>
      <c r="P12" s="2" t="s">
        <v>6292</v>
      </c>
      <c r="Q12" s="2">
        <v>2001</v>
      </c>
      <c r="R12" s="2" t="s">
        <v>6293</v>
      </c>
    </row>
    <row r="13" spans="1:18">
      <c r="A13" s="2">
        <v>571</v>
      </c>
      <c r="B13" s="2" t="s">
        <v>507</v>
      </c>
      <c r="C13" s="2" t="s">
        <v>508</v>
      </c>
      <c r="D13" s="2" t="s">
        <v>201</v>
      </c>
      <c r="E13" s="2" t="s">
        <v>40</v>
      </c>
      <c r="F13" s="2"/>
      <c r="G13" s="2"/>
      <c r="H13" s="2"/>
      <c r="I13" s="2" t="s">
        <v>5957</v>
      </c>
      <c r="J13" s="2" t="s">
        <v>6294</v>
      </c>
      <c r="K13" s="2"/>
      <c r="L13" s="2"/>
      <c r="M13" s="2"/>
      <c r="N13" s="2" t="s">
        <v>6295</v>
      </c>
      <c r="O13" s="2" t="s">
        <v>6296</v>
      </c>
      <c r="P13" s="2" t="s">
        <v>6297</v>
      </c>
      <c r="Q13" s="2">
        <v>2001</v>
      </c>
      <c r="R13" s="2" t="s">
        <v>6298</v>
      </c>
    </row>
    <row r="14" spans="1:18">
      <c r="A14" s="2">
        <v>839</v>
      </c>
      <c r="B14" s="2" t="s">
        <v>637</v>
      </c>
      <c r="C14" s="2" t="s">
        <v>638</v>
      </c>
      <c r="D14" s="2" t="s">
        <v>60</v>
      </c>
      <c r="E14" s="2" t="s">
        <v>40</v>
      </c>
      <c r="F14" s="2"/>
      <c r="G14" s="2"/>
      <c r="H14" s="2"/>
      <c r="I14" s="2" t="s">
        <v>5957</v>
      </c>
      <c r="J14" s="2" t="s">
        <v>6299</v>
      </c>
      <c r="K14" s="2"/>
      <c r="L14" s="2"/>
      <c r="M14" s="2"/>
      <c r="N14" s="2" t="s">
        <v>6300</v>
      </c>
      <c r="O14" s="2" t="s">
        <v>6301</v>
      </c>
      <c r="P14" s="2" t="s">
        <v>6302</v>
      </c>
      <c r="Q14" s="2">
        <v>2002</v>
      </c>
      <c r="R14" s="2" t="s">
        <v>6303</v>
      </c>
    </row>
    <row r="15" spans="1:18">
      <c r="A15" s="2">
        <v>999</v>
      </c>
      <c r="B15" s="2" t="s">
        <v>731</v>
      </c>
      <c r="C15" s="2" t="s">
        <v>732</v>
      </c>
      <c r="D15" s="2" t="s">
        <v>201</v>
      </c>
      <c r="E15" s="2" t="s">
        <v>40</v>
      </c>
      <c r="F15" s="2"/>
      <c r="G15" s="2"/>
      <c r="H15" s="2"/>
      <c r="I15" s="2" t="s">
        <v>5957</v>
      </c>
      <c r="J15" s="2" t="s">
        <v>6304</v>
      </c>
      <c r="K15" s="2"/>
      <c r="L15" s="2"/>
      <c r="M15" s="2"/>
      <c r="N15" s="2"/>
      <c r="O15" s="2" t="s">
        <v>6305</v>
      </c>
      <c r="P15" s="2" t="s">
        <v>6306</v>
      </c>
      <c r="Q15" s="2">
        <v>2002</v>
      </c>
      <c r="R15" s="2" t="s">
        <v>6307</v>
      </c>
    </row>
    <row r="16" spans="1:18">
      <c r="A16" s="2">
        <v>1027</v>
      </c>
      <c r="B16" s="2" t="s">
        <v>745</v>
      </c>
      <c r="C16" s="2" t="s">
        <v>746</v>
      </c>
      <c r="D16" s="2" t="s">
        <v>60</v>
      </c>
      <c r="E16" s="2" t="s">
        <v>40</v>
      </c>
      <c r="F16" s="2"/>
      <c r="G16" s="2"/>
      <c r="H16" s="2"/>
      <c r="I16" s="2" t="s">
        <v>5957</v>
      </c>
      <c r="J16" s="2" t="s">
        <v>6055</v>
      </c>
      <c r="K16" s="2"/>
      <c r="L16" s="2"/>
      <c r="M16" s="2"/>
      <c r="N16" s="2"/>
      <c r="O16" s="2" t="s">
        <v>6113</v>
      </c>
      <c r="P16" s="2" t="s">
        <v>6056</v>
      </c>
      <c r="Q16" s="2">
        <v>2003</v>
      </c>
      <c r="R16" s="2" t="s">
        <v>6057</v>
      </c>
    </row>
    <row r="17" spans="1:18">
      <c r="A17" s="2">
        <v>1085</v>
      </c>
      <c r="B17" s="2" t="s">
        <v>764</v>
      </c>
      <c r="C17" s="2" t="s">
        <v>765</v>
      </c>
      <c r="D17" s="2" t="s">
        <v>201</v>
      </c>
      <c r="E17" s="2" t="s">
        <v>40</v>
      </c>
      <c r="F17" s="2"/>
      <c r="G17" s="2"/>
      <c r="H17" s="2"/>
      <c r="I17" s="2" t="s">
        <v>5957</v>
      </c>
      <c r="J17" s="2" t="s">
        <v>6308</v>
      </c>
      <c r="K17" s="2"/>
      <c r="L17" s="2"/>
      <c r="M17" s="2"/>
      <c r="N17" s="2"/>
      <c r="O17" s="2" t="s">
        <v>6309</v>
      </c>
      <c r="P17" s="2" t="s">
        <v>6310</v>
      </c>
      <c r="Q17" s="2">
        <v>2003</v>
      </c>
      <c r="R17" s="2" t="s">
        <v>6311</v>
      </c>
    </row>
    <row r="18" spans="1:18">
      <c r="A18" s="2">
        <v>1124</v>
      </c>
      <c r="B18" s="2" t="s">
        <v>787</v>
      </c>
      <c r="C18" s="2" t="s">
        <v>765</v>
      </c>
      <c r="D18" s="2" t="s">
        <v>201</v>
      </c>
      <c r="E18" s="2" t="s">
        <v>40</v>
      </c>
      <c r="F18" s="2"/>
      <c r="G18" s="2"/>
      <c r="H18" s="2"/>
      <c r="I18" s="2" t="s">
        <v>5957</v>
      </c>
      <c r="J18" s="2" t="s">
        <v>6312</v>
      </c>
      <c r="K18" s="2"/>
      <c r="L18" s="2"/>
      <c r="M18" s="2"/>
      <c r="N18" s="2" t="s">
        <v>6313</v>
      </c>
      <c r="O18" s="2" t="s">
        <v>6314</v>
      </c>
      <c r="P18" s="2" t="s">
        <v>6310</v>
      </c>
      <c r="Q18" s="2">
        <v>2003</v>
      </c>
      <c r="R18" s="2" t="s">
        <v>6315</v>
      </c>
    </row>
    <row r="19" spans="1:18">
      <c r="A19" s="2">
        <v>1740</v>
      </c>
      <c r="B19" s="2" t="s">
        <v>1154</v>
      </c>
      <c r="C19" s="2" t="s">
        <v>1155</v>
      </c>
      <c r="D19" s="2" t="s">
        <v>201</v>
      </c>
      <c r="E19" s="2" t="s">
        <v>40</v>
      </c>
      <c r="F19" s="2"/>
      <c r="G19" s="2"/>
      <c r="H19" s="2"/>
      <c r="I19" s="2" t="s">
        <v>5957</v>
      </c>
      <c r="J19" s="2" t="s">
        <v>6316</v>
      </c>
      <c r="K19" s="2"/>
      <c r="L19" s="2"/>
      <c r="M19" s="2"/>
      <c r="N19" s="2" t="s">
        <v>6317</v>
      </c>
      <c r="O19" s="2" t="s">
        <v>6318</v>
      </c>
      <c r="P19" s="2" t="s">
        <v>6319</v>
      </c>
      <c r="Q19" s="2">
        <v>2006</v>
      </c>
      <c r="R19" s="2" t="s">
        <v>6320</v>
      </c>
    </row>
    <row r="20" spans="1:18">
      <c r="A20" s="2">
        <v>1973</v>
      </c>
      <c r="B20" s="2" t="s">
        <v>1283</v>
      </c>
      <c r="C20" s="2" t="s">
        <v>1284</v>
      </c>
      <c r="D20" s="2" t="s">
        <v>60</v>
      </c>
      <c r="E20" s="2" t="s">
        <v>40</v>
      </c>
      <c r="F20" s="2"/>
      <c r="G20" s="2"/>
      <c r="H20" s="2"/>
      <c r="I20" s="2" t="s">
        <v>5957</v>
      </c>
      <c r="J20" s="2" t="s">
        <v>6321</v>
      </c>
      <c r="K20" s="2"/>
      <c r="L20" s="2"/>
      <c r="M20" s="2"/>
      <c r="N20" s="2" t="s">
        <v>6322</v>
      </c>
      <c r="O20" s="2" t="s">
        <v>6323</v>
      </c>
      <c r="P20" s="2" t="s">
        <v>6324</v>
      </c>
      <c r="Q20" s="2">
        <v>2006</v>
      </c>
      <c r="R20" s="2" t="s">
        <v>6325</v>
      </c>
    </row>
    <row r="21" spans="1:18">
      <c r="A21" s="2">
        <v>1991</v>
      </c>
      <c r="B21" s="2" t="s">
        <v>830</v>
      </c>
      <c r="C21" s="2" t="s">
        <v>235</v>
      </c>
      <c r="D21" s="2" t="s">
        <v>201</v>
      </c>
      <c r="E21" s="2" t="s">
        <v>40</v>
      </c>
      <c r="F21" s="2"/>
      <c r="G21" s="2"/>
      <c r="H21" s="2"/>
      <c r="I21" s="2" t="s">
        <v>5957</v>
      </c>
      <c r="J21" s="2" t="s">
        <v>6326</v>
      </c>
      <c r="K21" s="2"/>
      <c r="L21" s="2"/>
      <c r="M21" s="2"/>
      <c r="N21" s="2" t="s">
        <v>6327</v>
      </c>
      <c r="O21" s="2" t="s">
        <v>6328</v>
      </c>
      <c r="P21" s="2" t="s">
        <v>6329</v>
      </c>
      <c r="Q21" s="2">
        <v>2007</v>
      </c>
      <c r="R21" s="2" t="s">
        <v>6330</v>
      </c>
    </row>
    <row r="22" spans="1:18">
      <c r="A22" s="2">
        <v>2064</v>
      </c>
      <c r="B22" s="2" t="s">
        <v>1330</v>
      </c>
      <c r="C22" s="2" t="s">
        <v>1331</v>
      </c>
      <c r="D22" s="2" t="s">
        <v>201</v>
      </c>
      <c r="E22" s="2" t="s">
        <v>40</v>
      </c>
      <c r="F22" s="2"/>
      <c r="G22" s="2"/>
      <c r="H22" s="2"/>
      <c r="I22" s="2" t="s">
        <v>5957</v>
      </c>
      <c r="J22" s="2" t="s">
        <v>6058</v>
      </c>
      <c r="K22" s="2"/>
      <c r="L22" s="2"/>
      <c r="M22" s="2"/>
      <c r="N22" s="2"/>
      <c r="O22" s="2" t="s">
        <v>6059</v>
      </c>
      <c r="P22" s="2" t="s">
        <v>6060</v>
      </c>
      <c r="Q22" s="2">
        <v>2007</v>
      </c>
      <c r="R22" s="2" t="s">
        <v>6061</v>
      </c>
    </row>
    <row r="23" spans="1:18">
      <c r="A23" s="2">
        <v>2067</v>
      </c>
      <c r="B23" s="2" t="s">
        <v>1332</v>
      </c>
      <c r="C23" s="2" t="s">
        <v>1333</v>
      </c>
      <c r="D23" s="2" t="s">
        <v>201</v>
      </c>
      <c r="E23" s="2" t="s">
        <v>40</v>
      </c>
      <c r="F23" s="2"/>
      <c r="G23" s="2"/>
      <c r="H23" s="2"/>
      <c r="I23" s="2" t="s">
        <v>5957</v>
      </c>
      <c r="J23" s="2" t="s">
        <v>6005</v>
      </c>
      <c r="K23" s="2"/>
      <c r="L23" s="2"/>
      <c r="M23" s="2"/>
      <c r="N23" s="2" t="s">
        <v>6006</v>
      </c>
      <c r="O23" s="2" t="s">
        <v>6007</v>
      </c>
      <c r="P23" s="2" t="s">
        <v>6008</v>
      </c>
      <c r="Q23" s="2">
        <v>2007</v>
      </c>
      <c r="R23" s="2" t="s">
        <v>6009</v>
      </c>
    </row>
    <row r="24" spans="1:18">
      <c r="A24" s="2">
        <v>2170</v>
      </c>
      <c r="B24" s="2" t="s">
        <v>1394</v>
      </c>
      <c r="C24" s="2" t="s">
        <v>1395</v>
      </c>
      <c r="D24" s="2" t="s">
        <v>201</v>
      </c>
      <c r="E24" s="2" t="s">
        <v>40</v>
      </c>
      <c r="F24" s="2"/>
      <c r="G24" s="2"/>
      <c r="H24" s="2"/>
      <c r="I24" s="2" t="s">
        <v>5957</v>
      </c>
      <c r="J24" s="2" t="s">
        <v>6331</v>
      </c>
      <c r="K24" s="2"/>
      <c r="L24" s="2"/>
      <c r="M24" s="2"/>
      <c r="N24" s="2"/>
      <c r="O24" s="2" t="s">
        <v>6332</v>
      </c>
      <c r="P24" s="2" t="s">
        <v>6333</v>
      </c>
      <c r="Q24" s="2">
        <v>2007</v>
      </c>
      <c r="R24" s="2" t="s">
        <v>6334</v>
      </c>
    </row>
    <row r="25" spans="1:18">
      <c r="A25" s="2">
        <v>2785</v>
      </c>
      <c r="B25" s="2" t="s">
        <v>1754</v>
      </c>
      <c r="C25" s="2" t="s">
        <v>1755</v>
      </c>
      <c r="D25" s="2" t="s">
        <v>201</v>
      </c>
      <c r="E25" s="2" t="s">
        <v>40</v>
      </c>
      <c r="F25" s="2"/>
      <c r="G25" s="2"/>
      <c r="H25" s="2"/>
      <c r="I25" s="2" t="s">
        <v>5957</v>
      </c>
      <c r="J25" s="2" t="s">
        <v>6335</v>
      </c>
      <c r="K25" s="2"/>
      <c r="L25" s="2"/>
      <c r="M25" s="2"/>
      <c r="N25" s="2" t="s">
        <v>6336</v>
      </c>
      <c r="O25" s="2" t="s">
        <v>6337</v>
      </c>
      <c r="P25" s="2" t="s">
        <v>6338</v>
      </c>
      <c r="Q25" s="2">
        <v>2009</v>
      </c>
      <c r="R25" s="2" t="s">
        <v>5958</v>
      </c>
    </row>
    <row r="26" spans="1:18">
      <c r="A26" s="2">
        <v>2836</v>
      </c>
      <c r="B26" s="2" t="s">
        <v>1782</v>
      </c>
      <c r="C26" s="2" t="s">
        <v>1783</v>
      </c>
      <c r="D26" s="2" t="s">
        <v>201</v>
      </c>
      <c r="E26" s="2" t="s">
        <v>40</v>
      </c>
      <c r="F26" s="2"/>
      <c r="G26" s="2"/>
      <c r="H26" s="2"/>
      <c r="I26" s="2" t="s">
        <v>5957</v>
      </c>
      <c r="J26" s="2" t="s">
        <v>6062</v>
      </c>
      <c r="K26" s="2"/>
      <c r="L26" s="2"/>
      <c r="M26" s="2"/>
      <c r="N26" s="2" t="s">
        <v>6063</v>
      </c>
      <c r="O26" s="2" t="s">
        <v>6064</v>
      </c>
      <c r="P26" s="2" t="s">
        <v>6065</v>
      </c>
      <c r="Q26" s="2">
        <v>2009</v>
      </c>
      <c r="R26" s="2" t="s">
        <v>6066</v>
      </c>
    </row>
    <row r="27" spans="1:18">
      <c r="A27" s="2">
        <v>3104</v>
      </c>
      <c r="B27" s="2" t="s">
        <v>1982</v>
      </c>
      <c r="C27" s="2" t="s">
        <v>1983</v>
      </c>
      <c r="D27" s="2" t="s">
        <v>201</v>
      </c>
      <c r="E27" s="2" t="s">
        <v>40</v>
      </c>
      <c r="F27" s="2"/>
      <c r="G27" s="2"/>
      <c r="H27" s="2"/>
      <c r="I27" s="2" t="s">
        <v>5957</v>
      </c>
      <c r="J27" s="2" t="s">
        <v>6010</v>
      </c>
      <c r="K27" s="2"/>
      <c r="L27" s="2"/>
      <c r="M27" s="2"/>
      <c r="N27" s="2" t="s">
        <v>6011</v>
      </c>
      <c r="O27" s="2" t="s">
        <v>6012</v>
      </c>
      <c r="P27" s="2" t="s">
        <v>6013</v>
      </c>
      <c r="Q27" s="2">
        <v>2009</v>
      </c>
      <c r="R27" s="2" t="s">
        <v>6014</v>
      </c>
    </row>
    <row r="28" spans="1:18">
      <c r="A28" s="2">
        <v>3146</v>
      </c>
      <c r="B28" s="2" t="s">
        <v>2009</v>
      </c>
      <c r="C28" s="2" t="s">
        <v>2010</v>
      </c>
      <c r="D28" s="2" t="s">
        <v>201</v>
      </c>
      <c r="E28" s="2" t="s">
        <v>40</v>
      </c>
      <c r="F28" s="2"/>
      <c r="G28" s="2"/>
      <c r="H28" s="2"/>
      <c r="I28" s="2" t="s">
        <v>5957</v>
      </c>
      <c r="J28" s="2" t="s">
        <v>6339</v>
      </c>
      <c r="K28" s="2"/>
      <c r="L28" s="2"/>
      <c r="M28" s="2"/>
      <c r="N28" s="2"/>
      <c r="O28" s="2" t="s">
        <v>6340</v>
      </c>
      <c r="P28" s="2" t="s">
        <v>6341</v>
      </c>
      <c r="Q28" s="2">
        <v>2010</v>
      </c>
      <c r="R28" s="2" t="s">
        <v>6342</v>
      </c>
    </row>
    <row r="29" spans="1:18">
      <c r="A29" s="2">
        <v>3182</v>
      </c>
      <c r="B29" s="2" t="s">
        <v>2043</v>
      </c>
      <c r="C29" s="2" t="s">
        <v>2044</v>
      </c>
      <c r="D29" s="2" t="s">
        <v>201</v>
      </c>
      <c r="E29" s="2" t="s">
        <v>40</v>
      </c>
      <c r="F29" s="2"/>
      <c r="G29" s="2"/>
      <c r="H29" s="2"/>
      <c r="I29" s="2" t="s">
        <v>5957</v>
      </c>
      <c r="J29" s="2" t="s">
        <v>6343</v>
      </c>
      <c r="K29" s="2"/>
      <c r="L29" s="2"/>
      <c r="M29" s="2"/>
      <c r="N29" s="2" t="s">
        <v>6344</v>
      </c>
      <c r="O29" s="2" t="s">
        <v>6345</v>
      </c>
      <c r="P29" s="2" t="s">
        <v>6346</v>
      </c>
      <c r="Q29" s="2">
        <v>2010</v>
      </c>
      <c r="R29" s="2" t="s">
        <v>6347</v>
      </c>
    </row>
    <row r="30" spans="1:18">
      <c r="A30" s="2">
        <v>3464</v>
      </c>
      <c r="B30" s="2" t="s">
        <v>2236</v>
      </c>
      <c r="C30" s="2" t="s">
        <v>2237</v>
      </c>
      <c r="D30" s="2" t="s">
        <v>201</v>
      </c>
      <c r="E30" s="2" t="s">
        <v>40</v>
      </c>
      <c r="F30" s="2"/>
      <c r="G30" s="2"/>
      <c r="H30" s="2"/>
      <c r="I30" s="2" t="s">
        <v>5957</v>
      </c>
      <c r="J30" s="2" t="s">
        <v>6348</v>
      </c>
      <c r="K30" s="2"/>
      <c r="L30" s="2"/>
      <c r="M30" s="2"/>
      <c r="N30" s="2" t="s">
        <v>6349</v>
      </c>
      <c r="O30" s="2" t="s">
        <v>6350</v>
      </c>
      <c r="P30" s="2" t="s">
        <v>6351</v>
      </c>
      <c r="Q30" s="2">
        <v>2011</v>
      </c>
      <c r="R30" s="2" t="s">
        <v>6352</v>
      </c>
    </row>
    <row r="31" spans="1:18">
      <c r="A31" s="2">
        <v>3634</v>
      </c>
      <c r="B31" s="2" t="s">
        <v>2389</v>
      </c>
      <c r="C31" s="2" t="s">
        <v>2390</v>
      </c>
      <c r="D31" s="2" t="s">
        <v>201</v>
      </c>
      <c r="E31" s="2" t="s">
        <v>40</v>
      </c>
      <c r="F31" s="2"/>
      <c r="G31" s="2"/>
      <c r="H31" s="2"/>
      <c r="I31" s="2" t="s">
        <v>5957</v>
      </c>
      <c r="J31" s="2" t="s">
        <v>6067</v>
      </c>
      <c r="K31" s="2"/>
      <c r="L31" s="2"/>
      <c r="M31" s="2"/>
      <c r="N31" s="2"/>
      <c r="O31" s="2" t="s">
        <v>6095</v>
      </c>
      <c r="P31" s="2" t="s">
        <v>6068</v>
      </c>
      <c r="Q31" s="2">
        <v>2011</v>
      </c>
      <c r="R31" s="2" t="s">
        <v>6096</v>
      </c>
    </row>
    <row r="32" spans="1:18">
      <c r="A32" s="2">
        <v>3654</v>
      </c>
      <c r="B32" s="2" t="s">
        <v>2406</v>
      </c>
      <c r="C32" s="2" t="s">
        <v>168</v>
      </c>
      <c r="D32" s="2" t="s">
        <v>201</v>
      </c>
      <c r="E32" s="2" t="s">
        <v>40</v>
      </c>
      <c r="F32" s="2"/>
      <c r="G32" s="2"/>
      <c r="H32" s="2"/>
      <c r="I32" s="2" t="s">
        <v>5957</v>
      </c>
      <c r="J32" s="2" t="s">
        <v>6069</v>
      </c>
      <c r="K32" s="2"/>
      <c r="L32" s="2"/>
      <c r="M32" s="2"/>
      <c r="N32" s="2" t="s">
        <v>6070</v>
      </c>
      <c r="O32" s="2" t="s">
        <v>6071</v>
      </c>
      <c r="P32" s="2" t="s">
        <v>6015</v>
      </c>
      <c r="Q32" s="2">
        <v>2011</v>
      </c>
      <c r="R32" s="2" t="s">
        <v>6072</v>
      </c>
    </row>
    <row r="33" spans="1:18">
      <c r="A33" s="2">
        <v>4987</v>
      </c>
      <c r="B33" s="2" t="s">
        <v>3397</v>
      </c>
      <c r="C33" s="2" t="s">
        <v>241</v>
      </c>
      <c r="D33" s="2" t="s">
        <v>60</v>
      </c>
      <c r="E33" s="2" t="s">
        <v>40</v>
      </c>
      <c r="F33" s="2"/>
      <c r="G33" s="2"/>
      <c r="H33" s="2"/>
      <c r="I33" s="2" t="s">
        <v>5957</v>
      </c>
      <c r="J33" s="2" t="s">
        <v>6353</v>
      </c>
      <c r="K33" s="2"/>
      <c r="L33" s="2"/>
      <c r="M33" s="2"/>
      <c r="N33" s="2" t="s">
        <v>6354</v>
      </c>
      <c r="O33" s="2" t="s">
        <v>6355</v>
      </c>
      <c r="P33" s="2" t="s">
        <v>6356</v>
      </c>
      <c r="Q33" s="2">
        <v>2014</v>
      </c>
      <c r="R33" s="2" t="s">
        <v>6357</v>
      </c>
    </row>
    <row r="34" spans="1:18">
      <c r="A34" s="2">
        <v>5129</v>
      </c>
      <c r="B34" s="2" t="s">
        <v>3509</v>
      </c>
      <c r="C34" s="2" t="s">
        <v>3510</v>
      </c>
      <c r="D34" s="2" t="s">
        <v>201</v>
      </c>
      <c r="E34" s="2" t="s">
        <v>40</v>
      </c>
      <c r="F34" s="2"/>
      <c r="G34" s="2"/>
      <c r="H34" s="2"/>
      <c r="I34" s="2" t="s">
        <v>5957</v>
      </c>
      <c r="J34" s="2" t="s">
        <v>6358</v>
      </c>
      <c r="K34" s="2"/>
      <c r="L34" s="2"/>
      <c r="M34" s="2"/>
      <c r="N34" s="2"/>
      <c r="O34" s="2" t="s">
        <v>6359</v>
      </c>
      <c r="P34" s="2" t="s">
        <v>6360</v>
      </c>
      <c r="Q34" s="2">
        <v>2014</v>
      </c>
      <c r="R34" s="2" t="s">
        <v>5958</v>
      </c>
    </row>
    <row r="35" spans="1:18">
      <c r="A35" s="2">
        <v>5142</v>
      </c>
      <c r="B35" s="2" t="s">
        <v>3523</v>
      </c>
      <c r="C35" s="2" t="s">
        <v>6361</v>
      </c>
      <c r="D35" s="2" t="s">
        <v>201</v>
      </c>
      <c r="E35" s="2" t="s">
        <v>40</v>
      </c>
      <c r="F35" s="2"/>
      <c r="G35" s="2"/>
      <c r="H35" s="2"/>
      <c r="I35" s="2" t="s">
        <v>5957</v>
      </c>
      <c r="J35" s="2" t="s">
        <v>6362</v>
      </c>
      <c r="K35" s="2"/>
      <c r="L35" s="2"/>
      <c r="M35" s="2"/>
      <c r="N35" s="2"/>
      <c r="O35" s="2" t="s">
        <v>6363</v>
      </c>
      <c r="P35" s="2" t="s">
        <v>6364</v>
      </c>
      <c r="Q35" s="2">
        <v>2014</v>
      </c>
      <c r="R35" s="2" t="s">
        <v>5958</v>
      </c>
    </row>
    <row r="36" spans="1:18">
      <c r="A36" s="2">
        <v>5686</v>
      </c>
      <c r="B36" s="2" t="s">
        <v>3993</v>
      </c>
      <c r="C36" s="2" t="s">
        <v>2237</v>
      </c>
      <c r="D36" s="2" t="s">
        <v>201</v>
      </c>
      <c r="E36" s="2" t="s">
        <v>40</v>
      </c>
      <c r="F36" s="2"/>
      <c r="G36" s="2"/>
      <c r="H36" s="2"/>
      <c r="I36" s="2" t="s">
        <v>5957</v>
      </c>
      <c r="J36" s="2" t="s">
        <v>6365</v>
      </c>
      <c r="K36" s="2"/>
      <c r="L36" s="2"/>
      <c r="M36" s="2"/>
      <c r="N36" s="2"/>
      <c r="O36" s="2" t="s">
        <v>6366</v>
      </c>
      <c r="P36" s="2" t="s">
        <v>6351</v>
      </c>
      <c r="Q36" s="2">
        <v>2015</v>
      </c>
      <c r="R36" s="2" t="s">
        <v>6367</v>
      </c>
    </row>
    <row r="37" spans="1:18">
      <c r="A37" s="2">
        <v>5746</v>
      </c>
      <c r="B37" s="2" t="s">
        <v>4056</v>
      </c>
      <c r="C37" s="2" t="s">
        <v>4057</v>
      </c>
      <c r="D37" s="2" t="s">
        <v>201</v>
      </c>
      <c r="E37" s="2" t="s">
        <v>40</v>
      </c>
      <c r="F37" s="2"/>
      <c r="G37" s="2"/>
      <c r="H37" s="2"/>
      <c r="I37" s="2" t="s">
        <v>5957</v>
      </c>
      <c r="J37" s="2" t="s">
        <v>6073</v>
      </c>
      <c r="K37" s="2"/>
      <c r="L37" s="2"/>
      <c r="M37" s="2"/>
      <c r="N37" s="2"/>
      <c r="O37" s="2" t="s">
        <v>6074</v>
      </c>
      <c r="P37" s="2" t="s">
        <v>6075</v>
      </c>
      <c r="Q37" s="2">
        <v>2015</v>
      </c>
      <c r="R37" s="2" t="s">
        <v>5958</v>
      </c>
    </row>
    <row r="38" spans="1:18">
      <c r="A38" s="2">
        <v>6333</v>
      </c>
      <c r="B38" s="2" t="s">
        <v>4612</v>
      </c>
      <c r="C38" s="2" t="s">
        <v>4613</v>
      </c>
      <c r="D38" s="2" t="s">
        <v>201</v>
      </c>
      <c r="E38" s="2" t="s">
        <v>40</v>
      </c>
      <c r="F38" s="2"/>
      <c r="G38" s="2"/>
      <c r="H38" s="2"/>
      <c r="I38" s="2" t="s">
        <v>5957</v>
      </c>
      <c r="J38" s="2" t="s">
        <v>6368</v>
      </c>
      <c r="K38" s="2"/>
      <c r="L38" s="2"/>
      <c r="M38" s="2"/>
      <c r="N38" s="2"/>
      <c r="O38" s="2" t="s">
        <v>6369</v>
      </c>
      <c r="P38" s="2" t="s">
        <v>6370</v>
      </c>
      <c r="Q38" s="2">
        <v>2017</v>
      </c>
      <c r="R38" s="2"/>
    </row>
    <row r="39" spans="1:18">
      <c r="A39" s="2">
        <v>6346</v>
      </c>
      <c r="B39" s="2" t="s">
        <v>4631</v>
      </c>
      <c r="C39" s="2" t="s">
        <v>4632</v>
      </c>
      <c r="D39" s="2" t="s">
        <v>201</v>
      </c>
      <c r="E39" s="2" t="s">
        <v>40</v>
      </c>
      <c r="F39" s="2"/>
      <c r="G39" s="2"/>
      <c r="H39" s="2"/>
      <c r="I39" s="2" t="s">
        <v>5957</v>
      </c>
      <c r="J39" s="2" t="s">
        <v>6076</v>
      </c>
      <c r="K39" s="2"/>
      <c r="L39" s="2"/>
      <c r="M39" s="2"/>
      <c r="N39" s="2"/>
      <c r="O39" s="2" t="s">
        <v>6077</v>
      </c>
      <c r="P39" s="2" t="s">
        <v>6078</v>
      </c>
      <c r="Q39" s="2">
        <v>2017</v>
      </c>
      <c r="R39" s="2"/>
    </row>
    <row r="40" spans="1:18">
      <c r="A40" s="2">
        <v>6811</v>
      </c>
      <c r="B40" s="2" t="s">
        <v>5140</v>
      </c>
      <c r="C40" s="2" t="s">
        <v>264</v>
      </c>
      <c r="D40" s="2" t="s">
        <v>201</v>
      </c>
      <c r="E40" s="2" t="s">
        <v>40</v>
      </c>
      <c r="F40" s="2"/>
      <c r="G40" s="2"/>
      <c r="H40" s="2"/>
      <c r="I40" s="2" t="s">
        <v>5957</v>
      </c>
      <c r="J40" s="2" t="s">
        <v>6079</v>
      </c>
      <c r="K40" s="2"/>
      <c r="L40" s="2"/>
      <c r="M40" s="2"/>
      <c r="N40" s="2"/>
      <c r="O40" s="2" t="s">
        <v>6080</v>
      </c>
      <c r="P40" s="2" t="s">
        <v>6081</v>
      </c>
      <c r="Q40" s="2">
        <v>2018</v>
      </c>
      <c r="R40" s="2"/>
    </row>
    <row r="41" spans="1:18">
      <c r="A41" s="2">
        <v>6812</v>
      </c>
      <c r="B41" s="2" t="s">
        <v>5141</v>
      </c>
      <c r="C41" s="2" t="s">
        <v>3168</v>
      </c>
      <c r="D41" s="2" t="s">
        <v>60</v>
      </c>
      <c r="E41" s="2" t="s">
        <v>40</v>
      </c>
      <c r="F41" s="2"/>
      <c r="G41" s="2"/>
      <c r="H41" s="2"/>
      <c r="I41" s="2" t="s">
        <v>5957</v>
      </c>
      <c r="J41" s="2" t="s">
        <v>6371</v>
      </c>
      <c r="K41" s="2"/>
      <c r="L41" s="2"/>
      <c r="M41" s="2"/>
      <c r="N41" s="2"/>
      <c r="O41" s="2" t="s">
        <v>6372</v>
      </c>
      <c r="P41" s="2" t="s">
        <v>6373</v>
      </c>
      <c r="Q41" s="2">
        <v>2018</v>
      </c>
      <c r="R41" s="2"/>
    </row>
    <row r="42" spans="1:18">
      <c r="A42" s="2">
        <v>6895</v>
      </c>
      <c r="B42" s="2" t="s">
        <v>5243</v>
      </c>
      <c r="C42" s="2" t="s">
        <v>797</v>
      </c>
      <c r="D42" s="2" t="s">
        <v>181</v>
      </c>
      <c r="E42" s="2" t="s">
        <v>40</v>
      </c>
      <c r="F42" s="2"/>
      <c r="G42" s="2"/>
      <c r="H42" s="2"/>
      <c r="I42" s="2" t="s">
        <v>5957</v>
      </c>
      <c r="J42" s="2" t="s">
        <v>6374</v>
      </c>
      <c r="K42" s="2"/>
      <c r="L42" s="2"/>
      <c r="M42" s="2"/>
      <c r="N42" s="2"/>
      <c r="O42" s="2" t="s">
        <v>6375</v>
      </c>
      <c r="P42" s="2" t="s">
        <v>6376</v>
      </c>
      <c r="Q42" s="2">
        <v>2018</v>
      </c>
      <c r="R42" s="2"/>
    </row>
    <row r="43" spans="1:18">
      <c r="A43" s="2">
        <v>7127</v>
      </c>
      <c r="B43" s="2" t="s">
        <v>6377</v>
      </c>
      <c r="C43" s="2" t="s">
        <v>5545</v>
      </c>
      <c r="D43" s="2" t="s">
        <v>60</v>
      </c>
      <c r="E43" s="2" t="s">
        <v>40</v>
      </c>
      <c r="F43" s="2"/>
      <c r="G43" s="2"/>
      <c r="H43" s="2"/>
      <c r="I43" s="2" t="s">
        <v>5957</v>
      </c>
      <c r="J43" s="2" t="s">
        <v>6082</v>
      </c>
      <c r="K43" s="2"/>
      <c r="L43" s="2"/>
      <c r="M43" s="2"/>
      <c r="N43" s="2"/>
      <c r="O43" s="2" t="s">
        <v>6378</v>
      </c>
      <c r="P43" s="2" t="s">
        <v>6083</v>
      </c>
      <c r="Q43" s="2">
        <v>2018</v>
      </c>
      <c r="R43" s="2" t="s">
        <v>6379</v>
      </c>
    </row>
    <row r="44" spans="1:18">
      <c r="A44" s="2">
        <v>7153</v>
      </c>
      <c r="B44" s="2" t="s">
        <v>5578</v>
      </c>
      <c r="C44" s="2" t="s">
        <v>180</v>
      </c>
      <c r="D44" s="2" t="s">
        <v>201</v>
      </c>
      <c r="E44" s="2" t="s">
        <v>40</v>
      </c>
      <c r="F44" s="2"/>
      <c r="G44" s="2"/>
      <c r="H44" s="2"/>
      <c r="I44" s="2" t="s">
        <v>5957</v>
      </c>
      <c r="J44" s="2" t="s">
        <v>6084</v>
      </c>
      <c r="K44" s="2"/>
      <c r="L44" s="2"/>
      <c r="M44" s="2"/>
      <c r="N44" s="2"/>
      <c r="O44" s="2" t="s">
        <v>6907</v>
      </c>
      <c r="P44" s="2" t="s">
        <v>6085</v>
      </c>
      <c r="Q44" s="2">
        <v>2018</v>
      </c>
      <c r="R44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9"/>
  <sheetViews>
    <sheetView zoomScale="80" zoomScaleNormal="80" zoomScalePageLayoutView="80" workbookViewId="0">
      <selection activeCell="A2" sqref="A2"/>
    </sheetView>
  </sheetViews>
  <sheetFormatPr defaultColWidth="8.85546875" defaultRowHeight="15"/>
  <cols>
    <col min="1" max="1" width="16.28515625" style="12" customWidth="1"/>
    <col min="2" max="2" width="9.42578125" style="12" hidden="1" customWidth="1"/>
    <col min="3" max="3" width="2.140625" style="12" customWidth="1"/>
    <col min="4" max="4" width="8.42578125" style="12" customWidth="1"/>
    <col min="5" max="5" width="10" style="12" customWidth="1"/>
    <col min="6" max="6" width="11.42578125" style="12" customWidth="1"/>
    <col min="7" max="7" width="8.85546875" style="12"/>
    <col min="8" max="8" width="15.28515625" style="12" customWidth="1"/>
    <col min="9" max="10" width="12" style="12" customWidth="1"/>
    <col min="11" max="11" width="13.85546875" style="12" customWidth="1"/>
    <col min="12" max="12" width="14.85546875" style="12" customWidth="1"/>
    <col min="13" max="13" width="13.140625" style="12" customWidth="1"/>
    <col min="14" max="14" width="16.28515625" style="34" customWidth="1"/>
    <col min="15" max="15" width="22.42578125" style="34" customWidth="1"/>
    <col min="16" max="16" width="24.7109375" style="12" customWidth="1"/>
    <col min="17" max="18" width="7.5703125" style="12" customWidth="1"/>
    <col min="19" max="19" width="7.42578125" style="12" customWidth="1"/>
    <col min="20" max="16384" width="8.85546875" style="12"/>
  </cols>
  <sheetData>
    <row r="1" spans="1:20" ht="16.5" customHeight="1" thickBot="1">
      <c r="A1" s="112">
        <v>558</v>
      </c>
      <c r="B1" s="113"/>
      <c r="C1" s="113"/>
      <c r="D1" s="113"/>
      <c r="E1" s="114"/>
    </row>
    <row r="2" spans="1:20" ht="15" customHeight="1" thickBot="1">
      <c r="A2" s="67" t="s">
        <v>5873</v>
      </c>
      <c r="E2" s="301" t="s">
        <v>5848</v>
      </c>
      <c r="F2" s="302"/>
      <c r="G2" s="302"/>
      <c r="H2" s="302"/>
      <c r="I2" s="302"/>
      <c r="J2" s="302"/>
      <c r="K2" s="302"/>
      <c r="L2" s="302"/>
      <c r="M2" s="303"/>
      <c r="O2" s="314" t="s">
        <v>5970</v>
      </c>
      <c r="P2" s="315"/>
      <c r="Q2" s="315"/>
      <c r="R2" s="315"/>
      <c r="S2" s="315"/>
      <c r="T2" s="316"/>
    </row>
    <row r="3" spans="1:20" ht="15.75" thickBot="1">
      <c r="A3" s="299"/>
      <c r="E3" s="81" t="s">
        <v>5843</v>
      </c>
      <c r="F3" s="82" t="s">
        <v>5866</v>
      </c>
      <c r="G3" s="81" t="s">
        <v>5816</v>
      </c>
      <c r="H3" s="310" t="s">
        <v>5844</v>
      </c>
      <c r="I3" s="311"/>
      <c r="J3" s="81" t="s">
        <v>5845</v>
      </c>
      <c r="K3" s="82" t="s">
        <v>5867</v>
      </c>
      <c r="L3" s="81" t="s">
        <v>5846</v>
      </c>
      <c r="M3" s="83" t="s">
        <v>5847</v>
      </c>
      <c r="O3" s="127" t="s">
        <v>5966</v>
      </c>
      <c r="P3" s="143" t="s">
        <v>5977</v>
      </c>
      <c r="Q3" s="143" t="s">
        <v>5968</v>
      </c>
      <c r="R3" s="143" t="s">
        <v>5816</v>
      </c>
      <c r="S3" s="143" t="s">
        <v>5876</v>
      </c>
      <c r="T3" s="120" t="s">
        <v>6034</v>
      </c>
    </row>
    <row r="4" spans="1:20" ht="18.75" customHeight="1" thickBot="1">
      <c r="A4" s="300"/>
      <c r="E4" s="80" t="str">
        <f>IFERROR(VLOOKUP($A$1, PitCleaned!$A:$I,2, FALSE),"")</f>
        <v>Scale</v>
      </c>
      <c r="F4" s="80" t="str">
        <f>IFERROR(VLOOKUP($A$1, PitCleaned!$A:$I,3, FALSE),"")</f>
        <v>Scale</v>
      </c>
      <c r="G4" s="80" t="str">
        <f>IFERROR(VLOOKUP($A$1, PitCleaned!$A:$I,4, FALSE),"")</f>
        <v>Climb on own</v>
      </c>
      <c r="H4" s="312" t="str">
        <f>IFERROR(VLOOKUP($A$1, PitCleaned!$A:$I,5, FALSE),"")</f>
        <v>Pick up on own</v>
      </c>
      <c r="I4" s="313"/>
      <c r="J4" s="80" t="str">
        <f>IFERROR(VLOOKUP($A$1, PitCleaned!$A:$I,6, FALSE),"")</f>
        <v>6 wheel tank</v>
      </c>
      <c r="K4" s="80">
        <f>IFERROR(VLOOKUP($A$1, PitCleaned!$A:$I,7, FALSE),"")</f>
        <v>6</v>
      </c>
      <c r="L4" s="80" t="str">
        <f>IFERROR(VLOOKUP($A$1, PitCleaned!$A:$I,8, FALSE),"")</f>
        <v>Mini CIMs. Absolutely tiny but will push you across the field</v>
      </c>
      <c r="M4" s="80" t="str">
        <f>IFERROR(VLOOKUP($A$1, PitCleaned!$A:$I,9, FALSE),"")</f>
        <v>Andy</v>
      </c>
      <c r="O4" s="175">
        <f>IFERROR(VLOOKUP($A$1,SkillRanking!$A:$Q,14,FALSE),"")</f>
        <v>35</v>
      </c>
      <c r="P4" s="178">
        <f>IFERROR(VLOOKUP($A$1,SkillRanking!$A:$Q,15,FALSE),"")</f>
        <v>211</v>
      </c>
      <c r="Q4" s="178">
        <f>IFERROR(VLOOKUP($A$1,SkillRanking!$A:$Q,16,FALSE),"")</f>
        <v>37</v>
      </c>
      <c r="R4" s="178">
        <f>IFERROR(VLOOKUP($A$1,SkillRanking!$A:$Q,17,FALSE),"")</f>
        <v>61</v>
      </c>
      <c r="S4" s="33">
        <f>IFERROR(VLOOKUP($A$1,SkillRanking!$A:$Q,12,FALSE),"")</f>
        <v>142.30087661006644</v>
      </c>
      <c r="T4" s="124">
        <f>IFERROR(VLOOKUP($A$1,SkillRanking!$A:$Q,13,FALSE),"")</f>
        <v>6</v>
      </c>
    </row>
    <row r="5" spans="1:20" ht="15.75" thickBot="1">
      <c r="A5" s="68" t="s">
        <v>5871</v>
      </c>
      <c r="E5" s="42"/>
      <c r="F5" s="42"/>
      <c r="G5" s="42"/>
      <c r="H5" s="42"/>
      <c r="I5" s="42"/>
      <c r="J5" s="42"/>
      <c r="K5" s="42"/>
      <c r="L5" s="42"/>
      <c r="M5" s="42"/>
    </row>
    <row r="6" spans="1:20" ht="15" customHeight="1" thickBot="1">
      <c r="A6" s="304"/>
      <c r="D6" s="304"/>
      <c r="E6" s="301" t="s">
        <v>5850</v>
      </c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3"/>
    </row>
    <row r="7" spans="1:20" ht="15.75" customHeight="1" thickBot="1">
      <c r="A7" s="299"/>
      <c r="D7" s="299"/>
      <c r="E7" s="53"/>
      <c r="F7" s="305" t="s">
        <v>5868</v>
      </c>
      <c r="G7" s="306"/>
      <c r="H7" s="307"/>
      <c r="I7" s="308" t="s">
        <v>5869</v>
      </c>
      <c r="J7" s="306"/>
      <c r="K7" s="306"/>
      <c r="L7" s="306"/>
      <c r="M7" s="306"/>
      <c r="N7" s="306"/>
      <c r="O7" s="309"/>
      <c r="P7" s="176"/>
    </row>
    <row r="8" spans="1:20" ht="15" hidden="1" customHeight="1" thickBot="1">
      <c r="A8" s="299"/>
      <c r="B8" s="12">
        <f>MATCH(A1,MatchCleaned!A:A,1)</f>
        <v>132</v>
      </c>
      <c r="D8" s="299"/>
      <c r="E8" s="53" t="s">
        <v>5851</v>
      </c>
      <c r="F8" s="53" t="s">
        <v>5852</v>
      </c>
      <c r="G8" s="53" t="s">
        <v>5853</v>
      </c>
      <c r="H8" s="53" t="s">
        <v>5854</v>
      </c>
      <c r="I8" s="53" t="s">
        <v>5855</v>
      </c>
      <c r="J8" s="53" t="s">
        <v>5856</v>
      </c>
      <c r="K8" s="42" t="s">
        <v>5857</v>
      </c>
      <c r="L8" s="53" t="s">
        <v>5858</v>
      </c>
      <c r="M8" s="42" t="s">
        <v>5859</v>
      </c>
      <c r="N8" s="72" t="s">
        <v>5860</v>
      </c>
      <c r="O8" s="44" t="s">
        <v>5861</v>
      </c>
      <c r="P8" s="53" t="s">
        <v>5894</v>
      </c>
    </row>
    <row r="9" spans="1:20" ht="17.25" customHeight="1" thickBot="1">
      <c r="A9" s="300"/>
      <c r="B9" s="12">
        <f>VLOOKUP(A1,MatchPivot!A:R,2, FALSE)</f>
        <v>13</v>
      </c>
      <c r="D9" s="299"/>
      <c r="E9" s="100" t="s">
        <v>2</v>
      </c>
      <c r="F9" s="99" t="s">
        <v>19</v>
      </c>
      <c r="G9" s="99" t="s">
        <v>13</v>
      </c>
      <c r="H9" s="98" t="s">
        <v>14</v>
      </c>
      <c r="I9" s="86" t="s">
        <v>5892</v>
      </c>
      <c r="J9" s="96" t="s">
        <v>5893</v>
      </c>
      <c r="K9" s="86" t="s">
        <v>20</v>
      </c>
      <c r="L9" s="96" t="s">
        <v>21</v>
      </c>
      <c r="M9" s="86" t="s">
        <v>5849</v>
      </c>
      <c r="N9" s="102" t="s">
        <v>5863</v>
      </c>
      <c r="O9" s="103" t="s">
        <v>5864</v>
      </c>
      <c r="P9" s="177" t="s">
        <v>11</v>
      </c>
    </row>
    <row r="10" spans="1:20">
      <c r="B10" s="12">
        <v>1</v>
      </c>
      <c r="D10" s="299"/>
      <c r="E10" s="88">
        <f t="shared" ref="E10:P10" ca="1" si="0">IFERROR(IF($B$9&gt;=$B10, INDIRECT("MatchCleaned!"&amp;E$8&amp;$B$8-$B$9+$B10,TRUE), ""),"")</f>
        <v>14</v>
      </c>
      <c r="F10" s="56">
        <f t="shared" ca="1" si="0"/>
        <v>1</v>
      </c>
      <c r="G10" s="56">
        <f t="shared" ca="1" si="0"/>
        <v>1</v>
      </c>
      <c r="H10" s="64">
        <f t="shared" ca="1" si="0"/>
        <v>0</v>
      </c>
      <c r="I10" s="90">
        <f t="shared" ca="1" si="0"/>
        <v>2</v>
      </c>
      <c r="J10" s="89">
        <f t="shared" ca="1" si="0"/>
        <v>0</v>
      </c>
      <c r="K10" s="90">
        <f t="shared" ca="1" si="0"/>
        <v>0</v>
      </c>
      <c r="L10" s="89">
        <f t="shared" ca="1" si="0"/>
        <v>7</v>
      </c>
      <c r="M10" s="59">
        <f t="shared" ca="1" si="0"/>
        <v>0</v>
      </c>
      <c r="N10" s="104" t="str">
        <f t="shared" ca="1" si="0"/>
        <v>NONE</v>
      </c>
      <c r="O10" s="105" t="str">
        <f t="shared" ca="1" si="0"/>
        <v>Force3, Boost3, Levitate</v>
      </c>
      <c r="P10" s="90">
        <f t="shared" ca="1" si="0"/>
        <v>0</v>
      </c>
    </row>
    <row r="11" spans="1:20">
      <c r="B11" s="12">
        <v>2</v>
      </c>
      <c r="D11" s="299"/>
      <c r="E11" s="91">
        <f t="shared" ref="E11:P24" ca="1" si="1">IFERROR(IF($B$9&gt;=$B11, INDIRECT("MatchCleaned!"&amp;E$8&amp;$B$8-$B$9+$B11,TRUE), ""),"")</f>
        <v>17</v>
      </c>
      <c r="F11" s="60">
        <f t="shared" ca="1" si="1"/>
        <v>1</v>
      </c>
      <c r="G11" s="57">
        <f t="shared" ca="1" si="1"/>
        <v>1</v>
      </c>
      <c r="H11" s="65">
        <f t="shared" ca="1" si="1"/>
        <v>0</v>
      </c>
      <c r="I11" s="50">
        <f t="shared" ca="1" si="1"/>
        <v>0</v>
      </c>
      <c r="J11" s="84">
        <f t="shared" ca="1" si="1"/>
        <v>0</v>
      </c>
      <c r="K11" s="50">
        <f t="shared" ca="1" si="1"/>
        <v>1</v>
      </c>
      <c r="L11" s="84">
        <f t="shared" ca="1" si="1"/>
        <v>5</v>
      </c>
      <c r="M11" s="60">
        <f t="shared" ca="1" si="1"/>
        <v>0</v>
      </c>
      <c r="N11" s="106">
        <f t="shared" ca="1" si="1"/>
        <v>0</v>
      </c>
      <c r="O11" s="107" t="str">
        <f t="shared" ca="1" si="1"/>
        <v>Force3, Boost3, Levitate</v>
      </c>
      <c r="P11" s="50">
        <f t="shared" ca="1" si="1"/>
        <v>0</v>
      </c>
    </row>
    <row r="12" spans="1:20">
      <c r="B12" s="12">
        <v>3</v>
      </c>
      <c r="D12" s="299"/>
      <c r="E12" s="91">
        <f t="shared" ca="1" si="1"/>
        <v>26</v>
      </c>
      <c r="F12" s="60">
        <f t="shared" ca="1" si="1"/>
        <v>1</v>
      </c>
      <c r="G12" s="57">
        <f t="shared" ca="1" si="1"/>
        <v>1</v>
      </c>
      <c r="H12" s="65">
        <f t="shared" ca="1" si="1"/>
        <v>0</v>
      </c>
      <c r="I12" s="50">
        <f t="shared" ca="1" si="1"/>
        <v>1</v>
      </c>
      <c r="J12" s="84">
        <f t="shared" ca="1" si="1"/>
        <v>0</v>
      </c>
      <c r="K12" s="50">
        <f t="shared" ca="1" si="1"/>
        <v>0</v>
      </c>
      <c r="L12" s="84">
        <f t="shared" ca="1" si="1"/>
        <v>8</v>
      </c>
      <c r="M12" s="60">
        <f t="shared" ca="1" si="1"/>
        <v>1</v>
      </c>
      <c r="N12" s="106" t="str">
        <f t="shared" ca="1" si="1"/>
        <v>Climb on own</v>
      </c>
      <c r="O12" s="107" t="str">
        <f t="shared" ca="1" si="1"/>
        <v>Force3, Levitate</v>
      </c>
      <c r="P12" s="50">
        <f t="shared" ca="1" si="1"/>
        <v>0</v>
      </c>
    </row>
    <row r="13" spans="1:20">
      <c r="B13" s="12">
        <v>4</v>
      </c>
      <c r="D13" s="299"/>
      <c r="E13" s="91">
        <f t="shared" ca="1" si="1"/>
        <v>29</v>
      </c>
      <c r="F13" s="60">
        <f t="shared" ca="1" si="1"/>
        <v>1</v>
      </c>
      <c r="G13" s="57">
        <f t="shared" ca="1" si="1"/>
        <v>1</v>
      </c>
      <c r="H13" s="65">
        <f t="shared" ca="1" si="1"/>
        <v>0</v>
      </c>
      <c r="I13" s="50">
        <f t="shared" ca="1" si="1"/>
        <v>1</v>
      </c>
      <c r="J13" s="84">
        <f t="shared" ca="1" si="1"/>
        <v>0</v>
      </c>
      <c r="K13" s="50">
        <f t="shared" ca="1" si="1"/>
        <v>4</v>
      </c>
      <c r="L13" s="84">
        <f t="shared" ca="1" si="1"/>
        <v>1</v>
      </c>
      <c r="M13" s="60">
        <f t="shared" ca="1" si="1"/>
        <v>1</v>
      </c>
      <c r="N13" s="106" t="str">
        <f t="shared" ca="1" si="1"/>
        <v>Climb on own</v>
      </c>
      <c r="O13" s="107" t="str">
        <f t="shared" ca="1" si="1"/>
        <v>Boost3, Levitate</v>
      </c>
      <c r="P13" s="50">
        <f t="shared" ca="1" si="1"/>
        <v>0</v>
      </c>
    </row>
    <row r="14" spans="1:20">
      <c r="B14" s="12">
        <v>5</v>
      </c>
      <c r="D14" s="299"/>
      <c r="E14" s="91">
        <f t="shared" ca="1" si="1"/>
        <v>35</v>
      </c>
      <c r="F14" s="60">
        <f t="shared" ca="1" si="1"/>
        <v>0</v>
      </c>
      <c r="G14" s="57">
        <f t="shared" ca="1" si="1"/>
        <v>1</v>
      </c>
      <c r="H14" s="65">
        <f t="shared" ca="1" si="1"/>
        <v>0</v>
      </c>
      <c r="I14" s="50">
        <f t="shared" ca="1" si="1"/>
        <v>3</v>
      </c>
      <c r="J14" s="84">
        <f t="shared" ca="1" si="1"/>
        <v>5</v>
      </c>
      <c r="K14" s="50">
        <f t="shared" ca="1" si="1"/>
        <v>6</v>
      </c>
      <c r="L14" s="84">
        <f t="shared" ca="1" si="1"/>
        <v>6</v>
      </c>
      <c r="M14" s="60">
        <f t="shared" ca="1" si="1"/>
        <v>1</v>
      </c>
      <c r="N14" s="106" t="str">
        <f t="shared" ca="1" si="1"/>
        <v>Climb on own</v>
      </c>
      <c r="O14" s="107" t="str">
        <f t="shared" ca="1" si="1"/>
        <v>Force3, Levitate</v>
      </c>
      <c r="P14" s="50">
        <f t="shared" ca="1" si="1"/>
        <v>0</v>
      </c>
    </row>
    <row r="15" spans="1:20">
      <c r="B15" s="12">
        <v>6</v>
      </c>
      <c r="D15" s="299"/>
      <c r="E15" s="91">
        <f t="shared" ca="1" si="1"/>
        <v>48</v>
      </c>
      <c r="F15" s="60">
        <f t="shared" ca="1" si="1"/>
        <v>1</v>
      </c>
      <c r="G15" s="57">
        <f t="shared" ca="1" si="1"/>
        <v>0</v>
      </c>
      <c r="H15" s="65">
        <f t="shared" ca="1" si="1"/>
        <v>0</v>
      </c>
      <c r="I15" s="50">
        <f t="shared" ca="1" si="1"/>
        <v>0</v>
      </c>
      <c r="J15" s="84">
        <f t="shared" ca="1" si="1"/>
        <v>0</v>
      </c>
      <c r="K15" s="50">
        <f t="shared" ca="1" si="1"/>
        <v>3</v>
      </c>
      <c r="L15" s="84">
        <f t="shared" ca="1" si="1"/>
        <v>0</v>
      </c>
      <c r="M15" s="60">
        <f t="shared" ca="1" si="1"/>
        <v>0</v>
      </c>
      <c r="N15" s="106" t="str">
        <f t="shared" ca="1" si="1"/>
        <v>Climb on own</v>
      </c>
      <c r="O15" s="107" t="str">
        <f t="shared" ca="1" si="1"/>
        <v>Force3, Boost3, Levitate</v>
      </c>
      <c r="P15" s="50" t="str">
        <f t="shared" ca="1" si="1"/>
        <v>Auto Missed; THEY DIDN'T CLIMB BUT I STILL LOVE IT SO MUCH!!!</v>
      </c>
    </row>
    <row r="16" spans="1:20">
      <c r="B16" s="12">
        <v>7</v>
      </c>
      <c r="D16" s="299"/>
      <c r="E16" s="91">
        <f t="shared" ca="1" si="1"/>
        <v>51</v>
      </c>
      <c r="F16" s="60">
        <f t="shared" ca="1" si="1"/>
        <v>1</v>
      </c>
      <c r="G16" s="57">
        <f t="shared" ca="1" si="1"/>
        <v>1</v>
      </c>
      <c r="H16" s="65">
        <f t="shared" ca="1" si="1"/>
        <v>0</v>
      </c>
      <c r="I16" s="50">
        <f t="shared" ca="1" si="1"/>
        <v>3</v>
      </c>
      <c r="J16" s="84">
        <f t="shared" ca="1" si="1"/>
        <v>4</v>
      </c>
      <c r="K16" s="50">
        <f t="shared" ca="1" si="1"/>
        <v>0</v>
      </c>
      <c r="L16" s="84">
        <f t="shared" ca="1" si="1"/>
        <v>0</v>
      </c>
      <c r="M16" s="60">
        <f t="shared" ca="1" si="1"/>
        <v>0</v>
      </c>
      <c r="N16" s="106" t="str">
        <f t="shared" ca="1" si="1"/>
        <v>Climb on own</v>
      </c>
      <c r="O16" s="107" t="str">
        <f t="shared" ca="1" si="1"/>
        <v>Force3, Levitate</v>
      </c>
      <c r="P16" s="50" t="str">
        <f t="shared" ca="1" si="1"/>
        <v>THE CLIMB IS BEATIFUL BUT INCONSISTENT</v>
      </c>
    </row>
    <row r="17" spans="2:16">
      <c r="B17" s="12">
        <v>8</v>
      </c>
      <c r="D17" s="299"/>
      <c r="E17" s="91">
        <f t="shared" ca="1" si="1"/>
        <v>62</v>
      </c>
      <c r="F17" s="60">
        <f t="shared" ca="1" si="1"/>
        <v>0</v>
      </c>
      <c r="G17" s="57">
        <f t="shared" ca="1" si="1"/>
        <v>1</v>
      </c>
      <c r="H17" s="65">
        <f t="shared" ca="1" si="1"/>
        <v>0</v>
      </c>
      <c r="I17" s="50">
        <f t="shared" ca="1" si="1"/>
        <v>1</v>
      </c>
      <c r="J17" s="84">
        <f t="shared" ca="1" si="1"/>
        <v>3</v>
      </c>
      <c r="K17" s="50">
        <f t="shared" ca="1" si="1"/>
        <v>5</v>
      </c>
      <c r="L17" s="84">
        <f t="shared" ca="1" si="1"/>
        <v>6</v>
      </c>
      <c r="M17" s="60">
        <f t="shared" ca="1" si="1"/>
        <v>0</v>
      </c>
      <c r="N17" s="106" t="str">
        <f t="shared" ca="1" si="1"/>
        <v>NONE</v>
      </c>
      <c r="O17" s="107" t="str">
        <f t="shared" ca="1" si="1"/>
        <v>Boost3, Levitate</v>
      </c>
      <c r="P17" s="50" t="str">
        <f t="shared" ca="1" si="1"/>
        <v>Climb was AMAZINGGGGGG</v>
      </c>
    </row>
    <row r="18" spans="2:16">
      <c r="B18" s="12">
        <v>9</v>
      </c>
      <c r="D18" s="299"/>
      <c r="E18" s="91">
        <f t="shared" ca="1" si="1"/>
        <v>68</v>
      </c>
      <c r="F18" s="60">
        <f t="shared" ca="1" si="1"/>
        <v>1</v>
      </c>
      <c r="G18" s="57">
        <f t="shared" ca="1" si="1"/>
        <v>1</v>
      </c>
      <c r="H18" s="65">
        <f t="shared" ca="1" si="1"/>
        <v>0</v>
      </c>
      <c r="I18" s="50">
        <f t="shared" ca="1" si="1"/>
        <v>0</v>
      </c>
      <c r="J18" s="84">
        <f t="shared" ca="1" si="1"/>
        <v>0</v>
      </c>
      <c r="K18" s="50">
        <f t="shared" ca="1" si="1"/>
        <v>2</v>
      </c>
      <c r="L18" s="84">
        <f t="shared" ca="1" si="1"/>
        <v>0</v>
      </c>
      <c r="M18" s="60">
        <f t="shared" ca="1" si="1"/>
        <v>1</v>
      </c>
      <c r="N18" s="106" t="str">
        <f t="shared" ca="1" si="1"/>
        <v>Levitate</v>
      </c>
      <c r="O18" s="107" t="str">
        <f t="shared" ca="1" si="1"/>
        <v>Force3, Boost3, Levitate</v>
      </c>
      <c r="P18" s="50" t="str">
        <f t="shared" ca="1" si="1"/>
        <v xml:space="preserve">2 cube auto. Inconsistent shooting mechanism </v>
      </c>
    </row>
    <row r="19" spans="2:16" ht="30">
      <c r="B19" s="12">
        <v>10</v>
      </c>
      <c r="D19" s="299"/>
      <c r="E19" s="91">
        <f t="shared" ca="1" si="1"/>
        <v>74</v>
      </c>
      <c r="F19" s="60">
        <f t="shared" ca="1" si="1"/>
        <v>0</v>
      </c>
      <c r="G19" s="57">
        <f t="shared" ca="1" si="1"/>
        <v>1</v>
      </c>
      <c r="H19" s="65">
        <f t="shared" ca="1" si="1"/>
        <v>0</v>
      </c>
      <c r="I19" s="50">
        <f t="shared" ca="1" si="1"/>
        <v>4</v>
      </c>
      <c r="J19" s="84">
        <f t="shared" ca="1" si="1"/>
        <v>3</v>
      </c>
      <c r="K19" s="50">
        <f t="shared" ca="1" si="1"/>
        <v>3</v>
      </c>
      <c r="L19" s="84">
        <f t="shared" ca="1" si="1"/>
        <v>6</v>
      </c>
      <c r="M19" s="60">
        <f t="shared" ca="1" si="1"/>
        <v>1</v>
      </c>
      <c r="N19" s="106" t="str">
        <f t="shared" ca="1" si="1"/>
        <v>Assisted (climb on ramp)</v>
      </c>
      <c r="O19" s="107" t="str">
        <f t="shared" ca="1" si="1"/>
        <v>Boost3, Levitate</v>
      </c>
      <c r="P19" s="50">
        <f t="shared" ca="1" si="1"/>
        <v>0</v>
      </c>
    </row>
    <row r="20" spans="2:16" ht="30">
      <c r="B20" s="12">
        <v>11</v>
      </c>
      <c r="D20" s="299"/>
      <c r="E20" s="91">
        <f t="shared" ca="1" si="1"/>
        <v>74</v>
      </c>
      <c r="F20" s="60">
        <f t="shared" ca="1" si="1"/>
        <v>1</v>
      </c>
      <c r="G20" s="57">
        <f t="shared" ca="1" si="1"/>
        <v>0</v>
      </c>
      <c r="H20" s="65">
        <f t="shared" ca="1" si="1"/>
        <v>0</v>
      </c>
      <c r="I20" s="50">
        <f t="shared" ca="1" si="1"/>
        <v>4</v>
      </c>
      <c r="J20" s="84">
        <f t="shared" ca="1" si="1"/>
        <v>0</v>
      </c>
      <c r="K20" s="50">
        <f t="shared" ca="1" si="1"/>
        <v>0</v>
      </c>
      <c r="L20" s="84">
        <f t="shared" ca="1" si="1"/>
        <v>0</v>
      </c>
      <c r="M20" s="60">
        <f t="shared" ca="1" si="1"/>
        <v>1</v>
      </c>
      <c r="N20" s="106" t="str">
        <f t="shared" ca="1" si="1"/>
        <v>Assisted (climb on ramp)</v>
      </c>
      <c r="O20" s="107" t="str">
        <f t="shared" ca="1" si="1"/>
        <v>Boost3, Levitate</v>
      </c>
      <c r="P20" s="50">
        <f t="shared" ca="1" si="1"/>
        <v>0</v>
      </c>
    </row>
    <row r="21" spans="2:16">
      <c r="B21" s="12">
        <v>12</v>
      </c>
      <c r="D21" s="299"/>
      <c r="E21" s="91">
        <f t="shared" ca="1" si="1"/>
        <v>78</v>
      </c>
      <c r="F21" s="60">
        <f t="shared" ca="1" si="1"/>
        <v>0</v>
      </c>
      <c r="G21" s="57">
        <f t="shared" ca="1" si="1"/>
        <v>1</v>
      </c>
      <c r="H21" s="65">
        <f t="shared" ca="1" si="1"/>
        <v>0</v>
      </c>
      <c r="I21" s="50">
        <f t="shared" ca="1" si="1"/>
        <v>1</v>
      </c>
      <c r="J21" s="84">
        <f t="shared" ca="1" si="1"/>
        <v>3</v>
      </c>
      <c r="K21" s="50">
        <f t="shared" ca="1" si="1"/>
        <v>5</v>
      </c>
      <c r="L21" s="84">
        <f t="shared" ca="1" si="1"/>
        <v>3</v>
      </c>
      <c r="M21" s="60">
        <f t="shared" ca="1" si="1"/>
        <v>0</v>
      </c>
      <c r="N21" s="106" t="str">
        <f t="shared" ca="1" si="1"/>
        <v>NONE</v>
      </c>
      <c r="O21" s="107" t="str">
        <f t="shared" ca="1" si="1"/>
        <v>Boost3</v>
      </c>
      <c r="P21" s="50">
        <f t="shared" ca="1" si="1"/>
        <v>0</v>
      </c>
    </row>
    <row r="22" spans="2:16">
      <c r="B22" s="12">
        <v>13</v>
      </c>
      <c r="D22" s="299"/>
      <c r="E22" s="91">
        <f t="shared" ca="1" si="1"/>
        <v>78</v>
      </c>
      <c r="F22" s="60">
        <f t="shared" ca="1" si="1"/>
        <v>1</v>
      </c>
      <c r="G22" s="57">
        <f t="shared" ca="1" si="1"/>
        <v>1</v>
      </c>
      <c r="H22" s="65">
        <f t="shared" ca="1" si="1"/>
        <v>0</v>
      </c>
      <c r="I22" s="50">
        <f t="shared" ca="1" si="1"/>
        <v>0</v>
      </c>
      <c r="J22" s="84">
        <f t="shared" ca="1" si="1"/>
        <v>2</v>
      </c>
      <c r="K22" s="50">
        <f t="shared" ca="1" si="1"/>
        <v>2</v>
      </c>
      <c r="L22" s="84">
        <f t="shared" ca="1" si="1"/>
        <v>0</v>
      </c>
      <c r="M22" s="60">
        <f t="shared" ca="1" si="1"/>
        <v>0</v>
      </c>
      <c r="N22" s="106">
        <f t="shared" ca="1" si="1"/>
        <v>0</v>
      </c>
      <c r="O22" s="107" t="str">
        <f t="shared" ca="1" si="1"/>
        <v>Levitate</v>
      </c>
      <c r="P22" s="50">
        <f t="shared" ca="1" si="1"/>
        <v>0</v>
      </c>
    </row>
    <row r="23" spans="2:16">
      <c r="B23" s="12">
        <v>14</v>
      </c>
      <c r="D23" s="299"/>
      <c r="E23" s="91" t="str">
        <f t="shared" ca="1" si="1"/>
        <v/>
      </c>
      <c r="F23" s="60" t="str">
        <f t="shared" ca="1" si="1"/>
        <v/>
      </c>
      <c r="G23" s="57" t="str">
        <f t="shared" ca="1" si="1"/>
        <v/>
      </c>
      <c r="H23" s="65" t="str">
        <f t="shared" ca="1" si="1"/>
        <v/>
      </c>
      <c r="I23" s="50" t="str">
        <f t="shared" ca="1" si="1"/>
        <v/>
      </c>
      <c r="J23" s="84" t="str">
        <f t="shared" ca="1" si="1"/>
        <v/>
      </c>
      <c r="K23" s="50" t="str">
        <f t="shared" ca="1" si="1"/>
        <v/>
      </c>
      <c r="L23" s="84" t="str">
        <f t="shared" ca="1" si="1"/>
        <v/>
      </c>
      <c r="M23" s="60" t="str">
        <f t="shared" ca="1" si="1"/>
        <v/>
      </c>
      <c r="N23" s="106" t="str">
        <f t="shared" ca="1" si="1"/>
        <v/>
      </c>
      <c r="O23" s="107" t="str">
        <f t="shared" ca="1" si="1"/>
        <v/>
      </c>
      <c r="P23" s="50" t="str">
        <f t="shared" ca="1" si="1"/>
        <v/>
      </c>
    </row>
    <row r="24" spans="2:16" ht="15.75" thickBot="1">
      <c r="B24" s="12">
        <v>15</v>
      </c>
      <c r="D24" s="300"/>
      <c r="E24" s="92" t="str">
        <f t="shared" ca="1" si="1"/>
        <v/>
      </c>
      <c r="F24" s="61" t="str">
        <f t="shared" ca="1" si="1"/>
        <v/>
      </c>
      <c r="G24" s="58" t="str">
        <f t="shared" ca="1" si="1"/>
        <v/>
      </c>
      <c r="H24" s="66" t="str">
        <f t="shared" ca="1" si="1"/>
        <v/>
      </c>
      <c r="I24" s="85" t="str">
        <f t="shared" ca="1" si="1"/>
        <v/>
      </c>
      <c r="J24" s="93" t="str">
        <f t="shared" ca="1" si="1"/>
        <v/>
      </c>
      <c r="K24" s="85" t="str">
        <f t="shared" ca="1" si="1"/>
        <v/>
      </c>
      <c r="L24" s="93" t="str">
        <f t="shared" ca="1" si="1"/>
        <v/>
      </c>
      <c r="M24" s="61" t="str">
        <f t="shared" ca="1" si="1"/>
        <v/>
      </c>
      <c r="N24" s="108" t="str">
        <f t="shared" ca="1" si="1"/>
        <v/>
      </c>
      <c r="O24" s="109" t="str">
        <f t="shared" ca="1" si="1"/>
        <v/>
      </c>
      <c r="P24" s="85" t="str">
        <f t="shared" ca="1" si="1"/>
        <v/>
      </c>
    </row>
    <row r="25" spans="2:16" ht="12.75" customHeight="1">
      <c r="D25" s="97" t="s">
        <v>5862</v>
      </c>
      <c r="E25" s="35"/>
      <c r="F25" s="73">
        <f t="shared" ref="F25:M25" ca="1" si="2">IFERROR(AVERAGE(F10:F24),"No Ave")</f>
        <v>0.69230769230769229</v>
      </c>
      <c r="G25" s="73">
        <f t="shared" ca="1" si="2"/>
        <v>0.84615384615384615</v>
      </c>
      <c r="H25" s="73">
        <f t="shared" ca="1" si="2"/>
        <v>0</v>
      </c>
      <c r="I25" s="87">
        <f t="shared" ca="1" si="2"/>
        <v>1.5384615384615385</v>
      </c>
      <c r="J25" s="87">
        <f t="shared" ca="1" si="2"/>
        <v>1.5384615384615385</v>
      </c>
      <c r="K25" s="87">
        <f t="shared" ca="1" si="2"/>
        <v>2.3846153846153846</v>
      </c>
      <c r="L25" s="87">
        <f t="shared" ca="1" si="2"/>
        <v>3.2307692307692308</v>
      </c>
      <c r="M25" s="73">
        <f t="shared" ca="1" si="2"/>
        <v>0.46153846153846156</v>
      </c>
      <c r="N25" s="110"/>
      <c r="O25" s="110"/>
      <c r="P25" s="131"/>
    </row>
    <row r="26" spans="2:16" ht="12.75" customHeight="1" thickBot="1">
      <c r="D26" s="32" t="s">
        <v>5841</v>
      </c>
      <c r="E26" s="174"/>
      <c r="F26" s="33"/>
      <c r="G26" s="33"/>
      <c r="H26" s="33"/>
      <c r="I26" s="51">
        <f ca="1">IFERROR(_xlfn.STDEV.S(I10:I24),"No StDev")</f>
        <v>1.5063966175050876</v>
      </c>
      <c r="J26" s="51">
        <f ca="1">IFERROR(_xlfn.STDEV.S(J10:J24),"No StDev")</f>
        <v>1.8536173919925967</v>
      </c>
      <c r="K26" s="51">
        <f ca="1">IFERROR(_xlfn.STDEV.S(K10:K24),"No StDev")</f>
        <v>2.1423686866978779</v>
      </c>
      <c r="L26" s="51">
        <f ca="1">IFERROR(_xlfn.STDEV.S(L10:L24),"No StDev")</f>
        <v>3.1663292667758083</v>
      </c>
      <c r="M26" s="33"/>
      <c r="N26" s="40"/>
      <c r="O26" s="40"/>
      <c r="P26" s="31"/>
    </row>
    <row r="27" spans="2:16" ht="7.5" customHeight="1"/>
    <row r="28" spans="2:16" ht="14.25" customHeight="1">
      <c r="J28" s="34"/>
      <c r="K28" s="34"/>
      <c r="L28" s="34"/>
      <c r="N28" s="12"/>
      <c r="O28" s="12"/>
    </row>
    <row r="29" spans="2:16" ht="15" customHeight="1">
      <c r="J29" s="34"/>
      <c r="K29" s="34"/>
      <c r="L29" s="34"/>
      <c r="N29" s="12"/>
      <c r="O29" s="12"/>
    </row>
  </sheetData>
  <mergeCells count="10">
    <mergeCell ref="A3:A4"/>
    <mergeCell ref="E2:M2"/>
    <mergeCell ref="E6:P6"/>
    <mergeCell ref="D6:D24"/>
    <mergeCell ref="F7:H7"/>
    <mergeCell ref="I7:O7"/>
    <mergeCell ref="A6:A9"/>
    <mergeCell ref="H3:I3"/>
    <mergeCell ref="H4:I4"/>
    <mergeCell ref="O2:T2"/>
  </mergeCells>
  <conditionalFormatting sqref="F10:H25">
    <cfRule type="dataBar" priority="1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{D01D2157-DF32-4056-A4D0-3EBBCAB7222F}</x14:id>
        </ext>
      </extLst>
    </cfRule>
  </conditionalFormatting>
  <conditionalFormatting sqref="M10:M25">
    <cfRule type="dataBar" priority="13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{64785A90-4977-4761-9043-FC6ACD0280F0}</x14:id>
        </ext>
      </extLst>
    </cfRule>
  </conditionalFormatting>
  <conditionalFormatting sqref="S4">
    <cfRule type="dataBar" priority="2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{543D1E2E-C7C1-4158-AE5B-0825EAEB6267}</x14:id>
        </ext>
      </extLst>
    </cfRule>
  </conditionalFormatting>
  <conditionalFormatting sqref="T4">
    <cfRule type="dataBar" priority="1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{E22382BE-C35D-4E9F-8FF2-250A4FCD5248}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1D2157-DF32-4056-A4D0-3EBBCAB722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F10:H25</xm:sqref>
        </x14:conditionalFormatting>
        <x14:conditionalFormatting xmlns:xm="http://schemas.microsoft.com/office/excel/2006/main">
          <x14:cfRule type="dataBar" id="{64785A90-4977-4761-9043-FC6ACD0280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M10:M25</xm:sqref>
        </x14:conditionalFormatting>
        <x14:conditionalFormatting xmlns:xm="http://schemas.microsoft.com/office/excel/2006/main">
          <x14:cfRule type="dataBar" id="{543D1E2E-C7C1-4158-AE5B-0825EAEB6267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22382BE-C35D-4E9F-8FF2-250A4FCD5248}">
            <x14:dataBar minLength="0" maxLength="100" gradient="0" direction="rightToLeft">
              <x14:cfvo type="autoMin"/>
              <x14:cfvo type="autoMax"/>
              <x14:negativeFill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priority="7" id="{9DDB9236-EADF-4CEC-94B8-83CFC7C4AD6A}">
            <x14:dataBar minLength="0" maxLength="100" gradient="0">
              <x14:cfvo type="num">
                <xm:f>0</xm:f>
              </x14:cfvo>
              <x14:cfvo type="num">
                <xm:f>MatchStats!$J$3</xm:f>
              </x14:cfvo>
              <x14:fillColor rgb="FF63C384"/>
              <x14:negativeFill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priority="12" id="{BEAD0822-5021-4948-A9E8-1675DC2968E3}">
            <x14:dataBar minLength="0" maxLength="100" gradient="0" direction="leftToRight">
              <x14:cfvo type="num">
                <xm:f>MatchStats!$E$4</xm:f>
              </x14:cfvo>
              <x14:cfvo type="num">
                <xm:f>MatchStats!$E$3</xm:f>
              </x14:cfvo>
              <x14:fillColor theme="8" tint="-0.249977111117893"/>
              <x14:negativeFillColor rgb="FFFF0000"/>
              <x14:axisColor rgb="FF000000"/>
            </x14:dataBar>
          </x14:cfRule>
          <xm:sqref>I10:J25</xm:sqref>
        </x14:conditionalFormatting>
        <x14:conditionalFormatting xmlns:xm="http://schemas.microsoft.com/office/excel/2006/main">
          <x14:cfRule type="dataBar" priority="11" id="{96251FD0-21BD-42A8-9C93-586D933D8F49}">
            <x14:dataBar minLength="0" maxLength="100" gradient="0" direction="leftToRight">
              <x14:cfvo type="num">
                <xm:f>MatchStats!$G$4</xm:f>
              </x14:cfvo>
              <x14:cfvo type="num">
                <xm:f>MatchStats!$G$3</xm:f>
              </x14:cfvo>
              <x14:fillColor rgb="FF00B050"/>
              <x14:negativeFillColor rgb="FFFF0000"/>
              <x14:axisColor rgb="FF000000"/>
            </x14:dataBar>
          </x14:cfRule>
          <xm:sqref>K10:K25</xm:sqref>
        </x14:conditionalFormatting>
        <x14:conditionalFormatting xmlns:xm="http://schemas.microsoft.com/office/excel/2006/main">
          <x14:cfRule type="dataBar" priority="10" id="{0256B2C2-170C-4B2B-A2C7-CD7DA64805C1}">
            <x14:dataBar minLength="0" maxLength="100" gradient="0" direction="leftToRight">
              <x14:cfvo type="num">
                <xm:f>MatchStats!$H$4</xm:f>
              </x14:cfvo>
              <x14:cfvo type="num">
                <xm:f>MatchStats!$H$3</xm:f>
              </x14:cfvo>
              <x14:fillColor rgb="FFC814D6"/>
              <x14:negativeFillColor rgb="FFFF0000"/>
              <x14:axisColor rgb="FF000000"/>
            </x14:dataBar>
          </x14:cfRule>
          <xm:sqref>L10:L25</xm:sqref>
        </x14:conditionalFormatting>
        <x14:conditionalFormatting xmlns:xm="http://schemas.microsoft.com/office/excel/2006/main">
          <x14:cfRule type="dataBar" priority="5" id="{B23D408A-FA62-4146-8800-3C027CCC6E2D}">
            <x14:dataBar minLength="0" maxLength="100" gradient="0">
              <x14:cfvo type="num">
                <xm:f>0</xm:f>
              </x14:cfvo>
              <x14:cfvo type="num">
                <xm:f>MatchStats!$K$3</xm:f>
              </x14:cfvo>
              <x14:fillColor rgb="FF638EC6"/>
              <x14:negativeFill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priority="4" id="{E169B1FA-2FB2-4679-BB79-CC67CAB1AB72}">
            <x14:dataBar minLength="0" maxLength="100" gradient="0">
              <x14:cfvo type="num">
                <xm:f>0</xm:f>
              </x14:cfvo>
              <x14:cfvo type="num">
                <xm:f>MatchStats!$L$3</xm:f>
              </x14:cfvo>
              <x14:fillColor rgb="FFFFC000"/>
              <x14:negativeFill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priority="3" id="{D4684A41-0BE7-4B67-B507-DC032F439CE0}">
            <x14:dataBar minLength="0" maxLength="100" gradient="0">
              <x14:cfvo type="num">
                <xm:f>0</xm:f>
              </x14:cfvo>
              <x14:cfvo type="num">
                <xm:f>MatchStats!$M$3</xm:f>
              </x14:cfvo>
              <x14:fillColor rgb="FFF58BC3"/>
              <x14:negativeFillColor rgb="FFFF0000"/>
              <x14:axisColor rgb="FF000000"/>
            </x14:dataBar>
          </x14:cfRule>
          <xm:sqref>R4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39"/>
  <sheetViews>
    <sheetView zoomScale="60" zoomScaleNormal="60" zoomScalePageLayoutView="70" workbookViewId="0">
      <selection activeCell="A2" sqref="A2"/>
    </sheetView>
  </sheetViews>
  <sheetFormatPr defaultColWidth="8.85546875" defaultRowHeight="15"/>
  <cols>
    <col min="1" max="1" width="5.42578125" style="12" customWidth="1"/>
    <col min="2" max="2" width="10.28515625" style="12" customWidth="1"/>
    <col min="3" max="3" width="13.28515625" style="12" hidden="1" customWidth="1"/>
    <col min="4" max="4" width="8.140625" style="12" customWidth="1"/>
    <col min="5" max="5" width="9.5703125" style="12" customWidth="1"/>
    <col min="6" max="7" width="8.42578125" style="12" customWidth="1"/>
    <col min="8" max="8" width="14.5703125" style="12" customWidth="1"/>
    <col min="9" max="9" width="14.42578125" style="12" customWidth="1"/>
    <col min="10" max="10" width="10.28515625" style="12" customWidth="1"/>
    <col min="11" max="11" width="14.28515625" style="12" customWidth="1"/>
    <col min="12" max="12" width="11.85546875" style="12" customWidth="1"/>
    <col min="13" max="13" width="8.140625" style="12" customWidth="1"/>
    <col min="14" max="14" width="13" style="34" customWidth="1"/>
    <col min="15" max="15" width="13.42578125" style="34" customWidth="1"/>
    <col min="16" max="16" width="2" style="12" customWidth="1"/>
    <col min="17" max="17" width="10" style="12" customWidth="1"/>
    <col min="18" max="18" width="9.140625" style="12" hidden="1" customWidth="1"/>
    <col min="19" max="22" width="8.85546875" style="12"/>
    <col min="23" max="23" width="11.140625" style="12" customWidth="1"/>
    <col min="24" max="24" width="12.140625" style="12" customWidth="1"/>
    <col min="25" max="25" width="8.28515625" style="12" customWidth="1"/>
    <col min="26" max="26" width="13.7109375" style="12" customWidth="1"/>
    <col min="27" max="27" width="8.85546875" style="12"/>
    <col min="28" max="28" width="8.42578125" style="12" customWidth="1"/>
    <col min="29" max="29" width="13" style="12" customWidth="1"/>
    <col min="30" max="30" width="14.42578125" style="34" customWidth="1"/>
    <col min="31" max="16384" width="8.85546875" style="12"/>
  </cols>
  <sheetData>
    <row r="1" spans="1:30" ht="21" customHeight="1" thickBot="1">
      <c r="A1" s="111">
        <v>72</v>
      </c>
      <c r="B1" s="53" t="s">
        <v>2</v>
      </c>
      <c r="D1" s="296" t="s">
        <v>5842</v>
      </c>
      <c r="E1" s="297"/>
      <c r="F1" s="297"/>
      <c r="G1" s="297"/>
      <c r="H1" s="297"/>
      <c r="I1" s="297"/>
      <c r="J1" s="297"/>
      <c r="K1" s="297"/>
      <c r="L1" s="297"/>
      <c r="M1" s="297"/>
      <c r="N1" s="298"/>
      <c r="O1" s="133" t="s">
        <v>5874</v>
      </c>
      <c r="P1" s="132"/>
      <c r="Q1" s="293" t="s">
        <v>5972</v>
      </c>
      <c r="R1" s="294"/>
      <c r="S1" s="294"/>
      <c r="T1" s="295"/>
      <c r="U1" s="132"/>
      <c r="V1" s="328" t="s">
        <v>5974</v>
      </c>
      <c r="W1" s="329"/>
      <c r="X1" s="329" t="s">
        <v>5975</v>
      </c>
      <c r="Y1" s="329"/>
      <c r="Z1" s="155" t="s">
        <v>5976</v>
      </c>
    </row>
    <row r="2" spans="1:30" ht="15.75" customHeight="1" thickBot="1">
      <c r="D2" s="127"/>
      <c r="E2" s="142" t="s">
        <v>5837</v>
      </c>
      <c r="F2" s="142" t="s">
        <v>5838</v>
      </c>
      <c r="G2" s="142" t="s">
        <v>5839</v>
      </c>
      <c r="H2" s="142" t="s">
        <v>5892</v>
      </c>
      <c r="I2" s="142" t="s">
        <v>5893</v>
      </c>
      <c r="J2" s="142" t="s">
        <v>14</v>
      </c>
      <c r="K2" s="142" t="s">
        <v>23</v>
      </c>
      <c r="L2" s="142" t="s">
        <v>5840</v>
      </c>
      <c r="M2" s="143" t="s">
        <v>5876</v>
      </c>
      <c r="N2" s="140" t="s">
        <v>5875</v>
      </c>
      <c r="O2" s="334"/>
      <c r="Q2" s="353">
        <f>IFERROR(VLOOKUP($A$1,EventSchedule!$A:$Q,11,FALSE)/86400+DATE(1970,1,1)-5/24,"Ooof")</f>
        <v>43198.407638888886</v>
      </c>
      <c r="R2" s="354"/>
      <c r="S2" s="354"/>
      <c r="T2" s="355"/>
      <c r="V2" s="330">
        <f>IFERROR(VLOOKUP($A$1, EventSchedule!A:Q,8, FALSE),"really?")</f>
        <v>229</v>
      </c>
      <c r="W2" s="331"/>
      <c r="X2" s="331">
        <f>IFERROR(VLOOKUP($A$1, EventSchedule!A:Q,9, FALSE),"really?")</f>
        <v>341</v>
      </c>
      <c r="Y2" s="331"/>
      <c r="Z2" s="31" t="str">
        <f>IFERROR(VLOOKUP($A$1, EventSchedule!A:Q,10, FALSE),"REALLY?!")</f>
        <v>red</v>
      </c>
    </row>
    <row r="3" spans="1:30" ht="15" customHeight="1" thickBot="1">
      <c r="D3" s="27" t="s">
        <v>5817</v>
      </c>
      <c r="E3" s="26">
        <f>MatchStats!B2</f>
        <v>0.84501061571125269</v>
      </c>
      <c r="F3" s="26">
        <f>MatchStats!C2</f>
        <v>0.2781316348195329</v>
      </c>
      <c r="G3" s="26">
        <f>MatchStats!D2</f>
        <v>7.0063694267515922E-2</v>
      </c>
      <c r="H3" s="26">
        <f>MatchStats!E2</f>
        <v>0.98726114649681529</v>
      </c>
      <c r="I3" s="26">
        <f>MatchStats!F2</f>
        <v>0.89808917197452232</v>
      </c>
      <c r="J3" s="26">
        <f>MatchStats!G2</f>
        <v>1.3715498938428874</v>
      </c>
      <c r="K3" s="26">
        <f>MatchStats!H2</f>
        <v>2.0955414012738856</v>
      </c>
      <c r="L3" s="26">
        <f>MatchStats!I2</f>
        <v>0.54352441613588109</v>
      </c>
      <c r="M3" s="26"/>
      <c r="N3" s="38"/>
      <c r="O3" s="335"/>
      <c r="Q3" s="356"/>
      <c r="R3" s="357"/>
      <c r="S3" s="357"/>
      <c r="T3" s="358"/>
    </row>
    <row r="4" spans="1:30" ht="15.75" thickBot="1">
      <c r="D4" s="27" t="s">
        <v>24</v>
      </c>
      <c r="E4" s="26"/>
      <c r="F4" s="26"/>
      <c r="G4" s="26"/>
      <c r="H4" s="26">
        <f>MatchStats!E3</f>
        <v>8</v>
      </c>
      <c r="I4" s="26">
        <f>MatchStats!F3</f>
        <v>8</v>
      </c>
      <c r="J4" s="26">
        <f>MatchStats!G3</f>
        <v>8</v>
      </c>
      <c r="K4" s="26">
        <f>MatchStats!H3</f>
        <v>9</v>
      </c>
      <c r="L4" s="26"/>
      <c r="M4" s="25">
        <f>MAX(SkillRanking!$L:$L)</f>
        <v>228.91158142199529</v>
      </c>
      <c r="N4" s="26">
        <f>MAX(SkillRanking!$K:$K)</f>
        <v>85.125</v>
      </c>
      <c r="O4" s="335"/>
      <c r="V4" s="332" t="s">
        <v>6114</v>
      </c>
      <c r="W4" s="333"/>
      <c r="X4" s="246" t="str">
        <f>IFERROR(VLOOKUP($A$1,matchDetails!A:CF,32,FALSE),"")</f>
        <v>RRR</v>
      </c>
    </row>
    <row r="5" spans="1:30">
      <c r="D5" s="27" t="s">
        <v>25</v>
      </c>
      <c r="E5" s="26"/>
      <c r="F5" s="26"/>
      <c r="G5" s="26"/>
      <c r="H5" s="26">
        <f>MatchStats!E4</f>
        <v>0</v>
      </c>
      <c r="I5" s="26">
        <f>MatchStats!F4</f>
        <v>0</v>
      </c>
      <c r="J5" s="26">
        <f>MatchStats!G4</f>
        <v>0</v>
      </c>
      <c r="K5" s="26">
        <f>MatchStats!H4</f>
        <v>0</v>
      </c>
      <c r="L5" s="26"/>
      <c r="M5" s="25">
        <f>MIN(SkillRanking!$L:$L)</f>
        <v>27.727870879234143</v>
      </c>
      <c r="N5" s="26">
        <f>MIN(SkillRanking!$K:$K)</f>
        <v>0</v>
      </c>
      <c r="O5" s="335"/>
    </row>
    <row r="6" spans="1:30" ht="15.75" thickBot="1">
      <c r="D6" s="29" t="s">
        <v>5841</v>
      </c>
      <c r="E6" s="30"/>
      <c r="F6" s="30"/>
      <c r="G6" s="30"/>
      <c r="H6" s="33">
        <f>MatchStats!E6</f>
        <v>1.3883432395507755</v>
      </c>
      <c r="I6" s="33">
        <f>MatchStats!F6</f>
        <v>1.6393487810938812</v>
      </c>
      <c r="J6" s="33">
        <f>MatchStats!G6</f>
        <v>2.0731201526168617</v>
      </c>
      <c r="K6" s="33">
        <f>MatchStats!H6</f>
        <v>2.7283775230690988</v>
      </c>
      <c r="L6" s="30"/>
      <c r="M6" s="30"/>
      <c r="N6" s="41"/>
      <c r="O6" s="336"/>
    </row>
    <row r="7" spans="1:30" ht="7.5" customHeight="1" thickBot="1">
      <c r="D7" s="35"/>
    </row>
    <row r="8" spans="1:30" ht="30" customHeight="1" thickBot="1">
      <c r="B8" s="337">
        <f>IFERROR(VLOOKUP($A$1,Schedule!$A:$G, 2, FALSE),0)</f>
        <v>3634</v>
      </c>
      <c r="C8" s="338"/>
      <c r="D8" s="338"/>
      <c r="E8" s="338"/>
      <c r="F8" s="338"/>
      <c r="G8" s="339" t="str">
        <f>IFERROR(VLOOKUP(B8,TeamList!A:E, 2, FALSE),"NA")</f>
        <v>Spark City</v>
      </c>
      <c r="H8" s="340"/>
      <c r="I8" s="340"/>
      <c r="J8" s="341"/>
      <c r="K8" s="74" t="str">
        <f>IFERROR(VLOOKUP(B8,TeamList!A:E, 3, FALSE),"NA")</f>
        <v>Bridgeport</v>
      </c>
      <c r="L8" s="342" t="str">
        <f>IFERROR(VLOOKUP(B8,TeamList!A:E,4,FALSE),"NA")</f>
        <v>Connecticut</v>
      </c>
      <c r="M8" s="343"/>
      <c r="N8" s="75" t="s">
        <v>5847</v>
      </c>
      <c r="O8" s="76" t="str">
        <f>IFERROR(VLOOKUP(B8,PitCleaned!A:I,9, FALSE),"NA")</f>
        <v>Joy/Mike</v>
      </c>
      <c r="Q8" s="320">
        <f>IFERROR(VLOOKUP($A$1,Schedule!$A:$G, 5, FALSE),0)</f>
        <v>2064</v>
      </c>
      <c r="R8" s="321"/>
      <c r="S8" s="321"/>
      <c r="T8" s="321"/>
      <c r="U8" s="321"/>
      <c r="V8" s="322" t="str">
        <f>IFERROR(VLOOKUP(Q8,TeamList!A:E, 2, FALSE),"NA")</f>
        <v>The Panther Project</v>
      </c>
      <c r="W8" s="323"/>
      <c r="X8" s="323"/>
      <c r="Y8" s="324"/>
      <c r="Z8" s="77" t="str">
        <f>IFERROR(VLOOKUP(Q8,TeamList!A:E, 3, FALSE),"NA")</f>
        <v>Southbury / Middlebury</v>
      </c>
      <c r="AA8" s="317" t="str">
        <f>IFERROR(VLOOKUP(Q8,TeamList!A:E,4,FALSE),"NA")</f>
        <v>Connecticut</v>
      </c>
      <c r="AB8" s="318"/>
      <c r="AC8" s="78" t="s">
        <v>5847</v>
      </c>
      <c r="AD8" s="79" t="str">
        <f>IFERROR(VLOOKUP(Q8,PitCleaned!A:I,9, FALSE),"NA")</f>
        <v xml:space="preserve">Mike </v>
      </c>
    </row>
    <row r="9" spans="1:30" ht="18.75">
      <c r="B9" s="344"/>
      <c r="C9" s="35"/>
      <c r="E9" s="319" t="s">
        <v>17</v>
      </c>
      <c r="F9" s="319"/>
      <c r="G9" s="319"/>
      <c r="H9" s="94"/>
      <c r="I9" s="319" t="s">
        <v>18</v>
      </c>
      <c r="J9" s="319"/>
      <c r="K9" s="319"/>
      <c r="L9" s="319"/>
      <c r="M9" s="319"/>
      <c r="N9" s="319"/>
      <c r="O9" s="45"/>
      <c r="Q9" s="325"/>
      <c r="R9" s="35"/>
      <c r="S9" s="35"/>
      <c r="T9" s="319" t="s">
        <v>17</v>
      </c>
      <c r="U9" s="319"/>
      <c r="V9" s="319"/>
      <c r="W9" s="94"/>
      <c r="X9" s="319" t="s">
        <v>18</v>
      </c>
      <c r="Y9" s="319"/>
      <c r="Z9" s="319"/>
      <c r="AA9" s="319"/>
      <c r="AB9" s="319"/>
      <c r="AC9" s="319"/>
      <c r="AD9" s="45"/>
    </row>
    <row r="10" spans="1:30" ht="15" hidden="1" customHeight="1">
      <c r="B10" s="345"/>
      <c r="C10" s="25">
        <f>MATCH(B8,MatchCleaned!A:A,1)</f>
        <v>318</v>
      </c>
      <c r="D10" s="25" t="s">
        <v>5851</v>
      </c>
      <c r="E10" s="36" t="s">
        <v>5852</v>
      </c>
      <c r="F10" s="25" t="s">
        <v>5853</v>
      </c>
      <c r="G10" s="25" t="s">
        <v>5854</v>
      </c>
      <c r="H10" s="25" t="s">
        <v>5855</v>
      </c>
      <c r="I10" s="25" t="s">
        <v>5856</v>
      </c>
      <c r="J10" s="25" t="s">
        <v>5857</v>
      </c>
      <c r="K10" s="25" t="s">
        <v>5858</v>
      </c>
      <c r="L10" s="25" t="s">
        <v>5859</v>
      </c>
      <c r="M10" s="25" t="s">
        <v>5860</v>
      </c>
      <c r="N10" s="39" t="s">
        <v>5861</v>
      </c>
      <c r="O10" s="38" t="s">
        <v>5894</v>
      </c>
      <c r="Q10" s="326"/>
      <c r="R10" s="25">
        <f>MATCH(Q8,MatchCleaned!A:A,1)</f>
        <v>238</v>
      </c>
      <c r="S10" s="25" t="s">
        <v>5851</v>
      </c>
      <c r="T10" s="36" t="s">
        <v>5852</v>
      </c>
      <c r="U10" s="25" t="s">
        <v>5853</v>
      </c>
      <c r="V10" s="25" t="s">
        <v>5854</v>
      </c>
      <c r="W10" s="25" t="s">
        <v>5855</v>
      </c>
      <c r="X10" s="25" t="s">
        <v>5856</v>
      </c>
      <c r="Y10" s="25" t="s">
        <v>5857</v>
      </c>
      <c r="Z10" s="25" t="s">
        <v>5858</v>
      </c>
      <c r="AA10" s="25" t="s">
        <v>5859</v>
      </c>
      <c r="AB10" s="25" t="s">
        <v>5860</v>
      </c>
      <c r="AC10" s="39" t="s">
        <v>5861</v>
      </c>
      <c r="AD10" s="38" t="s">
        <v>5894</v>
      </c>
    </row>
    <row r="11" spans="1:30" ht="30">
      <c r="B11" s="345"/>
      <c r="C11" s="25">
        <f>VLOOKUP(B8,MatchPivot!A:R,2,FALSE)</f>
        <v>10</v>
      </c>
      <c r="D11" s="25" t="s">
        <v>2</v>
      </c>
      <c r="E11" s="25" t="s">
        <v>19</v>
      </c>
      <c r="F11" s="25" t="s">
        <v>13</v>
      </c>
      <c r="G11" s="25" t="s">
        <v>14</v>
      </c>
      <c r="H11" s="25" t="s">
        <v>5892</v>
      </c>
      <c r="I11" s="25" t="s">
        <v>5893</v>
      </c>
      <c r="J11" s="25" t="s">
        <v>14</v>
      </c>
      <c r="K11" s="25" t="s">
        <v>5864</v>
      </c>
      <c r="L11" s="25" t="s">
        <v>5849</v>
      </c>
      <c r="M11" s="39" t="s">
        <v>22</v>
      </c>
      <c r="N11" s="39" t="s">
        <v>5864</v>
      </c>
      <c r="O11" s="38" t="s">
        <v>11</v>
      </c>
      <c r="Q11" s="326"/>
      <c r="R11" s="25">
        <f>VLOOKUP(Q8, MatchPivot!A:R,2, FALSE)</f>
        <v>14</v>
      </c>
      <c r="S11" s="25" t="s">
        <v>2</v>
      </c>
      <c r="T11" s="25" t="s">
        <v>19</v>
      </c>
      <c r="U11" s="25" t="s">
        <v>13</v>
      </c>
      <c r="V11" s="25" t="s">
        <v>14</v>
      </c>
      <c r="W11" s="25" t="s">
        <v>5892</v>
      </c>
      <c r="X11" s="25" t="s">
        <v>5893</v>
      </c>
      <c r="Y11" s="25" t="s">
        <v>14</v>
      </c>
      <c r="Z11" s="25" t="s">
        <v>5864</v>
      </c>
      <c r="AA11" s="25" t="s">
        <v>5849</v>
      </c>
      <c r="AB11" s="39" t="s">
        <v>22</v>
      </c>
      <c r="AC11" s="39" t="s">
        <v>5864</v>
      </c>
      <c r="AD11" s="38" t="s">
        <v>11</v>
      </c>
    </row>
    <row r="12" spans="1:30">
      <c r="B12" s="345"/>
      <c r="C12" s="25">
        <v>0</v>
      </c>
      <c r="D12" s="25">
        <f ca="1">IFERROR(IF($C$11-$C$12&gt;0,INDIRECT("MatchCleaned!"&amp;D$10&amp;$C$10-$C$12,TRUE),""),"")</f>
        <v>72</v>
      </c>
      <c r="E12" s="25">
        <f t="shared" ref="E12:O12" ca="1" si="0">IFERROR(IF($C$11-$C$12&gt;0,INDIRECT("MatchCleaned!"&amp;E$10&amp;$C$10-$C$12,TRUE),""),"")</f>
        <v>1</v>
      </c>
      <c r="F12" s="25">
        <f t="shared" ca="1" si="0"/>
        <v>0</v>
      </c>
      <c r="G12" s="25">
        <f t="shared" ca="1" si="0"/>
        <v>0</v>
      </c>
      <c r="H12" s="25">
        <f t="shared" ca="1" si="0"/>
        <v>0</v>
      </c>
      <c r="I12" s="25">
        <f t="shared" ca="1" si="0"/>
        <v>0</v>
      </c>
      <c r="J12" s="25">
        <f t="shared" ca="1" si="0"/>
        <v>0</v>
      </c>
      <c r="K12" s="25">
        <f t="shared" ca="1" si="0"/>
        <v>5</v>
      </c>
      <c r="L12" s="25">
        <f t="shared" ca="1" si="0"/>
        <v>1</v>
      </c>
      <c r="M12" s="25" t="str">
        <f t="shared" ca="1" si="0"/>
        <v>Levitate</v>
      </c>
      <c r="N12" s="25" t="str">
        <f t="shared" ca="1" si="0"/>
        <v>Boost2, Levitate</v>
      </c>
      <c r="O12" s="28">
        <f t="shared" ca="1" si="0"/>
        <v>0</v>
      </c>
      <c r="Q12" s="326"/>
      <c r="R12" s="25">
        <v>0</v>
      </c>
      <c r="S12" s="25">
        <f ca="1">IFERROR(IF($R$11-$R$12&gt;0,INDIRECT("MatchCleaned!"&amp;S$10&amp;$R$10-$R$12,TRUE),""),"")</f>
        <v>81</v>
      </c>
      <c r="T12" s="25">
        <f t="shared" ref="T12:AD12" ca="1" si="1">IFERROR(IF($R$11-$R$12&gt;0,INDIRECT("MatchCleaned!"&amp;T$10&amp;$R$10-$R$12,TRUE),""),"")</f>
        <v>1</v>
      </c>
      <c r="U12" s="25">
        <f t="shared" ca="1" si="1"/>
        <v>0</v>
      </c>
      <c r="V12" s="25">
        <f t="shared" ca="1" si="1"/>
        <v>0</v>
      </c>
      <c r="W12" s="25">
        <f t="shared" ca="1" si="1"/>
        <v>3</v>
      </c>
      <c r="X12" s="25">
        <f t="shared" ca="1" si="1"/>
        <v>0</v>
      </c>
      <c r="Y12" s="25">
        <f t="shared" ca="1" si="1"/>
        <v>0</v>
      </c>
      <c r="Z12" s="25">
        <f t="shared" ca="1" si="1"/>
        <v>8</v>
      </c>
      <c r="AA12" s="25">
        <f t="shared" ca="1" si="1"/>
        <v>0</v>
      </c>
      <c r="AB12" s="25">
        <f t="shared" ca="1" si="1"/>
        <v>0</v>
      </c>
      <c r="AC12" s="25" t="str">
        <f t="shared" ca="1" si="1"/>
        <v>Force2, Boost3, Levitate</v>
      </c>
      <c r="AD12" s="25">
        <f t="shared" ca="1" si="1"/>
        <v>0</v>
      </c>
    </row>
    <row r="13" spans="1:30">
      <c r="B13" s="345"/>
      <c r="C13" s="25">
        <v>1</v>
      </c>
      <c r="D13" s="25">
        <f ca="1">IFERROR(IF($C$11-$C$13&gt;0,INDIRECT("MatchCleaned!"&amp;D$10&amp;$C$10-$C$13,TRUE),""),"")</f>
        <v>67</v>
      </c>
      <c r="E13" s="25">
        <f t="shared" ref="E13:O13" ca="1" si="2">IFERROR(IF($C$11-$C$13&gt;0,INDIRECT("MatchCleaned!"&amp;E$10&amp;$C$10-$C$13,TRUE),""),"")</f>
        <v>1</v>
      </c>
      <c r="F13" s="25">
        <f t="shared" ca="1" si="2"/>
        <v>0</v>
      </c>
      <c r="G13" s="25">
        <f t="shared" ca="1" si="2"/>
        <v>0</v>
      </c>
      <c r="H13" s="25">
        <f t="shared" ca="1" si="2"/>
        <v>0</v>
      </c>
      <c r="I13" s="25">
        <f t="shared" ca="1" si="2"/>
        <v>0</v>
      </c>
      <c r="J13" s="25">
        <f t="shared" ca="1" si="2"/>
        <v>0</v>
      </c>
      <c r="K13" s="25">
        <f t="shared" ca="1" si="2"/>
        <v>0</v>
      </c>
      <c r="L13" s="25">
        <f t="shared" ca="1" si="2"/>
        <v>0</v>
      </c>
      <c r="M13" s="25" t="str">
        <f t="shared" ca="1" si="2"/>
        <v>Levitate</v>
      </c>
      <c r="N13" s="25" t="str">
        <f t="shared" ca="1" si="2"/>
        <v>Force1, Levitate</v>
      </c>
      <c r="O13" s="28" t="str">
        <f t="shared" ca="1" si="2"/>
        <v xml:space="preserve">They have trouble picking up cubes </v>
      </c>
      <c r="Q13" s="326"/>
      <c r="R13" s="25">
        <v>1</v>
      </c>
      <c r="S13" s="25">
        <f ca="1">IFERROR(IF($R$11-$R$13&gt;0,INDIRECT("MatchCleaned!"&amp;S$10&amp;$R$10-$R$13,TRUE),""),"")</f>
        <v>64</v>
      </c>
      <c r="T13" s="25">
        <f t="shared" ref="T13:AD13" ca="1" si="3">IFERROR(IF($R$11-$R$13&gt;0,INDIRECT("MatchCleaned!"&amp;T$10&amp;$R$10-$R$13,TRUE),""),"")</f>
        <v>1</v>
      </c>
      <c r="U13" s="25">
        <f t="shared" ca="1" si="3"/>
        <v>0</v>
      </c>
      <c r="V13" s="25">
        <f t="shared" ca="1" si="3"/>
        <v>0</v>
      </c>
      <c r="W13" s="25">
        <f t="shared" ca="1" si="3"/>
        <v>2</v>
      </c>
      <c r="X13" s="25">
        <f t="shared" ca="1" si="3"/>
        <v>0</v>
      </c>
      <c r="Y13" s="25">
        <f t="shared" ca="1" si="3"/>
        <v>0</v>
      </c>
      <c r="Z13" s="25">
        <f t="shared" ca="1" si="3"/>
        <v>6</v>
      </c>
      <c r="AA13" s="25">
        <f t="shared" ca="1" si="3"/>
        <v>1</v>
      </c>
      <c r="AB13" s="25" t="str">
        <f t="shared" ca="1" si="3"/>
        <v>Levitate</v>
      </c>
      <c r="AC13" s="25" t="str">
        <f t="shared" ca="1" si="3"/>
        <v>Force2, Boost1, Levitate</v>
      </c>
      <c r="AD13" s="25" t="str">
        <f t="shared" ca="1" si="3"/>
        <v>Auto switch missed</v>
      </c>
    </row>
    <row r="14" spans="1:30" ht="15.75" thickBot="1">
      <c r="B14" s="346"/>
      <c r="C14" s="25">
        <v>2</v>
      </c>
      <c r="D14" s="25">
        <f ca="1">IFERROR(IF($C$11-$C$14&gt;0,INDIRECT("MatchCleaned!"&amp;D$10&amp;$C$10-$C$14,TRUE),""),"")</f>
        <v>56</v>
      </c>
      <c r="E14" s="25">
        <f t="shared" ref="E14:O14" ca="1" si="4">IFERROR(IF($C$11-$C$14&gt;0,INDIRECT("MatchCleaned!"&amp;E$10&amp;$C$10-$C$14,TRUE),""),"")</f>
        <v>1</v>
      </c>
      <c r="F14" s="25">
        <f t="shared" ca="1" si="4"/>
        <v>0</v>
      </c>
      <c r="G14" s="25">
        <f t="shared" ca="1" si="4"/>
        <v>0</v>
      </c>
      <c r="H14" s="25">
        <f t="shared" ca="1" si="4"/>
        <v>1</v>
      </c>
      <c r="I14" s="25">
        <f t="shared" ca="1" si="4"/>
        <v>0</v>
      </c>
      <c r="J14" s="25">
        <f t="shared" ca="1" si="4"/>
        <v>0</v>
      </c>
      <c r="K14" s="25">
        <f t="shared" ca="1" si="4"/>
        <v>0</v>
      </c>
      <c r="L14" s="136">
        <f t="shared" ca="1" si="4"/>
        <v>1</v>
      </c>
      <c r="M14" s="136" t="str">
        <f t="shared" ca="1" si="4"/>
        <v>Levitate</v>
      </c>
      <c r="N14" s="136" t="str">
        <f t="shared" ca="1" si="4"/>
        <v>Boost3, Levitate</v>
      </c>
      <c r="O14" s="137" t="str">
        <f t="shared" ca="1" si="4"/>
        <v>Weak Grip.</v>
      </c>
      <c r="Q14" s="327"/>
      <c r="R14" s="25">
        <v>2</v>
      </c>
      <c r="S14" s="25">
        <f ca="1">IFERROR(IF($R$11-$R$14&gt;0,INDIRECT("MatchCleaned!"&amp;S$10&amp;$R$10-$R$14,TRUE),""),"")</f>
        <v>61</v>
      </c>
      <c r="T14" s="25">
        <f t="shared" ref="T14:AD14" ca="1" si="5">IFERROR(IF($R$11-$R$14&gt;0,INDIRECT("MatchCleaned!"&amp;T$10&amp;$R$10-$R$14,TRUE),""),"")</f>
        <v>0</v>
      </c>
      <c r="U14" s="25">
        <f t="shared" ca="1" si="5"/>
        <v>1</v>
      </c>
      <c r="V14" s="25">
        <f t="shared" ca="1" si="5"/>
        <v>0</v>
      </c>
      <c r="W14" s="25">
        <f t="shared" ca="1" si="5"/>
        <v>2</v>
      </c>
      <c r="X14" s="25">
        <f t="shared" ca="1" si="5"/>
        <v>4</v>
      </c>
      <c r="Y14" s="25">
        <f t="shared" ca="1" si="5"/>
        <v>1</v>
      </c>
      <c r="Z14" s="25">
        <f t="shared" ca="1" si="5"/>
        <v>6</v>
      </c>
      <c r="AA14" s="25">
        <f t="shared" ca="1" si="5"/>
        <v>0</v>
      </c>
      <c r="AB14" s="25" t="str">
        <f t="shared" ca="1" si="5"/>
        <v>NONE</v>
      </c>
      <c r="AC14" s="25" t="str">
        <f t="shared" ca="1" si="5"/>
        <v>Force3, Boost3</v>
      </c>
      <c r="AD14" s="25" t="str">
        <f t="shared" ca="1" si="5"/>
        <v xml:space="preserve">Good with switch </v>
      </c>
    </row>
    <row r="15" spans="1:30">
      <c r="B15" s="46" t="s">
        <v>5862</v>
      </c>
      <c r="C15" s="25"/>
      <c r="D15" s="25"/>
      <c r="E15" s="26">
        <f>IFERROR(VLOOKUP(B8,MatchPivot!A:R,3,FALSE),"No Ave")</f>
        <v>0.9</v>
      </c>
      <c r="F15" s="26">
        <f>IFERROR(VLOOKUP(B8,MatchPivot!A:R,4,FALSE),"No Ave")</f>
        <v>0</v>
      </c>
      <c r="G15" s="26">
        <f>IFERROR(VLOOKUP(B8,MatchPivot!A:R,5,FALSE),"No Ave")</f>
        <v>0</v>
      </c>
      <c r="H15" s="26">
        <f>IFERROR(VLOOKUP(B8,MatchPivot!A:R,6,FALSE),"No Ave")</f>
        <v>0.3</v>
      </c>
      <c r="I15" s="26">
        <f>IFERROR(VLOOKUP(B8,MatchPivot!A:R,7,FALSE),"No Ave")</f>
        <v>0</v>
      </c>
      <c r="J15" s="26">
        <f>IFERROR(VLOOKUP(B8,MatchPivot!A:R,8,FALSE),"No Ave")</f>
        <v>0.3</v>
      </c>
      <c r="K15" s="134">
        <f>IFERROR(VLOOKUP(B8,MatchPivot!A:R,9,FALSE),"No Ave")</f>
        <v>1.2</v>
      </c>
      <c r="L15" s="134">
        <f>IFERROR(VLOOKUP(B8,MatchPivot!A:R,10,FALSE),"No Ave")</f>
        <v>0.4</v>
      </c>
      <c r="M15" s="138" t="s">
        <v>5876</v>
      </c>
      <c r="N15" s="139" t="s">
        <v>5973</v>
      </c>
      <c r="O15" s="140" t="s">
        <v>5875</v>
      </c>
      <c r="Q15" s="48" t="s">
        <v>5862</v>
      </c>
      <c r="R15" s="25"/>
      <c r="S15" s="25"/>
      <c r="T15" s="26">
        <f>IFERROR(VLOOKUP($Q$8,MatchPivot!$A:$R,3,FALSE),"No Ave")</f>
        <v>0.8571428571428571</v>
      </c>
      <c r="U15" s="26">
        <f>IFERROR(VLOOKUP($Q$8,MatchPivot!$A:$R,4,FALSE),"No Ave")</f>
        <v>0.42857142857142855</v>
      </c>
      <c r="V15" s="26">
        <f>IFERROR(VLOOKUP($Q$8,MatchPivot!$A:$R,5,FALSE),"No Ave")</f>
        <v>0</v>
      </c>
      <c r="W15" s="26">
        <f>IFERROR(VLOOKUP($Q$8,MatchPivot!$A:$R,6,FALSE),"No Ave")</f>
        <v>0.7142857142857143</v>
      </c>
      <c r="X15" s="26">
        <f>IFERROR(VLOOKUP($Q$8,MatchPivot!$A:$R,7,FALSE),"No Ave")</f>
        <v>0.2857142857142857</v>
      </c>
      <c r="Y15" s="26">
        <f>IFERROR(VLOOKUP($Q$8,MatchPivot!$A:$R,8,FALSE),"No Ave")</f>
        <v>1</v>
      </c>
      <c r="Z15" s="26">
        <f>IFERROR(VLOOKUP($Q$8,MatchPivot!$A:$R,9,FALSE),"No Ave")</f>
        <v>4.7857142857142856</v>
      </c>
      <c r="AA15" s="26">
        <f>IFERROR(VLOOKUP($Q$8,MatchPivot!$A:$R,10,FALSE),"No Ave")</f>
        <v>0.5714285714285714</v>
      </c>
      <c r="AB15" s="138" t="s">
        <v>5876</v>
      </c>
      <c r="AC15" s="139" t="s">
        <v>5973</v>
      </c>
      <c r="AD15" s="140" t="s">
        <v>5875</v>
      </c>
    </row>
    <row r="16" spans="1:30" ht="15.75" thickBot="1">
      <c r="B16" s="47" t="s">
        <v>5865</v>
      </c>
      <c r="C16" s="30"/>
      <c r="D16" s="30"/>
      <c r="E16" s="30"/>
      <c r="F16" s="30"/>
      <c r="G16" s="30"/>
      <c r="H16" s="33">
        <f>IFERROR(VLOOKUP($B$8,MatchPivot!$A:$V,19,FALSE),"NO StDev")</f>
        <v>0.67494855771055284</v>
      </c>
      <c r="I16" s="33">
        <f>IFERROR(VLOOKUP($B$8,MatchPivot!$A:$V,20,FALSE),"NO StDev")</f>
        <v>0</v>
      </c>
      <c r="J16" s="33">
        <f>IFERROR(VLOOKUP($B$8,MatchPivot!$A:$V,21,FALSE),"NO StDev")</f>
        <v>0.94868329805051377</v>
      </c>
      <c r="K16" s="135">
        <f>IFERROR(VLOOKUP($B$8,MatchPivot!$A:$V,22,FALSE),"NO StDev")</f>
        <v>1.7511900715418263</v>
      </c>
      <c r="L16" s="141"/>
      <c r="M16" s="154">
        <f>IFERROR(VLOOKUP($B$8,SkillRanking!$A:$Q,12,FALSE),"")</f>
        <v>31.189296330722499</v>
      </c>
      <c r="N16" s="144">
        <f>IFERROR(VLOOKUP($B$8,SkillRanking!$A:$Q,13,FALSE),"")</f>
        <v>27</v>
      </c>
      <c r="O16" s="125">
        <f>IFERROR(VLOOKUP($B$8,SkillRanking!$A:$Q,11,FALSE),"")</f>
        <v>18.899999999999999</v>
      </c>
      <c r="Q16" s="49" t="s">
        <v>5865</v>
      </c>
      <c r="R16" s="30"/>
      <c r="S16" s="30"/>
      <c r="T16" s="30"/>
      <c r="U16" s="30"/>
      <c r="V16" s="30"/>
      <c r="W16" s="33">
        <f>IFERROR(VLOOKUP($Q$8,MatchPivot!$A:$V,19,FALSE),"NO StDev")</f>
        <v>0.99449031619769379</v>
      </c>
      <c r="X16" s="33">
        <f>IFERROR(VLOOKUP($Q$8,MatchPivot!$A:$V,20,FALSE),"NO StDev")</f>
        <v>1.0690449676496976</v>
      </c>
      <c r="Y16" s="33">
        <f>IFERROR(VLOOKUP($Q$8,MatchPivot!$A:$V,21,FALSE),"NO StDev")</f>
        <v>1.8397324220155997</v>
      </c>
      <c r="Z16" s="33">
        <f>IFERROR(VLOOKUP($Q$8,MatchPivot!$A:$V,22,FALSE),"NO StDev")</f>
        <v>3.1422327051996599</v>
      </c>
      <c r="AA16" s="30"/>
      <c r="AB16" s="26">
        <f>IFERROR(VLOOKUP($Q$8,SkillRanking!$A:$Q,12,FALSE),"")</f>
        <v>74.593468161879514</v>
      </c>
      <c r="AC16" s="144">
        <f>IFERROR(VLOOKUP($Q$8,SkillRanking!$A:$Q,13,FALSE),"")</f>
        <v>19</v>
      </c>
      <c r="AD16" s="125">
        <f>IFERROR(VLOOKUP($Q$8,SkillRanking!$A:$Q,11,FALSE),"")</f>
        <v>51.785714285714278</v>
      </c>
    </row>
    <row r="17" spans="2:30" ht="9.75" customHeight="1" thickBot="1">
      <c r="B17" s="42"/>
      <c r="C17" s="42"/>
      <c r="D17" s="42"/>
      <c r="E17" s="42"/>
      <c r="F17" s="42"/>
      <c r="G17" s="42"/>
      <c r="H17" s="42"/>
      <c r="I17" s="43"/>
      <c r="J17" s="43"/>
      <c r="K17" s="43"/>
      <c r="L17" s="42"/>
      <c r="M17" s="42"/>
      <c r="N17" s="44"/>
      <c r="O17" s="44"/>
      <c r="Q17" s="42"/>
      <c r="R17" s="42"/>
      <c r="S17" s="42"/>
      <c r="T17" s="42"/>
      <c r="U17" s="42"/>
      <c r="V17" s="42"/>
      <c r="W17" s="42"/>
      <c r="X17" s="43"/>
      <c r="Y17" s="43"/>
      <c r="Z17" s="43"/>
      <c r="AA17" s="42"/>
      <c r="AB17" s="42"/>
      <c r="AC17" s="44"/>
      <c r="AD17" s="44"/>
    </row>
    <row r="18" spans="2:30" ht="30.75" customHeight="1" thickBot="1">
      <c r="B18" s="337">
        <f>IFERROR(VLOOKUP($A$1,Schedule!$A:$G, 3, FALSE),0)</f>
        <v>3654</v>
      </c>
      <c r="C18" s="338"/>
      <c r="D18" s="338"/>
      <c r="E18" s="338"/>
      <c r="F18" s="338"/>
      <c r="G18" s="339" t="str">
        <f>IFERROR(VLOOKUP(B18,TeamList!A:E, 2, FALSE),"NA")</f>
        <v>TechTigers</v>
      </c>
      <c r="H18" s="340"/>
      <c r="I18" s="340"/>
      <c r="J18" s="341"/>
      <c r="K18" s="74" t="str">
        <f>IFERROR(VLOOKUP(B18,TeamList!A:E, 3, FALSE),"NA")</f>
        <v>Middletown</v>
      </c>
      <c r="L18" s="342" t="str">
        <f>IFERROR(VLOOKUP(B18,TeamList!A:E,4,FALSE),"NA")</f>
        <v>Connecticut</v>
      </c>
      <c r="M18" s="343"/>
      <c r="N18" s="75" t="s">
        <v>5847</v>
      </c>
      <c r="O18" s="76" t="str">
        <f>IFERROR(VLOOKUP(B18,PitCleaned!A:I,9, FALSE),"NA")</f>
        <v>Shahbano Rao (the proud)</v>
      </c>
      <c r="Q18" s="320">
        <f>IFERROR(VLOOKUP($A$1,Schedule!$A:$G, 6, FALSE),0)</f>
        <v>3182</v>
      </c>
      <c r="R18" s="321"/>
      <c r="S18" s="321"/>
      <c r="T18" s="321"/>
      <c r="U18" s="321"/>
      <c r="V18" s="322" t="str">
        <f>IFERROR(VLOOKUP(Q18,TeamList!A:E, 2, FALSE),"NA")</f>
        <v>Athena's Warriors</v>
      </c>
      <c r="W18" s="323"/>
      <c r="X18" s="323"/>
      <c r="Y18" s="324"/>
      <c r="Z18" s="77" t="str">
        <f>IFERROR(VLOOKUP(Q18,TeamList!A:E, 3, FALSE),"NA")</f>
        <v>West Hartford</v>
      </c>
      <c r="AA18" s="317" t="str">
        <f>IFERROR(VLOOKUP(Q18,TeamList!A:E,4,FALSE),"NA")</f>
        <v>Connecticut</v>
      </c>
      <c r="AB18" s="318"/>
      <c r="AC18" s="78" t="s">
        <v>5847</v>
      </c>
      <c r="AD18" s="292" t="str">
        <f>IFERROR(VLOOKUP(Q18,PitCleaned!A:I,9, FALSE),"NA")</f>
        <v>Akash</v>
      </c>
    </row>
    <row r="19" spans="2:30" ht="18.75">
      <c r="B19" s="347"/>
      <c r="C19" s="25"/>
      <c r="D19" s="25"/>
      <c r="E19" s="348" t="s">
        <v>17</v>
      </c>
      <c r="F19" s="348"/>
      <c r="G19" s="348"/>
      <c r="H19" s="95"/>
      <c r="I19" s="348" t="s">
        <v>18</v>
      </c>
      <c r="J19" s="348"/>
      <c r="K19" s="348"/>
      <c r="L19" s="348"/>
      <c r="M19" s="348"/>
      <c r="N19" s="348"/>
      <c r="O19" s="38"/>
      <c r="Q19" s="325"/>
      <c r="R19" s="35"/>
      <c r="S19" s="35"/>
      <c r="T19" s="319" t="s">
        <v>17</v>
      </c>
      <c r="U19" s="319"/>
      <c r="V19" s="319"/>
      <c r="W19" s="94"/>
      <c r="X19" s="319" t="s">
        <v>18</v>
      </c>
      <c r="Y19" s="319"/>
      <c r="Z19" s="319"/>
      <c r="AA19" s="319"/>
      <c r="AB19" s="319"/>
      <c r="AC19" s="319"/>
      <c r="AD19" s="45"/>
    </row>
    <row r="20" spans="2:30" ht="15" hidden="1" customHeight="1">
      <c r="B20" s="347"/>
      <c r="C20" s="25">
        <f>MATCH(B18,MatchCleaned!A:A,1)</f>
        <v>330</v>
      </c>
      <c r="D20" s="25" t="s">
        <v>5851</v>
      </c>
      <c r="E20" s="36" t="s">
        <v>5852</v>
      </c>
      <c r="F20" s="25" t="s">
        <v>5853</v>
      </c>
      <c r="G20" s="25" t="s">
        <v>5854</v>
      </c>
      <c r="H20" s="25" t="s">
        <v>5855</v>
      </c>
      <c r="I20" s="25" t="s">
        <v>5856</v>
      </c>
      <c r="J20" s="25" t="s">
        <v>5857</v>
      </c>
      <c r="K20" s="25" t="s">
        <v>5858</v>
      </c>
      <c r="L20" s="25" t="s">
        <v>5859</v>
      </c>
      <c r="M20" s="25" t="s">
        <v>5860</v>
      </c>
      <c r="N20" s="39" t="s">
        <v>5861</v>
      </c>
      <c r="O20" s="38" t="s">
        <v>5894</v>
      </c>
      <c r="Q20" s="326"/>
      <c r="R20" s="25">
        <f>MATCH(Q18,MatchCleaned!A:A,1)</f>
        <v>295</v>
      </c>
      <c r="S20" s="25" t="s">
        <v>5851</v>
      </c>
      <c r="T20" s="36" t="s">
        <v>5852</v>
      </c>
      <c r="U20" s="25" t="s">
        <v>5853</v>
      </c>
      <c r="V20" s="25" t="s">
        <v>5854</v>
      </c>
      <c r="W20" s="25" t="s">
        <v>5855</v>
      </c>
      <c r="X20" s="25" t="s">
        <v>5856</v>
      </c>
      <c r="Y20" s="25" t="s">
        <v>5857</v>
      </c>
      <c r="Z20" s="25" t="s">
        <v>5858</v>
      </c>
      <c r="AA20" s="25" t="s">
        <v>5859</v>
      </c>
      <c r="AB20" s="25" t="s">
        <v>5860</v>
      </c>
      <c r="AC20" s="39" t="s">
        <v>5861</v>
      </c>
      <c r="AD20" s="38" t="s">
        <v>5894</v>
      </c>
    </row>
    <row r="21" spans="2:30" ht="30">
      <c r="B21" s="347"/>
      <c r="C21" s="25">
        <f>VLOOKUP(B18,MatchPivot!A:R,2,FALSE)</f>
        <v>12</v>
      </c>
      <c r="D21" s="25" t="s">
        <v>2</v>
      </c>
      <c r="E21" s="25" t="s">
        <v>19</v>
      </c>
      <c r="F21" s="25" t="s">
        <v>13</v>
      </c>
      <c r="G21" s="25" t="s">
        <v>14</v>
      </c>
      <c r="H21" s="25" t="s">
        <v>5892</v>
      </c>
      <c r="I21" s="25" t="s">
        <v>5893</v>
      </c>
      <c r="J21" s="25" t="s">
        <v>14</v>
      </c>
      <c r="K21" s="25" t="s">
        <v>5864</v>
      </c>
      <c r="L21" s="25" t="s">
        <v>5849</v>
      </c>
      <c r="M21" s="39" t="s">
        <v>22</v>
      </c>
      <c r="N21" s="39" t="s">
        <v>5864</v>
      </c>
      <c r="O21" s="38" t="s">
        <v>11</v>
      </c>
      <c r="Q21" s="326"/>
      <c r="R21" s="25">
        <f>VLOOKUP(Q18, MatchPivot!A:R,2, FALSE)</f>
        <v>9</v>
      </c>
      <c r="S21" s="25" t="s">
        <v>2</v>
      </c>
      <c r="T21" s="25" t="s">
        <v>19</v>
      </c>
      <c r="U21" s="25" t="s">
        <v>13</v>
      </c>
      <c r="V21" s="25" t="s">
        <v>14</v>
      </c>
      <c r="W21" s="25" t="s">
        <v>5892</v>
      </c>
      <c r="X21" s="25" t="s">
        <v>5893</v>
      </c>
      <c r="Y21" s="25" t="s">
        <v>14</v>
      </c>
      <c r="Z21" s="25" t="s">
        <v>5864</v>
      </c>
      <c r="AA21" s="25" t="s">
        <v>5849</v>
      </c>
      <c r="AB21" s="39" t="s">
        <v>22</v>
      </c>
      <c r="AC21" s="39" t="s">
        <v>5864</v>
      </c>
      <c r="AD21" s="38" t="s">
        <v>11</v>
      </c>
    </row>
    <row r="22" spans="2:30">
      <c r="B22" s="347"/>
      <c r="C22" s="25">
        <v>0</v>
      </c>
      <c r="D22" s="25">
        <f ca="1">IFERROR(IF($C$21-$C$22&gt;0,INDIRECT("MatchCleaned!"&amp;D$20&amp;$C$20-$C$22,TRUE),""),"")</f>
        <v>72</v>
      </c>
      <c r="E22" s="25">
        <f t="shared" ref="E22:O22" ca="1" si="6">IFERROR(IF($C$21-$C$22&gt;0,INDIRECT("MatchCleaned!"&amp;E$20&amp;$C$20-$C$22,TRUE),""),"")</f>
        <v>1</v>
      </c>
      <c r="F22" s="25">
        <f t="shared" ca="1" si="6"/>
        <v>0</v>
      </c>
      <c r="G22" s="25">
        <f t="shared" ca="1" si="6"/>
        <v>0</v>
      </c>
      <c r="H22" s="25">
        <f t="shared" ca="1" si="6"/>
        <v>0</v>
      </c>
      <c r="I22" s="25">
        <f t="shared" ca="1" si="6"/>
        <v>0</v>
      </c>
      <c r="J22" s="25">
        <f t="shared" ca="1" si="6"/>
        <v>4</v>
      </c>
      <c r="K22" s="25">
        <f t="shared" ca="1" si="6"/>
        <v>0</v>
      </c>
      <c r="L22" s="25">
        <f t="shared" ca="1" si="6"/>
        <v>0</v>
      </c>
      <c r="M22" s="25" t="str">
        <f t="shared" ca="1" si="6"/>
        <v>NONE</v>
      </c>
      <c r="N22" s="25" t="str">
        <f t="shared" ca="1" si="6"/>
        <v>Boost2, Levitate</v>
      </c>
      <c r="O22" s="25">
        <f t="shared" ca="1" si="6"/>
        <v>0</v>
      </c>
      <c r="Q22" s="326"/>
      <c r="R22" s="25">
        <v>0</v>
      </c>
      <c r="S22" s="25">
        <f ca="1">IFERROR(IF($R$21-$R$22&gt;0,INDIRECT("MatchCleaned!"&amp;S$20&amp;$R$20-$R$22,TRUE),""),"")</f>
        <v>59</v>
      </c>
      <c r="T22" s="25">
        <f t="shared" ref="T22:AD22" ca="1" si="7">IFERROR(IF($R$21-$R$22&gt;0,INDIRECT("MatchCleaned!"&amp;T$20&amp;$R$20-$R$22,TRUE),""),"")</f>
        <v>1</v>
      </c>
      <c r="U22" s="25">
        <f t="shared" ca="1" si="7"/>
        <v>1</v>
      </c>
      <c r="V22" s="25">
        <f t="shared" ca="1" si="7"/>
        <v>0</v>
      </c>
      <c r="W22" s="25">
        <f t="shared" ca="1" si="7"/>
        <v>2</v>
      </c>
      <c r="X22" s="25">
        <f t="shared" ca="1" si="7"/>
        <v>0</v>
      </c>
      <c r="Y22" s="25">
        <f t="shared" ca="1" si="7"/>
        <v>0</v>
      </c>
      <c r="Z22" s="25">
        <f t="shared" ca="1" si="7"/>
        <v>3</v>
      </c>
      <c r="AA22" s="25">
        <f t="shared" ca="1" si="7"/>
        <v>1</v>
      </c>
      <c r="AB22" s="25" t="str">
        <f t="shared" ca="1" si="7"/>
        <v>Climb on own</v>
      </c>
      <c r="AC22" s="25" t="str">
        <f t="shared" ca="1" si="7"/>
        <v>Levitate</v>
      </c>
      <c r="AD22" s="25">
        <f t="shared" ca="1" si="7"/>
        <v>0</v>
      </c>
    </row>
    <row r="23" spans="2:30">
      <c r="B23" s="347"/>
      <c r="C23" s="25">
        <v>1</v>
      </c>
      <c r="D23" s="25">
        <f ca="1">IFERROR(IF($C$21-$C$23&gt;0,INDIRECT("MatchCleaned!"&amp;D$20&amp;$C$20-$C$23,TRUE),""),"")</f>
        <v>60</v>
      </c>
      <c r="E23" s="25">
        <f t="shared" ref="E23:O23" ca="1" si="8">IFERROR(IF($C$21-$C$23&gt;0,INDIRECT("MatchCleaned!"&amp;E$20&amp;$C$20-$C$23,TRUE),""),"")</f>
        <v>1</v>
      </c>
      <c r="F23" s="25">
        <f t="shared" ca="1" si="8"/>
        <v>0</v>
      </c>
      <c r="G23" s="25">
        <f t="shared" ca="1" si="8"/>
        <v>0</v>
      </c>
      <c r="H23" s="25">
        <f t="shared" ca="1" si="8"/>
        <v>0</v>
      </c>
      <c r="I23" s="25">
        <f t="shared" ca="1" si="8"/>
        <v>0</v>
      </c>
      <c r="J23" s="25">
        <f t="shared" ca="1" si="8"/>
        <v>2</v>
      </c>
      <c r="K23" s="25">
        <f t="shared" ca="1" si="8"/>
        <v>0</v>
      </c>
      <c r="L23" s="25">
        <f t="shared" ca="1" si="8"/>
        <v>1</v>
      </c>
      <c r="M23" s="25" t="str">
        <f t="shared" ca="1" si="8"/>
        <v>Assisted (climb on ramp)</v>
      </c>
      <c r="N23" s="25" t="str">
        <f t="shared" ca="1" si="8"/>
        <v>Force3, Boost2, Levitate</v>
      </c>
      <c r="O23" s="25">
        <f t="shared" ca="1" si="8"/>
        <v>0</v>
      </c>
      <c r="Q23" s="326"/>
      <c r="R23" s="25">
        <v>1</v>
      </c>
      <c r="S23" s="25">
        <f ca="1">IFERROR(IF($R$21-$R$23&gt;0,INDIRECT("MatchCleaned!"&amp;S$20&amp;$R$20-$R$23,TRUE),""),"")</f>
        <v>54</v>
      </c>
      <c r="T23" s="25">
        <f t="shared" ref="T23:AD23" ca="1" si="9">IFERROR(IF($R$21-$R$23&gt;0,INDIRECT("MatchCleaned!"&amp;T$20&amp;$R$20-$R$23,TRUE),""),"")</f>
        <v>1</v>
      </c>
      <c r="U23" s="25">
        <f t="shared" ca="1" si="9"/>
        <v>1</v>
      </c>
      <c r="V23" s="25">
        <f t="shared" ca="1" si="9"/>
        <v>0</v>
      </c>
      <c r="W23" s="25">
        <f t="shared" ca="1" si="9"/>
        <v>0</v>
      </c>
      <c r="X23" s="25">
        <f t="shared" ca="1" si="9"/>
        <v>0</v>
      </c>
      <c r="Y23" s="25">
        <f t="shared" ca="1" si="9"/>
        <v>0</v>
      </c>
      <c r="Z23" s="25">
        <f t="shared" ca="1" si="9"/>
        <v>4</v>
      </c>
      <c r="AA23" s="25">
        <f t="shared" ca="1" si="9"/>
        <v>1</v>
      </c>
      <c r="AB23" s="25" t="str">
        <f t="shared" ca="1" si="9"/>
        <v>Climb on own</v>
      </c>
      <c r="AC23" s="25" t="str">
        <f t="shared" ca="1" si="9"/>
        <v>Force1, Levitate</v>
      </c>
      <c r="AD23" s="25" t="str">
        <f t="shared" ca="1" si="9"/>
        <v>I mean, they're okay at driving</v>
      </c>
    </row>
    <row r="24" spans="2:30" ht="15.75" thickBot="1">
      <c r="B24" s="347"/>
      <c r="C24" s="25">
        <v>2</v>
      </c>
      <c r="D24" s="25">
        <f ca="1">IFERROR(IF($C$21-$C$24&gt;0,INDIRECT("MatchCleaned!"&amp;D$20&amp;$C$20-$C$24,TRUE),""),"")</f>
        <v>60</v>
      </c>
      <c r="E24" s="25">
        <f t="shared" ref="E24:P24" ca="1" si="10">IFERROR(IF($C$21-$C$24&gt;0,INDIRECT("MatchCleaned!"&amp;E$20&amp;$C$20-$C$24,TRUE),""),"")</f>
        <v>1</v>
      </c>
      <c r="F24" s="25">
        <f t="shared" ca="1" si="10"/>
        <v>0</v>
      </c>
      <c r="G24" s="25">
        <f t="shared" ca="1" si="10"/>
        <v>0</v>
      </c>
      <c r="H24" s="25">
        <f t="shared" ca="1" si="10"/>
        <v>1</v>
      </c>
      <c r="I24" s="25">
        <f t="shared" ca="1" si="10"/>
        <v>0</v>
      </c>
      <c r="J24" s="25">
        <f t="shared" ca="1" si="10"/>
        <v>2</v>
      </c>
      <c r="K24" s="25">
        <f t="shared" ca="1" si="10"/>
        <v>0</v>
      </c>
      <c r="L24" s="25">
        <f t="shared" ca="1" si="10"/>
        <v>1</v>
      </c>
      <c r="M24" s="25" t="str">
        <f t="shared" ca="1" si="10"/>
        <v>Levitate</v>
      </c>
      <c r="N24" s="25" t="str">
        <f t="shared" ca="1" si="10"/>
        <v>Force3, Boost1, Levitate</v>
      </c>
      <c r="O24" s="25">
        <f t="shared" ca="1" si="10"/>
        <v>0</v>
      </c>
      <c r="P24" s="25" t="str">
        <f t="shared" ca="1" si="10"/>
        <v/>
      </c>
      <c r="Q24" s="327"/>
      <c r="R24" s="25">
        <v>2</v>
      </c>
      <c r="S24" s="25">
        <f ca="1">IFERROR(IF($R$21-$R$24&gt;0,INDIRECT("MatchCleaned!"&amp;S$20&amp;$R$20-$R$24,TRUE),""),"")</f>
        <v>47</v>
      </c>
      <c r="T24" s="25">
        <f t="shared" ref="T24:AD24" ca="1" si="11">IFERROR(IF($R$21-$R$24&gt;0,INDIRECT("MatchCleaned!"&amp;T$20&amp;$R$20-$R$24,TRUE),""),"")</f>
        <v>1</v>
      </c>
      <c r="U24" s="25">
        <f t="shared" ca="1" si="11"/>
        <v>0</v>
      </c>
      <c r="V24" s="25">
        <f t="shared" ca="1" si="11"/>
        <v>0</v>
      </c>
      <c r="W24" s="25">
        <f t="shared" ca="1" si="11"/>
        <v>3</v>
      </c>
      <c r="X24" s="25">
        <f t="shared" ca="1" si="11"/>
        <v>0</v>
      </c>
      <c r="Y24" s="25">
        <f t="shared" ca="1" si="11"/>
        <v>0</v>
      </c>
      <c r="Z24" s="25">
        <f t="shared" ca="1" si="11"/>
        <v>1</v>
      </c>
      <c r="AA24" s="25">
        <f t="shared" ca="1" si="11"/>
        <v>1</v>
      </c>
      <c r="AB24" s="25" t="str">
        <f t="shared" ca="1" si="11"/>
        <v>Levitate</v>
      </c>
      <c r="AC24" s="25" t="str">
        <f t="shared" ca="1" si="11"/>
        <v>Boost1, Boost2, Boost3, Levitate</v>
      </c>
      <c r="AD24" s="25" t="str">
        <f t="shared" ca="1" si="11"/>
        <v>Choppy driving. Soooo close to getting the climb</v>
      </c>
    </row>
    <row r="25" spans="2:30">
      <c r="B25" s="46" t="s">
        <v>5862</v>
      </c>
      <c r="C25" s="25"/>
      <c r="D25" s="25"/>
      <c r="E25" s="26">
        <f>IFERROR(VLOOKUP(B18,MatchPivot!A:R,3,FALSE),"No Ave")</f>
        <v>1</v>
      </c>
      <c r="F25" s="26">
        <f>IFERROR(VLOOKUP(B18,MatchPivot!A:R,4,FALSE),"No Ave")</f>
        <v>0</v>
      </c>
      <c r="G25" s="26">
        <f>IFERROR(VLOOKUP(B18,MatchPivot!A:R,5,FALSE),"No Ave")</f>
        <v>0</v>
      </c>
      <c r="H25" s="26">
        <f>IFERROR(VLOOKUP(B18,MatchPivot!A:R,6,FALSE),"No Ave")</f>
        <v>1.4166666666666667</v>
      </c>
      <c r="I25" s="26">
        <f>IFERROR(VLOOKUP(B18,MatchPivot!A:R,9,FALSE),"No Ave")</f>
        <v>0</v>
      </c>
      <c r="J25" s="26">
        <f>IFERROR(VLOOKUP(B18,MatchPivot!A:R,12,FALSE),"No Ave")</f>
        <v>3</v>
      </c>
      <c r="K25" s="26">
        <f>IFERROR(VLOOKUP(B18,MatchPivot!A:R,15,FALSE),"No Ave")</f>
        <v>0</v>
      </c>
      <c r="L25" s="26">
        <f>IFERROR(VLOOKUP(B18,MatchPivot!A:R,18,FALSE),"No Ave")</f>
        <v>0</v>
      </c>
      <c r="M25" s="138" t="s">
        <v>5876</v>
      </c>
      <c r="N25" s="139" t="s">
        <v>5973</v>
      </c>
      <c r="O25" s="140" t="s">
        <v>5875</v>
      </c>
      <c r="Q25" s="48" t="s">
        <v>5862</v>
      </c>
      <c r="R25" s="25"/>
      <c r="S25" s="25"/>
      <c r="T25" s="26">
        <f>IFERROR(VLOOKUP($Q$18,MatchPivot!$A:$R,3,FALSE),"No Ave")</f>
        <v>1</v>
      </c>
      <c r="U25" s="26">
        <f>IFERROR(VLOOKUP($Q$18,MatchPivot!$A:$R,4,FALSE),"No Ave")</f>
        <v>0.22222222222222221</v>
      </c>
      <c r="V25" s="26">
        <f>IFERROR(VLOOKUP($Q$18,MatchPivot!$A:$R,5,FALSE),"No Ave")</f>
        <v>0</v>
      </c>
      <c r="W25" s="26">
        <f>IFERROR(VLOOKUP($Q$18,MatchPivot!$A:$R,6,FALSE),"No Ave")</f>
        <v>2.1111111111111112</v>
      </c>
      <c r="X25" s="26">
        <f>IFERROR(VLOOKUP($Q$18,MatchPivot!$A:$R,7,FALSE),"No Ave")</f>
        <v>0.1111111111111111</v>
      </c>
      <c r="Y25" s="26">
        <f>IFERROR(VLOOKUP($Q$18,MatchPivot!$A:$R,8,FALSE),"No Ave")</f>
        <v>0</v>
      </c>
      <c r="Z25" s="26">
        <f>IFERROR(VLOOKUP($Q$18,MatchPivot!$A:$R,9,FALSE),"No Ave")</f>
        <v>1.2222222222222223</v>
      </c>
      <c r="AA25" s="26">
        <f>IFERROR(VLOOKUP($Q$18,MatchPivot!$A:$R,10,FALSE),"No Ave")</f>
        <v>0.66666666666666663</v>
      </c>
      <c r="AB25" s="138" t="s">
        <v>5876</v>
      </c>
      <c r="AC25" s="139" t="s">
        <v>5973</v>
      </c>
      <c r="AD25" s="140" t="s">
        <v>5875</v>
      </c>
    </row>
    <row r="26" spans="2:30" ht="15.75" thickBot="1">
      <c r="B26" s="47" t="s">
        <v>5865</v>
      </c>
      <c r="C26" s="30"/>
      <c r="D26" s="30"/>
      <c r="E26" s="30"/>
      <c r="F26" s="30"/>
      <c r="G26" s="30"/>
      <c r="H26" s="33">
        <f>IFERROR(VLOOKUP($B$18,MatchPivot!$A:$V,19,FALSE),"NO StDev")</f>
        <v>1.2401124093721456</v>
      </c>
      <c r="I26" s="33">
        <f>IFERROR(VLOOKUP($B$18,MatchPivot!$A:$V,20,FALSE),"NO StDev")</f>
        <v>0.99620491989562188</v>
      </c>
      <c r="J26" s="33">
        <f>IFERROR(VLOOKUP($B$18,MatchPivot!$A:$V,21,FALSE),"NO StDev")</f>
        <v>1.0836246694508316</v>
      </c>
      <c r="K26" s="33">
        <f>IFERROR(VLOOKUP($B$18,MatchPivot!$A:$V,22,FALSE),"NO StDev")</f>
        <v>0</v>
      </c>
      <c r="L26" s="30"/>
      <c r="M26" s="26">
        <f>IFERROR(VLOOKUP($B$18,SkillRanking!$A:$Q,12,FALSE),"")</f>
        <v>91.329003402311969</v>
      </c>
      <c r="N26" s="144">
        <f>IFERROR(VLOOKUP($B$18,SkillRanking!$A:$Q,13,FALSE),"")</f>
        <v>32</v>
      </c>
      <c r="O26" s="125">
        <f>IFERROR(VLOOKUP($B$18,SkillRanking!$A:$Q,11,FALSE),"")</f>
        <v>30.75</v>
      </c>
      <c r="Q26" s="49" t="s">
        <v>5865</v>
      </c>
      <c r="R26" s="30"/>
      <c r="S26" s="30"/>
      <c r="T26" s="30"/>
      <c r="U26" s="30"/>
      <c r="V26" s="30"/>
      <c r="W26" s="30">
        <f>IFERROR(VLOOKUP($Q$18,MatchPivot!$A:$V,19,FALSE),"NO StDev")</f>
        <v>1.3642254619787415</v>
      </c>
      <c r="X26" s="30">
        <f>IFERROR(VLOOKUP($Q$18,MatchPivot!$A:$V,20,FALSE),"NO StDev")</f>
        <v>0.33333333333333331</v>
      </c>
      <c r="Y26" s="30">
        <f>IFERROR(VLOOKUP($Q$18,MatchPivot!$A:$V,21,FALSE),"NO StDev")</f>
        <v>0</v>
      </c>
      <c r="Z26" s="30">
        <f>IFERROR(VLOOKUP($Q$18,MatchPivot!$A:$V,22,FALSE),"NO StDev")</f>
        <v>1.4813657362192649</v>
      </c>
      <c r="AA26" s="30"/>
      <c r="AB26" s="26">
        <f>IFERROR(VLOOKUP($Q$18,SkillRanking!$A:$Q,12,FALSE),"")</f>
        <v>92.343138694651316</v>
      </c>
      <c r="AC26" s="144">
        <f>IFERROR(VLOOKUP($Q$18,SkillRanking!$A:$Q,13,FALSE),"")</f>
        <v>22</v>
      </c>
      <c r="AD26" s="125">
        <f>IFERROR(VLOOKUP($Q$18,SkillRanking!$A:$Q,11,FALSE),"")</f>
        <v>35.777777777777771</v>
      </c>
    </row>
    <row r="27" spans="2:30" ht="10.5" customHeight="1" thickBot="1">
      <c r="B27" s="42"/>
      <c r="C27" s="42"/>
      <c r="D27" s="42"/>
      <c r="E27" s="42"/>
      <c r="F27" s="42"/>
      <c r="G27" s="42"/>
      <c r="H27" s="42"/>
      <c r="I27" s="43"/>
      <c r="J27" s="43"/>
      <c r="K27" s="43"/>
      <c r="L27" s="42"/>
      <c r="M27" s="42"/>
      <c r="N27" s="44"/>
      <c r="O27" s="44"/>
      <c r="Q27" s="42"/>
      <c r="R27" s="42"/>
      <c r="S27" s="42"/>
      <c r="T27" s="42"/>
      <c r="U27" s="42"/>
      <c r="V27" s="42"/>
      <c r="W27" s="42"/>
      <c r="X27" s="43"/>
      <c r="Y27" s="43"/>
      <c r="Z27" s="43"/>
      <c r="AA27" s="42"/>
      <c r="AB27" s="42"/>
      <c r="AC27" s="44"/>
      <c r="AD27" s="44"/>
    </row>
    <row r="28" spans="2:30" ht="30.75" customHeight="1" thickBot="1">
      <c r="B28" s="337">
        <f>IFERROR(VLOOKUP($A$1,Schedule!$A:$G, 4, FALSE),0)</f>
        <v>6346</v>
      </c>
      <c r="C28" s="338"/>
      <c r="D28" s="338"/>
      <c r="E28" s="338"/>
      <c r="F28" s="338"/>
      <c r="G28" s="339" t="str">
        <f>IFERROR(VLOOKUP(B28,TeamList!A:E, 2, FALSE),"NA")</f>
        <v>Norwalk High School Robotics</v>
      </c>
      <c r="H28" s="340"/>
      <c r="I28" s="340"/>
      <c r="J28" s="341"/>
      <c r="K28" s="74" t="str">
        <f>IFERROR(VLOOKUP(B28,TeamList!A:E, 3, FALSE),"NA")</f>
        <v>Norwalk</v>
      </c>
      <c r="L28" s="342" t="str">
        <f>IFERROR(VLOOKUP(B28,TeamList!A:E,4,FALSE),"NA")</f>
        <v>Connecticut</v>
      </c>
      <c r="M28" s="343"/>
      <c r="N28" s="75" t="s">
        <v>5847</v>
      </c>
      <c r="O28" s="76" t="str">
        <f>IFERROR(VLOOKUP(B28,PitCleaned!A:I,9, FALSE),"NA")</f>
        <v>Ryan</v>
      </c>
      <c r="Q28" s="320">
        <f>IFERROR(VLOOKUP($A$1,Schedule!$A:$G, 7, FALSE),0)</f>
        <v>6333</v>
      </c>
      <c r="R28" s="321"/>
      <c r="S28" s="321"/>
      <c r="T28" s="321"/>
      <c r="U28" s="321"/>
      <c r="V28" s="322" t="str">
        <f>IFERROR(VLOOKUP(Q28,TeamList!A:E, 2, FALSE),"NA")</f>
        <v>Scavenger Robotics</v>
      </c>
      <c r="W28" s="323"/>
      <c r="X28" s="323"/>
      <c r="Y28" s="324"/>
      <c r="Z28" s="77" t="str">
        <f>IFERROR(VLOOKUP(Q28,TeamList!A:E, 3, FALSE),"NA")</f>
        <v>Putnam</v>
      </c>
      <c r="AA28" s="317" t="str">
        <f>IFERROR(VLOOKUP(Q28,TeamList!A:E,4,FALSE),"NA")</f>
        <v>Connecticut</v>
      </c>
      <c r="AB28" s="318"/>
      <c r="AC28" s="78" t="s">
        <v>5847</v>
      </c>
      <c r="AD28" s="79" t="str">
        <f>IFERROR(VLOOKUP(Q28,PitCleaned!A:I,9, FALSE),"NA")</f>
        <v>Morgan or Tyler</v>
      </c>
    </row>
    <row r="29" spans="2:30" ht="18.75">
      <c r="B29" s="344"/>
      <c r="C29" s="35"/>
      <c r="D29" s="35"/>
      <c r="E29" s="319" t="s">
        <v>17</v>
      </c>
      <c r="F29" s="319"/>
      <c r="G29" s="319"/>
      <c r="H29" s="94"/>
      <c r="I29" s="319" t="s">
        <v>18</v>
      </c>
      <c r="J29" s="319"/>
      <c r="K29" s="319"/>
      <c r="L29" s="319"/>
      <c r="M29" s="319"/>
      <c r="N29" s="319"/>
      <c r="O29" s="45"/>
      <c r="Q29" s="325"/>
      <c r="R29" s="35"/>
      <c r="S29" s="35"/>
      <c r="T29" s="319" t="s">
        <v>17</v>
      </c>
      <c r="U29" s="319"/>
      <c r="V29" s="319"/>
      <c r="W29" s="94"/>
      <c r="X29" s="319" t="s">
        <v>18</v>
      </c>
      <c r="Y29" s="319"/>
      <c r="Z29" s="319"/>
      <c r="AA29" s="319"/>
      <c r="AB29" s="319"/>
      <c r="AC29" s="319"/>
      <c r="AD29" s="45"/>
    </row>
    <row r="30" spans="2:30" ht="15" hidden="1" customHeight="1">
      <c r="B30" s="345"/>
      <c r="C30" s="25">
        <f>MATCH(B28,MatchCleaned!A:A,1)</f>
        <v>416</v>
      </c>
      <c r="D30" s="25" t="s">
        <v>5851</v>
      </c>
      <c r="E30" s="36" t="s">
        <v>5852</v>
      </c>
      <c r="F30" s="25" t="s">
        <v>5853</v>
      </c>
      <c r="G30" s="25" t="s">
        <v>5854</v>
      </c>
      <c r="H30" s="25" t="s">
        <v>5855</v>
      </c>
      <c r="I30" s="25" t="s">
        <v>5856</v>
      </c>
      <c r="J30" s="25" t="s">
        <v>5857</v>
      </c>
      <c r="K30" s="25" t="s">
        <v>5858</v>
      </c>
      <c r="L30" s="25" t="s">
        <v>5859</v>
      </c>
      <c r="M30" s="25" t="s">
        <v>5860</v>
      </c>
      <c r="N30" s="39" t="s">
        <v>5861</v>
      </c>
      <c r="O30" s="38" t="s">
        <v>5894</v>
      </c>
      <c r="Q30" s="326"/>
      <c r="R30" s="25">
        <f>MATCH(Q28,MatchCleaned!A:A,1)</f>
        <v>402</v>
      </c>
      <c r="S30" s="25" t="s">
        <v>5851</v>
      </c>
      <c r="T30" s="36" t="s">
        <v>5852</v>
      </c>
      <c r="U30" s="25" t="s">
        <v>5853</v>
      </c>
      <c r="V30" s="25" t="s">
        <v>5854</v>
      </c>
      <c r="W30" s="25" t="s">
        <v>5855</v>
      </c>
      <c r="X30" s="25" t="s">
        <v>5856</v>
      </c>
      <c r="Y30" s="25" t="s">
        <v>5857</v>
      </c>
      <c r="Z30" s="25" t="s">
        <v>5858</v>
      </c>
      <c r="AA30" s="25" t="s">
        <v>5859</v>
      </c>
      <c r="AB30" s="25" t="s">
        <v>5860</v>
      </c>
      <c r="AC30" s="39" t="s">
        <v>5861</v>
      </c>
      <c r="AD30" s="38" t="s">
        <v>5894</v>
      </c>
    </row>
    <row r="31" spans="2:30" ht="30">
      <c r="B31" s="345"/>
      <c r="C31" s="25">
        <f>VLOOKUP(B28,MatchPivot!A:R,2, FALSE)</f>
        <v>14</v>
      </c>
      <c r="D31" s="25" t="s">
        <v>2</v>
      </c>
      <c r="E31" s="25" t="s">
        <v>19</v>
      </c>
      <c r="F31" s="25" t="s">
        <v>13</v>
      </c>
      <c r="G31" s="25" t="s">
        <v>14</v>
      </c>
      <c r="H31" s="25" t="s">
        <v>5892</v>
      </c>
      <c r="I31" s="25" t="s">
        <v>5893</v>
      </c>
      <c r="J31" s="25" t="s">
        <v>14</v>
      </c>
      <c r="K31" s="25" t="s">
        <v>5864</v>
      </c>
      <c r="L31" s="25" t="s">
        <v>5849</v>
      </c>
      <c r="M31" s="39" t="s">
        <v>22</v>
      </c>
      <c r="N31" s="39" t="s">
        <v>5864</v>
      </c>
      <c r="O31" s="38" t="s">
        <v>11</v>
      </c>
      <c r="Q31" s="326"/>
      <c r="R31" s="25">
        <f>VLOOKUP(Q28,MatchPivot!A:R,2, FALSE)</f>
        <v>11</v>
      </c>
      <c r="S31" s="25" t="s">
        <v>2</v>
      </c>
      <c r="T31" s="25" t="s">
        <v>19</v>
      </c>
      <c r="U31" s="25" t="s">
        <v>13</v>
      </c>
      <c r="V31" s="25" t="s">
        <v>14</v>
      </c>
      <c r="W31" s="25" t="s">
        <v>5892</v>
      </c>
      <c r="X31" s="25" t="s">
        <v>5893</v>
      </c>
      <c r="Y31" s="25" t="s">
        <v>14</v>
      </c>
      <c r="Z31" s="25" t="s">
        <v>5864</v>
      </c>
      <c r="AA31" s="25" t="s">
        <v>5849</v>
      </c>
      <c r="AB31" s="39" t="s">
        <v>22</v>
      </c>
      <c r="AC31" s="39" t="s">
        <v>5864</v>
      </c>
      <c r="AD31" s="38" t="s">
        <v>11</v>
      </c>
    </row>
    <row r="32" spans="2:30">
      <c r="B32" s="345"/>
      <c r="C32" s="25">
        <v>0</v>
      </c>
      <c r="D32" s="25">
        <f ca="1">IFERROR(IF($C$31-$C32&gt;0,INDIRECT("MatchCleaned!"&amp;D$30&amp;$C$30-$C$32,TRUE),""),"")</f>
        <v>81</v>
      </c>
      <c r="E32" s="25">
        <f t="shared" ref="E32:O32" ca="1" si="12">IFERROR(IF($C$31-$C32&gt;0,INDIRECT("MatchCleaned!"&amp;E$30&amp;$C$30-$C$32,TRUE),""),"")</f>
        <v>1</v>
      </c>
      <c r="F32" s="25">
        <f t="shared" ca="1" si="12"/>
        <v>0</v>
      </c>
      <c r="G32" s="25">
        <f t="shared" ca="1" si="12"/>
        <v>0</v>
      </c>
      <c r="H32" s="25">
        <f t="shared" ca="1" si="12"/>
        <v>1</v>
      </c>
      <c r="I32" s="25">
        <f t="shared" ca="1" si="12"/>
        <v>3</v>
      </c>
      <c r="J32" s="25">
        <f t="shared" ca="1" si="12"/>
        <v>1</v>
      </c>
      <c r="K32" s="25">
        <f t="shared" ca="1" si="12"/>
        <v>0</v>
      </c>
      <c r="L32" s="25">
        <f t="shared" ca="1" si="12"/>
        <v>1</v>
      </c>
      <c r="M32" s="25" t="str">
        <f t="shared" ca="1" si="12"/>
        <v>Climb on own</v>
      </c>
      <c r="N32" s="25" t="str">
        <f t="shared" ca="1" si="12"/>
        <v>Force3, Levitate</v>
      </c>
      <c r="O32" s="25">
        <f t="shared" ca="1" si="12"/>
        <v>0</v>
      </c>
      <c r="Q32" s="326"/>
      <c r="R32" s="25">
        <v>0</v>
      </c>
      <c r="S32" s="25">
        <f ca="1">IFERROR(IF($R$31-$R$32&gt;0,INDIRECT("MatchCleaned!"&amp;S$30&amp;$R$30-$R$32,TRUE),""),"")</f>
        <v>72</v>
      </c>
      <c r="T32" s="25">
        <f t="shared" ref="T32:AD32" ca="1" si="13">IFERROR(IF($R$31-$R$32&gt;0,INDIRECT("MatchCleaned!"&amp;T$30&amp;$R$30-$R$32,TRUE),""),"")</f>
        <v>1</v>
      </c>
      <c r="U32" s="25">
        <f t="shared" ca="1" si="13"/>
        <v>0</v>
      </c>
      <c r="V32" s="25">
        <f t="shared" ca="1" si="13"/>
        <v>0</v>
      </c>
      <c r="W32" s="25">
        <f t="shared" ca="1" si="13"/>
        <v>2</v>
      </c>
      <c r="X32" s="25">
        <f t="shared" ca="1" si="13"/>
        <v>0</v>
      </c>
      <c r="Y32" s="25">
        <f t="shared" ca="1" si="13"/>
        <v>0</v>
      </c>
      <c r="Z32" s="25">
        <f t="shared" ca="1" si="13"/>
        <v>0</v>
      </c>
      <c r="AA32" s="25">
        <f t="shared" ca="1" si="13"/>
        <v>0</v>
      </c>
      <c r="AB32" s="25">
        <f t="shared" ca="1" si="13"/>
        <v>0</v>
      </c>
      <c r="AC32" s="25" t="str">
        <f t="shared" ca="1" si="13"/>
        <v>Boost2, Levitate</v>
      </c>
      <c r="AD32" s="25">
        <f t="shared" ca="1" si="13"/>
        <v>0</v>
      </c>
    </row>
    <row r="33" spans="2:30">
      <c r="B33" s="345"/>
      <c r="C33" s="25">
        <v>1</v>
      </c>
      <c r="D33" s="25">
        <f ca="1">IFERROR(IF($C$31-$C33&gt;0,INDIRECT("MatchCleaned!"&amp;D$30&amp;$C$30-$C$33,TRUE),""),"")</f>
        <v>72</v>
      </c>
      <c r="E33" s="25">
        <f t="shared" ref="E33:O33" ca="1" si="14">IFERROR(IF($C$31-$C33&gt;0,INDIRECT("MatchCleaned!"&amp;E$30&amp;$C$30-$C$33,TRUE),""),"")</f>
        <v>1</v>
      </c>
      <c r="F33" s="25">
        <f t="shared" ca="1" si="14"/>
        <v>1</v>
      </c>
      <c r="G33" s="25">
        <f t="shared" ca="1" si="14"/>
        <v>0</v>
      </c>
      <c r="H33" s="25">
        <f t="shared" ca="1" si="14"/>
        <v>0</v>
      </c>
      <c r="I33" s="25">
        <f t="shared" ca="1" si="14"/>
        <v>0</v>
      </c>
      <c r="J33" s="25">
        <f t="shared" ca="1" si="14"/>
        <v>0</v>
      </c>
      <c r="K33" s="25">
        <f t="shared" ca="1" si="14"/>
        <v>5</v>
      </c>
      <c r="L33" s="25">
        <f t="shared" ca="1" si="14"/>
        <v>1</v>
      </c>
      <c r="M33" s="25" t="str">
        <f t="shared" ca="1" si="14"/>
        <v>Levitate</v>
      </c>
      <c r="N33" s="25" t="str">
        <f t="shared" ca="1" si="14"/>
        <v>Boost2, Levitate</v>
      </c>
      <c r="O33" s="25">
        <f t="shared" ca="1" si="14"/>
        <v>0</v>
      </c>
      <c r="Q33" s="326"/>
      <c r="R33" s="25">
        <v>1</v>
      </c>
      <c r="S33" s="25">
        <f ca="1">IFERROR(IF($R$31-$R$33&gt;0,INDIRECT("MatchCleaned!"&amp;S$30&amp;$R$30-$R$33,TRUE),""),"")</f>
        <v>60</v>
      </c>
      <c r="T33" s="25">
        <f t="shared" ref="T33:AD33" ca="1" si="15">IFERROR(IF($R$31-$R$33&gt;0,INDIRECT("MatchCleaned!"&amp;T$30&amp;$R$30-$R$33,TRUE),""),"")</f>
        <v>1</v>
      </c>
      <c r="U33" s="25">
        <f t="shared" ca="1" si="15"/>
        <v>0</v>
      </c>
      <c r="V33" s="25">
        <f t="shared" ca="1" si="15"/>
        <v>0</v>
      </c>
      <c r="W33" s="25">
        <f t="shared" ca="1" si="15"/>
        <v>1</v>
      </c>
      <c r="X33" s="25">
        <f t="shared" ca="1" si="15"/>
        <v>0</v>
      </c>
      <c r="Y33" s="25">
        <f t="shared" ca="1" si="15"/>
        <v>0</v>
      </c>
      <c r="Z33" s="25">
        <f t="shared" ca="1" si="15"/>
        <v>2</v>
      </c>
      <c r="AA33" s="25">
        <f t="shared" ca="1" si="15"/>
        <v>1</v>
      </c>
      <c r="AB33" s="25" t="str">
        <f t="shared" ca="1" si="15"/>
        <v>Levitate</v>
      </c>
      <c r="AC33" s="25" t="str">
        <f t="shared" ca="1" si="15"/>
        <v>Levitate</v>
      </c>
      <c r="AD33" s="25">
        <f t="shared" ca="1" si="15"/>
        <v>0</v>
      </c>
    </row>
    <row r="34" spans="2:30" ht="15.75" thickBot="1">
      <c r="B34" s="346"/>
      <c r="C34" s="25">
        <v>2</v>
      </c>
      <c r="D34" s="25">
        <f ca="1">IFERROR(IF($C$31-$C34&gt;0,INDIRECT("MatchCleaned!"&amp;D$30&amp;$C$30-$C$34,TRUE),""),"")</f>
        <v>68</v>
      </c>
      <c r="E34" s="25">
        <f t="shared" ref="E34:O34" ca="1" si="16">IFERROR(IF($C$31-$C34&gt;0,INDIRECT("MatchCleaned!"&amp;E$30&amp;$C$30-$C$34,TRUE),""),"")</f>
        <v>1</v>
      </c>
      <c r="F34" s="25">
        <f t="shared" ca="1" si="16"/>
        <v>0</v>
      </c>
      <c r="G34" s="25">
        <f t="shared" ca="1" si="16"/>
        <v>0</v>
      </c>
      <c r="H34" s="25">
        <f t="shared" ca="1" si="16"/>
        <v>0</v>
      </c>
      <c r="I34" s="25">
        <f t="shared" ca="1" si="16"/>
        <v>0</v>
      </c>
      <c r="J34" s="25">
        <f t="shared" ca="1" si="16"/>
        <v>0</v>
      </c>
      <c r="K34" s="25">
        <f t="shared" ca="1" si="16"/>
        <v>3</v>
      </c>
      <c r="L34" s="25">
        <f t="shared" ca="1" si="16"/>
        <v>0</v>
      </c>
      <c r="M34" s="25">
        <f t="shared" ca="1" si="16"/>
        <v>0</v>
      </c>
      <c r="N34" s="25" t="str">
        <f t="shared" ca="1" si="16"/>
        <v>Levitate</v>
      </c>
      <c r="O34" s="25">
        <f t="shared" ca="1" si="16"/>
        <v>0</v>
      </c>
      <c r="Q34" s="327"/>
      <c r="R34" s="25">
        <v>2</v>
      </c>
      <c r="S34" s="25">
        <f ca="1">IFERROR(IF($R$31-$R$34&gt;0,INDIRECT("MatchCleaned!"&amp;S$30&amp;$R$30-$R$34,TRUE),""),"")</f>
        <v>55</v>
      </c>
      <c r="T34" s="25">
        <f t="shared" ref="T34:AD34" ca="1" si="17">IFERROR(IF($R$31-$R$34&gt;0,INDIRECT("MatchCleaned!"&amp;T$30&amp;$R$30-$R$34,TRUE),""),"")</f>
        <v>1</v>
      </c>
      <c r="U34" s="25">
        <f t="shared" ca="1" si="17"/>
        <v>0</v>
      </c>
      <c r="V34" s="25">
        <f t="shared" ca="1" si="17"/>
        <v>0</v>
      </c>
      <c r="W34" s="25">
        <f t="shared" ca="1" si="17"/>
        <v>0</v>
      </c>
      <c r="X34" s="25">
        <f t="shared" ca="1" si="17"/>
        <v>1</v>
      </c>
      <c r="Y34" s="25">
        <f t="shared" ca="1" si="17"/>
        <v>0</v>
      </c>
      <c r="Z34" s="25">
        <f t="shared" ca="1" si="17"/>
        <v>0</v>
      </c>
      <c r="AA34" s="25">
        <f t="shared" ca="1" si="17"/>
        <v>0</v>
      </c>
      <c r="AB34" s="25" t="str">
        <f t="shared" ca="1" si="17"/>
        <v>NONE</v>
      </c>
      <c r="AC34" s="25" t="str">
        <f t="shared" ca="1" si="17"/>
        <v>Force3, Boost3, Levitate</v>
      </c>
      <c r="AD34" s="25">
        <f t="shared" ca="1" si="17"/>
        <v>0</v>
      </c>
    </row>
    <row r="35" spans="2:30">
      <c r="B35" s="46" t="s">
        <v>5862</v>
      </c>
      <c r="C35" s="25"/>
      <c r="D35" s="25"/>
      <c r="E35" s="26">
        <f t="shared" ref="E35:L35" ca="1" si="18">IFERROR(AVERAGE(E32:E34),"No Ave")</f>
        <v>1</v>
      </c>
      <c r="F35" s="26">
        <f t="shared" ca="1" si="18"/>
        <v>0.33333333333333331</v>
      </c>
      <c r="G35" s="26">
        <f t="shared" ca="1" si="18"/>
        <v>0</v>
      </c>
      <c r="H35" s="26">
        <f t="shared" ca="1" si="18"/>
        <v>0.33333333333333331</v>
      </c>
      <c r="I35" s="26">
        <f t="shared" ca="1" si="18"/>
        <v>1</v>
      </c>
      <c r="J35" s="26">
        <f t="shared" ca="1" si="18"/>
        <v>0.33333333333333331</v>
      </c>
      <c r="K35" s="26">
        <f t="shared" ca="1" si="18"/>
        <v>2.6666666666666665</v>
      </c>
      <c r="L35" s="26">
        <f t="shared" ca="1" si="18"/>
        <v>0.66666666666666663</v>
      </c>
      <c r="M35" s="138" t="s">
        <v>5876</v>
      </c>
      <c r="N35" s="139" t="s">
        <v>5973</v>
      </c>
      <c r="O35" s="140" t="s">
        <v>5875</v>
      </c>
      <c r="Q35" s="48" t="s">
        <v>5862</v>
      </c>
      <c r="R35" s="25"/>
      <c r="S35" s="25"/>
      <c r="T35" s="26">
        <f>IFERROR(VLOOKUP($Q$28,MatchPivot!$A:$R,3,FALSE),"No Ave")</f>
        <v>0.90909090909090906</v>
      </c>
      <c r="U35" s="26">
        <f>IFERROR(VLOOKUP($Q$28,MatchPivot!$A:$R,4,FALSE),"No Ave")</f>
        <v>9.0909090909090912E-2</v>
      </c>
      <c r="V35" s="26">
        <f>IFERROR(VLOOKUP($Q$28,MatchPivot!$A:$R,5,FALSE),"No Ave")</f>
        <v>0</v>
      </c>
      <c r="W35" s="26">
        <f>IFERROR(VLOOKUP($Q$28,MatchPivot!$A:$R,6,FALSE),"No Ave")</f>
        <v>0.72727272727272729</v>
      </c>
      <c r="X35" s="26">
        <f>IFERROR(VLOOKUP($Q$28,MatchPivot!$A:$R,7,FALSE),"No Ave")</f>
        <v>0.27272727272727271</v>
      </c>
      <c r="Y35" s="26">
        <f>IFERROR(VLOOKUP($Q$28,MatchPivot!$A:$R,8,FALSE),"No Ave")</f>
        <v>0.18181818181818182</v>
      </c>
      <c r="Z35" s="26">
        <f>IFERROR(VLOOKUP($Q$28,MatchPivot!$A:$R,9,FALSE),"No Ave")</f>
        <v>0.81818181818181823</v>
      </c>
      <c r="AA35" s="26">
        <f>IFERROR(VLOOKUP($Q$28,MatchPivot!$A:$R,10,FALSE),"No Ave")</f>
        <v>0.36363636363636365</v>
      </c>
      <c r="AB35" s="138" t="s">
        <v>5876</v>
      </c>
      <c r="AC35" s="139" t="s">
        <v>5973</v>
      </c>
      <c r="AD35" s="140" t="s">
        <v>5875</v>
      </c>
    </row>
    <row r="36" spans="2:30" ht="15.75" thickBot="1">
      <c r="B36" s="47" t="s">
        <v>5865</v>
      </c>
      <c r="C36" s="30"/>
      <c r="D36" s="30"/>
      <c r="E36" s="30"/>
      <c r="F36" s="30"/>
      <c r="G36" s="30"/>
      <c r="H36" s="33">
        <f>IFERROR(VLOOKUP($B$28,MatchPivot!$A:$V,19,FALSE),"NO StDev")</f>
        <v>0.6504436355879909</v>
      </c>
      <c r="I36" s="33">
        <f>IFERROR(VLOOKUP($B$28,MatchPivot!$A:$V,20,FALSE),"NO StDev")</f>
        <v>0.80178372573727319</v>
      </c>
      <c r="J36" s="33">
        <f>IFERROR(VLOOKUP($B$28,MatchPivot!$A:$V,21,FALSE),"NO StDev")</f>
        <v>0.57893422352183943</v>
      </c>
      <c r="K36" s="33">
        <f>IFERROR(VLOOKUP($B$28,MatchPivot!$A:$V,22,FALSE),"NO StDev")</f>
        <v>1.869359648250035</v>
      </c>
      <c r="L36" s="30"/>
      <c r="M36" s="26">
        <f>IFERROR(VLOOKUP($B$28,SkillRanking!$A:$Q,12,FALSE),"")</f>
        <v>91.723949099689619</v>
      </c>
      <c r="N36" s="144">
        <f>IFERROR(VLOOKUP($B$28,SkillRanking!$A:$Q,13,FALSE),"")</f>
        <v>18</v>
      </c>
      <c r="O36" s="125">
        <f>IFERROR(VLOOKUP($B$28,SkillRanking!$A:$Q,11,FALSE),"")</f>
        <v>30.714285714285715</v>
      </c>
      <c r="Q36" s="49" t="s">
        <v>5865</v>
      </c>
      <c r="R36" s="30"/>
      <c r="S36" s="30"/>
      <c r="T36" s="30"/>
      <c r="U36" s="30"/>
      <c r="V36" s="30"/>
      <c r="W36" s="33">
        <f>IFERROR(VLOOKUP($Q$18,MatchPivot!$A:$V,19,FALSE),"NO StDev")</f>
        <v>1.3642254619787415</v>
      </c>
      <c r="X36" s="33">
        <f>IFERROR(VLOOKUP($Q$18,MatchPivot!$A:$V,20,FALSE),"NO StDev")</f>
        <v>0.33333333333333331</v>
      </c>
      <c r="Y36" s="33">
        <f>IFERROR(VLOOKUP($Q$18,MatchPivot!$A:$V,21,FALSE),"NO StDev")</f>
        <v>0</v>
      </c>
      <c r="Z36" s="33">
        <f>IFERROR(VLOOKUP($Q$18,MatchPivot!$A:$V,22,FALSE),"NO StDev")</f>
        <v>1.4813657362192649</v>
      </c>
      <c r="AA36" s="30"/>
      <c r="AB36" s="26">
        <f>IFERROR(VLOOKUP($Q$28,SkillRanking!$A:$Q,12,FALSE),"")</f>
        <v>29.648154699228321</v>
      </c>
      <c r="AC36" s="144">
        <f>IFERROR(VLOOKUP($Q$28,SkillRanking!$A:$Q,13,FALSE),"")</f>
        <v>40</v>
      </c>
      <c r="AD36" s="125">
        <f>IFERROR(VLOOKUP($Q$28,SkillRanking!$A:$Q,11,FALSE),"")</f>
        <v>21.545454545454547</v>
      </c>
    </row>
    <row r="37" spans="2:30" ht="15.75" thickBot="1"/>
    <row r="38" spans="2:30" ht="42.75" customHeight="1">
      <c r="B38" s="349" t="s">
        <v>6124</v>
      </c>
      <c r="C38" s="248"/>
      <c r="D38" s="250" t="s">
        <v>6115</v>
      </c>
      <c r="E38" s="254" t="s">
        <v>6116</v>
      </c>
      <c r="F38" s="258" t="s">
        <v>6117</v>
      </c>
      <c r="G38" s="259" t="s">
        <v>6118</v>
      </c>
      <c r="H38" s="256" t="s">
        <v>6119</v>
      </c>
      <c r="I38" s="254" t="s">
        <v>6120</v>
      </c>
      <c r="J38" s="263" t="s">
        <v>6121</v>
      </c>
      <c r="K38" s="251" t="s">
        <v>6122</v>
      </c>
      <c r="L38" s="261" t="s">
        <v>6123</v>
      </c>
      <c r="M38" s="34"/>
      <c r="Q38" s="351" t="s">
        <v>6124</v>
      </c>
      <c r="R38" s="248"/>
      <c r="S38" s="252" t="s">
        <v>6115</v>
      </c>
      <c r="T38" s="264" t="s">
        <v>6116</v>
      </c>
      <c r="U38" s="266" t="s">
        <v>6117</v>
      </c>
      <c r="V38" s="267" t="s">
        <v>6118</v>
      </c>
      <c r="W38" s="265" t="s">
        <v>6119</v>
      </c>
      <c r="X38" s="264" t="s">
        <v>6120</v>
      </c>
      <c r="Y38" s="269" t="s">
        <v>6121</v>
      </c>
      <c r="Z38" s="253" t="s">
        <v>6122</v>
      </c>
      <c r="AA38" s="268" t="s">
        <v>6123</v>
      </c>
    </row>
    <row r="39" spans="2:30" ht="51.75" customHeight="1" thickBot="1">
      <c r="B39" s="350"/>
      <c r="C39" s="249"/>
      <c r="D39" s="247">
        <f>IFERROR(VLOOKUP($A$1,matchDetails!A:CF,65,FALSE),"")</f>
        <v>0</v>
      </c>
      <c r="E39" s="255">
        <f>IFERROR(VLOOKUP($A$1,matchDetails!A:CF,66,FALSE),"")</f>
        <v>30</v>
      </c>
      <c r="F39" s="260">
        <f>IFERROR(VLOOKUP($A$1,matchDetails!A:CF,80,FALSE),"")</f>
        <v>0</v>
      </c>
      <c r="G39" s="41">
        <f>IFERROR(VLOOKUP($A$1,matchDetails!A:CF,81,FALSE),"")</f>
        <v>0</v>
      </c>
      <c r="H39" s="257">
        <f>IFERROR(VLOOKUP($A$1,matchDetails!A:CF,78,FALSE),"")</f>
        <v>2</v>
      </c>
      <c r="I39" s="255">
        <f>IFERROR(VLOOKUP($A$1,matchDetails!A:CF,79,FALSE),"")</f>
        <v>2</v>
      </c>
      <c r="J39" s="260">
        <f>IFERROR(VLOOKUP($A$1,matchDetails!A:CF,82,FALSE),"")</f>
        <v>3</v>
      </c>
      <c r="K39" s="41">
        <f>IFERROR(VLOOKUP($A$1,matchDetails!A:CF,83,FALSE),"")</f>
        <v>3</v>
      </c>
      <c r="L39" s="262">
        <f>IFERROR(VLOOKUP($A$1,matchDetails!A:CF,84,FALSE),"")</f>
        <v>25</v>
      </c>
      <c r="M39" s="34"/>
      <c r="Q39" s="352"/>
      <c r="R39" s="249"/>
      <c r="S39" s="247">
        <f>IFERROR(VLOOKUP($A$1,matchDetails!A:CF,29,FALSE),"")</f>
        <v>1</v>
      </c>
      <c r="T39" s="255">
        <f>IFERROR(VLOOKUP($A$1,matchDetails!A:CF,30,FALSE),"")</f>
        <v>0</v>
      </c>
      <c r="U39" s="260">
        <f>IFERROR(VLOOKUP($A$1,matchDetails!A:CF,44,FALSE),"")</f>
        <v>3</v>
      </c>
      <c r="V39" s="41">
        <f>IFERROR(VLOOKUP($A$1,matchDetails!A:CF,45,FALSE),"")</f>
        <v>3</v>
      </c>
      <c r="W39" s="257">
        <f>IFERROR(VLOOKUP($A$1,matchDetails!A:CF,42,FALSE),"")</f>
        <v>3</v>
      </c>
      <c r="X39" s="255">
        <f>IFERROR(VLOOKUP($A$1,matchDetails!A:CF,43,FALSE),"")</f>
        <v>3</v>
      </c>
      <c r="Y39" s="260">
        <f>IFERROR(VLOOKUP($A$1,matchDetails!A:CF,46,FALSE),"")</f>
        <v>3</v>
      </c>
      <c r="Z39" s="41">
        <f>IFERROR(VLOOKUP($A$1,matchDetails!A:CF,47,FALSE),"")</f>
        <v>3</v>
      </c>
      <c r="AA39" s="262">
        <f>IFERROR(VLOOKUP($A$1,matchDetails!A:CF,48,FALSE),"")</f>
        <v>45</v>
      </c>
    </row>
  </sheetData>
  <mergeCells count="47">
    <mergeCell ref="Q19:Q24"/>
    <mergeCell ref="B38:B39"/>
    <mergeCell ref="Q38:Q39"/>
    <mergeCell ref="D1:N1"/>
    <mergeCell ref="Q2:T3"/>
    <mergeCell ref="Q1:T1"/>
    <mergeCell ref="B29:B34"/>
    <mergeCell ref="E29:G29"/>
    <mergeCell ref="I29:N29"/>
    <mergeCell ref="B28:F28"/>
    <mergeCell ref="G28:J28"/>
    <mergeCell ref="L28:M28"/>
    <mergeCell ref="Q29:Q34"/>
    <mergeCell ref="T29:V29"/>
    <mergeCell ref="Q28:U28"/>
    <mergeCell ref="V28:Y28"/>
    <mergeCell ref="B19:B24"/>
    <mergeCell ref="E19:G19"/>
    <mergeCell ref="B18:F18"/>
    <mergeCell ref="G18:J18"/>
    <mergeCell ref="I19:N19"/>
    <mergeCell ref="L18:M18"/>
    <mergeCell ref="E9:G9"/>
    <mergeCell ref="I9:N9"/>
    <mergeCell ref="O2:O6"/>
    <mergeCell ref="B8:F8"/>
    <mergeCell ref="G8:J8"/>
    <mergeCell ref="L8:M8"/>
    <mergeCell ref="B9:B14"/>
    <mergeCell ref="V1:W1"/>
    <mergeCell ref="X1:Y1"/>
    <mergeCell ref="V2:W2"/>
    <mergeCell ref="X2:Y2"/>
    <mergeCell ref="V4:W4"/>
    <mergeCell ref="AA8:AB8"/>
    <mergeCell ref="Q8:U8"/>
    <mergeCell ref="V8:Y8"/>
    <mergeCell ref="Q18:U18"/>
    <mergeCell ref="V18:Y18"/>
    <mergeCell ref="AA18:AB18"/>
    <mergeCell ref="Q9:Q14"/>
    <mergeCell ref="AA28:AB28"/>
    <mergeCell ref="X29:AC29"/>
    <mergeCell ref="T9:V9"/>
    <mergeCell ref="X9:AC9"/>
    <mergeCell ref="T19:V19"/>
    <mergeCell ref="X19:AC19"/>
  </mergeCells>
  <conditionalFormatting sqref="E15:G15">
    <cfRule type="dataBar" priority="118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{F8A29432-53CA-43C2-AA7D-89584E699961}</x14:id>
        </ext>
      </extLst>
    </cfRule>
  </conditionalFormatting>
  <conditionalFormatting sqref="M15">
    <cfRule type="colorScale" priority="116">
      <colorScale>
        <cfvo type="num" val="0"/>
        <cfvo type="num" val="1"/>
        <color theme="7" tint="0.59999389629810485"/>
        <color rgb="FFEA6C34"/>
      </colorScale>
    </cfRule>
  </conditionalFormatting>
  <conditionalFormatting sqref="E3:L3">
    <cfRule type="dataBar" priority="106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{681FFBBA-B547-4E0D-871B-2C665E3566C1}</x14:id>
        </ext>
      </extLst>
    </cfRule>
  </conditionalFormatting>
  <conditionalFormatting sqref="M3">
    <cfRule type="dataBar" priority="10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{38497D53-2F02-47B0-B398-926526479C21}</x14:id>
        </ext>
      </extLst>
    </cfRule>
  </conditionalFormatting>
  <conditionalFormatting sqref="L15">
    <cfRule type="dataBar" priority="103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{A944817B-A1D3-4162-95FB-FB9D91578AA5}</x14:id>
        </ext>
      </extLst>
    </cfRule>
  </conditionalFormatting>
  <conditionalFormatting sqref="J15">
    <cfRule type="dataBar" priority="101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{DF374F27-4546-49A1-802A-2BF1270CDC93}</x14:id>
        </ext>
      </extLst>
    </cfRule>
  </conditionalFormatting>
  <conditionalFormatting sqref="K15">
    <cfRule type="dataBar" priority="99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{DC0D58E9-5874-40F0-9319-28D255CB3E0C}</x14:id>
        </ext>
      </extLst>
    </cfRule>
  </conditionalFormatting>
  <conditionalFormatting sqref="E25">
    <cfRule type="dataBar" priority="95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{0E652F0E-1921-4A16-8843-8AE0FF13766E}</x14:id>
        </ext>
      </extLst>
    </cfRule>
  </conditionalFormatting>
  <conditionalFormatting sqref="E35">
    <cfRule type="dataBar" priority="88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{888DDD36-8085-4DFA-A443-BAB1A3B2B9FF}</x14:id>
        </ext>
      </extLst>
    </cfRule>
  </conditionalFormatting>
  <conditionalFormatting sqref="H35:I35">
    <cfRule type="dataBar" priority="86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{7032DD81-CBFD-4951-9383-29999658A003}</x14:id>
        </ext>
      </extLst>
    </cfRule>
  </conditionalFormatting>
  <conditionalFormatting sqref="F35:G35">
    <cfRule type="dataBar" priority="85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{142D67EA-1924-4EC4-A4A8-43133CC7D93A}</x14:id>
        </ext>
      </extLst>
    </cfRule>
  </conditionalFormatting>
  <conditionalFormatting sqref="L35">
    <cfRule type="dataBar" priority="8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{0D5DDA43-37C5-44C2-ADD6-75E297AD74E9}</x14:id>
        </ext>
      </extLst>
    </cfRule>
  </conditionalFormatting>
  <conditionalFormatting sqref="J35">
    <cfRule type="dataBar" priority="83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{1BCC17EF-C35B-491C-B7B9-53E5862987B9}</x14:id>
        </ext>
      </extLst>
    </cfRule>
  </conditionalFormatting>
  <conditionalFormatting sqref="K35">
    <cfRule type="dataBar" priority="82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{B59CEDC4-2937-46BD-9998-C6B9AE0F186E}</x14:id>
        </ext>
      </extLst>
    </cfRule>
  </conditionalFormatting>
  <conditionalFormatting sqref="T15:V15 AA15">
    <cfRule type="dataBar" priority="81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{FD47DEA3-1690-48FA-B953-E85A31DD40AB}</x14:id>
        </ext>
      </extLst>
    </cfRule>
  </conditionalFormatting>
  <conditionalFormatting sqref="T35:V35 AA35">
    <cfRule type="dataBar" priority="67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{5F7F6C91-6B09-4A60-A317-3F6807AC2B4C}</x14:id>
        </ext>
      </extLst>
    </cfRule>
  </conditionalFormatting>
  <conditionalFormatting sqref="T25:V25 AA25">
    <cfRule type="dataBar" priority="7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{01A399CC-A492-4404-AF5C-B6D68C6B8B24}</x14:id>
        </ext>
      </extLst>
    </cfRule>
  </conditionalFormatting>
  <conditionalFormatting sqref="Y15">
    <cfRule type="dataBar" priority="46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{EFDC1856-AC21-42B9-911E-1E2EE7234BF0}</x14:id>
        </ext>
      </extLst>
    </cfRule>
  </conditionalFormatting>
  <conditionalFormatting sqref="I15">
    <cfRule type="dataBar" priority="58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{CDF19271-5684-4D07-8982-5D3B528445C2}</x14:id>
        </ext>
      </extLst>
    </cfRule>
  </conditionalFormatting>
  <conditionalFormatting sqref="W35:X35">
    <cfRule type="dataBar" priority="38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{BA4885BA-EDDA-47B6-87AF-F49B4F916E8D}</x14:id>
        </ext>
      </extLst>
    </cfRule>
  </conditionalFormatting>
  <conditionalFormatting sqref="H15">
    <cfRule type="dataBar" priority="56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{118DF559-D76A-413B-B290-378538402C44}</x14:id>
        </ext>
      </extLst>
    </cfRule>
  </conditionalFormatting>
  <conditionalFormatting sqref="F25">
    <cfRule type="dataBar" priority="5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{77EADC09-7DC1-42FD-BF35-B141C737DC59}</x14:id>
        </ext>
      </extLst>
    </cfRule>
  </conditionalFormatting>
  <conditionalFormatting sqref="G25">
    <cfRule type="dataBar" priority="53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{D0F7B64C-8D21-41DB-BB29-2EBB3E40803D}</x14:id>
        </ext>
      </extLst>
    </cfRule>
  </conditionalFormatting>
  <conditionalFormatting sqref="H25">
    <cfRule type="dataBar" priority="52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{D8A7AD4D-633D-4BCF-A3FB-E750B56F5297}</x14:id>
        </ext>
      </extLst>
    </cfRule>
  </conditionalFormatting>
  <conditionalFormatting sqref="I25">
    <cfRule type="dataBar" priority="51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{3D35B277-15D8-44B0-885A-7BA05F46C2AA}</x14:id>
        </ext>
      </extLst>
    </cfRule>
  </conditionalFormatting>
  <conditionalFormatting sqref="J25">
    <cfRule type="dataBar" priority="50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{21B40BCC-23DE-4B75-8B46-2F015D9AD634}</x14:id>
        </ext>
      </extLst>
    </cfRule>
  </conditionalFormatting>
  <conditionalFormatting sqref="K25">
    <cfRule type="dataBar" priority="49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{386D6EB7-A61B-4CD6-BC39-A6605FD07A9C}</x14:id>
        </ext>
      </extLst>
    </cfRule>
  </conditionalFormatting>
  <conditionalFormatting sqref="L25">
    <cfRule type="dataBar" priority="48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{CCD833B4-CF95-43E5-B785-1C643C23BBD9}</x14:id>
        </ext>
      </extLst>
    </cfRule>
  </conditionalFormatting>
  <conditionalFormatting sqref="W15:X15">
    <cfRule type="dataBar" priority="47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{820F384B-04E8-4A8C-9349-407785093EED}</x14:id>
        </ext>
      </extLst>
    </cfRule>
  </conditionalFormatting>
  <conditionalFormatting sqref="Z15">
    <cfRule type="dataBar" priority="41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{6CEBC85E-6861-4EDB-AE71-CE0464D6CE17}</x14:id>
        </ext>
      </extLst>
    </cfRule>
  </conditionalFormatting>
  <conditionalFormatting sqref="W25:X25">
    <cfRule type="dataBar" priority="44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{68026588-AD57-46B8-A8E5-D1362A69CCBB}</x14:id>
        </ext>
      </extLst>
    </cfRule>
  </conditionalFormatting>
  <conditionalFormatting sqref="Y25">
    <cfRule type="dataBar" priority="43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{9731FE92-35C2-4C1B-9967-BDF06381126F}</x14:id>
        </ext>
      </extLst>
    </cfRule>
  </conditionalFormatting>
  <conditionalFormatting sqref="Z25">
    <cfRule type="dataBar" priority="42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{A9A5B92E-6A3E-4A29-A708-1DC07E6B1A7B}</x14:id>
        </ext>
      </extLst>
    </cfRule>
  </conditionalFormatting>
  <conditionalFormatting sqref="Z35">
    <cfRule type="dataBar" priority="40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{E13A638D-6CB6-4625-98AB-3EE16DA5E42B}</x14:id>
        </ext>
      </extLst>
    </cfRule>
  </conditionalFormatting>
  <conditionalFormatting sqref="Y35">
    <cfRule type="dataBar" priority="39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{C28DAA97-C294-4C5F-918D-033221314C42}</x14:id>
        </ext>
      </extLst>
    </cfRule>
  </conditionalFormatting>
  <conditionalFormatting sqref="M25">
    <cfRule type="colorScale" priority="32">
      <colorScale>
        <cfvo type="num" val="0"/>
        <cfvo type="num" val="1"/>
        <color theme="7" tint="0.59999389629810485"/>
        <color rgb="FFEA6C34"/>
      </colorScale>
    </cfRule>
  </conditionalFormatting>
  <conditionalFormatting sqref="M35">
    <cfRule type="colorScale" priority="31">
      <colorScale>
        <cfvo type="num" val="0"/>
        <cfvo type="num" val="1"/>
        <color theme="7" tint="0.59999389629810485"/>
        <color rgb="FFEA6C34"/>
      </colorScale>
    </cfRule>
  </conditionalFormatting>
  <conditionalFormatting sqref="AB15">
    <cfRule type="colorScale" priority="30">
      <colorScale>
        <cfvo type="num" val="0"/>
        <cfvo type="num" val="1"/>
        <color theme="7" tint="0.59999389629810485"/>
        <color rgb="FFEA6C34"/>
      </colorScale>
    </cfRule>
  </conditionalFormatting>
  <conditionalFormatting sqref="AB25">
    <cfRule type="colorScale" priority="29">
      <colorScale>
        <cfvo type="num" val="0"/>
        <cfvo type="num" val="1"/>
        <color theme="7" tint="0.59999389629810485"/>
        <color rgb="FFEA6C34"/>
      </colorScale>
    </cfRule>
  </conditionalFormatting>
  <conditionalFormatting sqref="AB35">
    <cfRule type="colorScale" priority="28">
      <colorScale>
        <cfvo type="num" val="0"/>
        <cfvo type="num" val="1"/>
        <color theme="7" tint="0.59999389629810485"/>
        <color rgb="FFEA6C34"/>
      </colorScale>
    </cfRule>
  </conditionalFormatting>
  <conditionalFormatting sqref="M26">
    <cfRule type="dataBar" priority="26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{934AA298-E58B-4CAA-9CCE-27DE9CE24271}</x14:id>
        </ext>
      </extLst>
    </cfRule>
  </conditionalFormatting>
  <conditionalFormatting sqref="M36">
    <cfRule type="dataBar" priority="25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{63DD9248-6CA3-41BB-B853-A828ED3320FE}</x14:id>
        </ext>
      </extLst>
    </cfRule>
  </conditionalFormatting>
  <conditionalFormatting sqref="AB16">
    <cfRule type="dataBar" priority="24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{71B22025-9473-4A86-B657-05C67F0DA417}</x14:id>
        </ext>
      </extLst>
    </cfRule>
  </conditionalFormatting>
  <conditionalFormatting sqref="AB26">
    <cfRule type="dataBar" priority="23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{7DA2FBF3-86CA-4545-B7E5-C82E5CCDC5BE}</x14:id>
        </ext>
      </extLst>
    </cfRule>
  </conditionalFormatting>
  <conditionalFormatting sqref="AB36">
    <cfRule type="dataBar" priority="22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{B6911989-1F21-46F0-B7D7-784B709E5C96}</x14:id>
        </ext>
      </extLst>
    </cfRule>
  </conditionalFormatting>
  <conditionalFormatting sqref="N16">
    <cfRule type="dataBar" priority="18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{DEAA4966-B51B-4003-B62F-7FF023E654D5}</x14:id>
        </ext>
      </extLst>
    </cfRule>
  </conditionalFormatting>
  <conditionalFormatting sqref="N26">
    <cfRule type="dataBar" priority="13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{F989DEC7-678E-4450-A5E3-782D392B624B}</x14:id>
        </ext>
      </extLst>
    </cfRule>
  </conditionalFormatting>
  <conditionalFormatting sqref="N36">
    <cfRule type="dataBar" priority="12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{1D264505-8690-47DC-9F74-A55AEB0BBE8C}</x14:id>
        </ext>
      </extLst>
    </cfRule>
  </conditionalFormatting>
  <conditionalFormatting sqref="AC16">
    <cfRule type="dataBar" priority="11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{769690C9-53B3-499F-BBA9-156C74B7716B}</x14:id>
        </ext>
      </extLst>
    </cfRule>
  </conditionalFormatting>
  <conditionalFormatting sqref="AC26">
    <cfRule type="dataBar" priority="10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{2AEC28B5-DA55-4884-B4CC-9A9C4E7CB791}</x14:id>
        </ext>
      </extLst>
    </cfRule>
  </conditionalFormatting>
  <conditionalFormatting sqref="AC36">
    <cfRule type="dataBar" priority="9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{DA2B5720-B227-4AFF-8F80-C38E34BC4DB9}</x14:id>
        </ext>
      </extLst>
    </cfRule>
  </conditionalFormatting>
  <conditionalFormatting sqref="O16">
    <cfRule type="dataBar" priority="8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{DF1AD415-4497-4F26-882D-750EE96A8C43}</x14:id>
        </ext>
      </extLst>
    </cfRule>
  </conditionalFormatting>
  <conditionalFormatting sqref="O26">
    <cfRule type="dataBar" priority="7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{3EFD730E-6DB1-4767-B539-DA4DCE4AAC57}</x14:id>
        </ext>
      </extLst>
    </cfRule>
  </conditionalFormatting>
  <conditionalFormatting sqref="O36">
    <cfRule type="dataBar" priority="6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{7C2E5679-943E-4B94-A354-B32C61A37E16}</x14:id>
        </ext>
      </extLst>
    </cfRule>
  </conditionalFormatting>
  <conditionalFormatting sqref="AD16">
    <cfRule type="dataBar" priority="5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{E0281C57-7A0F-4DA2-815D-385F4044F7A6}</x14:id>
        </ext>
      </extLst>
    </cfRule>
  </conditionalFormatting>
  <conditionalFormatting sqref="AD26">
    <cfRule type="dataBar" priority="4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{AEB6BD12-7821-4583-82B3-38C242ABD30C}</x14:id>
        </ext>
      </extLst>
    </cfRule>
  </conditionalFormatting>
  <conditionalFormatting sqref="AD36">
    <cfRule type="dataBar" priority="3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{82785288-7572-4D90-9A34-C6CDF83C896D}</x14:id>
        </ext>
      </extLst>
    </cfRule>
  </conditionalFormatting>
  <conditionalFormatting sqref="M16">
    <cfRule type="dataBar" priority="1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{FAD47840-228E-48A5-A32F-83940C380ED7}</x14:id>
        </ext>
      </extLst>
    </cfRule>
  </conditionalFormatting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A29432-53CA-43C2-AA7D-89584E6999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E15:G15</xm:sqref>
        </x14:conditionalFormatting>
        <x14:conditionalFormatting xmlns:xm="http://schemas.microsoft.com/office/excel/2006/main">
          <x14:cfRule type="dataBar" id="{681FFBBA-B547-4E0D-871B-2C665E3566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E3:L3</xm:sqref>
        </x14:conditionalFormatting>
        <x14:conditionalFormatting xmlns:xm="http://schemas.microsoft.com/office/excel/2006/main">
          <x14:cfRule type="dataBar" id="{38497D53-2F02-47B0-B398-926526479C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M3</xm:sqref>
        </x14:conditionalFormatting>
        <x14:conditionalFormatting xmlns:xm="http://schemas.microsoft.com/office/excel/2006/main">
          <x14:cfRule type="dataBar" id="{A944817B-A1D3-4162-95FB-FB9D91578A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F374F27-4546-49A1-802A-2BF1270CDC93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DC0D58E9-5874-40F0-9319-28D255CB3E0C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0E652F0E-1921-4A16-8843-8AE0FF1376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888DDD36-8085-4DFA-A443-BAB1A3B2B9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7032DD81-CBFD-4951-9383-29999658A003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H35:I35</xm:sqref>
        </x14:conditionalFormatting>
        <x14:conditionalFormatting xmlns:xm="http://schemas.microsoft.com/office/excel/2006/main">
          <x14:cfRule type="dataBar" id="{142D67EA-1924-4EC4-A4A8-43133CC7D9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F35:G35</xm:sqref>
        </x14:conditionalFormatting>
        <x14:conditionalFormatting xmlns:xm="http://schemas.microsoft.com/office/excel/2006/main">
          <x14:cfRule type="dataBar" id="{0D5DDA43-37C5-44C2-ADD6-75E297AD74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L35</xm:sqref>
        </x14:conditionalFormatting>
        <x14:conditionalFormatting xmlns:xm="http://schemas.microsoft.com/office/excel/2006/main">
          <x14:cfRule type="dataBar" id="{1BCC17EF-C35B-491C-B7B9-53E5862987B9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J35</xm:sqref>
        </x14:conditionalFormatting>
        <x14:conditionalFormatting xmlns:xm="http://schemas.microsoft.com/office/excel/2006/main">
          <x14:cfRule type="dataBar" id="{B59CEDC4-2937-46BD-9998-C6B9AE0F186E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K35</xm:sqref>
        </x14:conditionalFormatting>
        <x14:conditionalFormatting xmlns:xm="http://schemas.microsoft.com/office/excel/2006/main">
          <x14:cfRule type="dataBar" id="{FD47DEA3-1690-48FA-B953-E85A31DD40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T15:V15 AA15</xm:sqref>
        </x14:conditionalFormatting>
        <x14:conditionalFormatting xmlns:xm="http://schemas.microsoft.com/office/excel/2006/main">
          <x14:cfRule type="dataBar" id="{5F7F6C91-6B09-4A60-A317-3F6807AC2B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T35:V35 AA35</xm:sqref>
        </x14:conditionalFormatting>
        <x14:conditionalFormatting xmlns:xm="http://schemas.microsoft.com/office/excel/2006/main">
          <x14:cfRule type="dataBar" id="{01A399CC-A492-4404-AF5C-B6D68C6B8B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T25:V25 AA25</xm:sqref>
        </x14:conditionalFormatting>
        <x14:conditionalFormatting xmlns:xm="http://schemas.microsoft.com/office/excel/2006/main">
          <x14:cfRule type="dataBar" id="{EFDC1856-AC21-42B9-911E-1E2EE7234BF0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CDF19271-5684-4D07-8982-5D3B528445C2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BA4885BA-EDDA-47B6-87AF-F49B4F916E8D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W35:X35</xm:sqref>
        </x14:conditionalFormatting>
        <x14:conditionalFormatting xmlns:xm="http://schemas.microsoft.com/office/excel/2006/main">
          <x14:cfRule type="dataBar" id="{118DF559-D76A-413B-B290-378538402C44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77EADC09-7DC1-42FD-BF35-B141C737DC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F25</xm:sqref>
        </x14:conditionalFormatting>
        <x14:conditionalFormatting xmlns:xm="http://schemas.microsoft.com/office/excel/2006/main">
          <x14:cfRule type="dataBar" id="{D0F7B64C-8D21-41DB-BB29-2EBB3E4080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</xm:sqref>
        </x14:conditionalFormatting>
        <x14:conditionalFormatting xmlns:xm="http://schemas.microsoft.com/office/excel/2006/main">
          <x14:cfRule type="dataBar" id="{D8A7AD4D-633D-4BCF-A3FB-E750B56F5297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3D35B277-15D8-44B0-885A-7BA05F46C2AA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21B40BCC-23DE-4B75-8B46-2F015D9AD634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J25</xm:sqref>
        </x14:conditionalFormatting>
        <x14:conditionalFormatting xmlns:xm="http://schemas.microsoft.com/office/excel/2006/main">
          <x14:cfRule type="dataBar" id="{386D6EB7-A61B-4CD6-BC39-A6605FD07A9C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K25</xm:sqref>
        </x14:conditionalFormatting>
        <x14:conditionalFormatting xmlns:xm="http://schemas.microsoft.com/office/excel/2006/main">
          <x14:cfRule type="dataBar" id="{CCD833B4-CF95-43E5-B785-1C643C23BB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L25</xm:sqref>
        </x14:conditionalFormatting>
        <x14:conditionalFormatting xmlns:xm="http://schemas.microsoft.com/office/excel/2006/main">
          <x14:cfRule type="dataBar" id="{820F384B-04E8-4A8C-9349-407785093EED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W15:X15</xm:sqref>
        </x14:conditionalFormatting>
        <x14:conditionalFormatting xmlns:xm="http://schemas.microsoft.com/office/excel/2006/main">
          <x14:cfRule type="dataBar" id="{6CEBC85E-6861-4EDB-AE71-CE0464D6CE17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68026588-AD57-46B8-A8E5-D1362A69CCBB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W25:X25</xm:sqref>
        </x14:conditionalFormatting>
        <x14:conditionalFormatting xmlns:xm="http://schemas.microsoft.com/office/excel/2006/main">
          <x14:cfRule type="dataBar" id="{9731FE92-35C2-4C1B-9967-BDF06381126F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Y25</xm:sqref>
        </x14:conditionalFormatting>
        <x14:conditionalFormatting xmlns:xm="http://schemas.microsoft.com/office/excel/2006/main">
          <x14:cfRule type="dataBar" id="{A9A5B92E-6A3E-4A29-A708-1DC07E6B1A7B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Z25</xm:sqref>
        </x14:conditionalFormatting>
        <x14:conditionalFormatting xmlns:xm="http://schemas.microsoft.com/office/excel/2006/main">
          <x14:cfRule type="dataBar" id="{E13A638D-6CB6-4625-98AB-3EE16DA5E42B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C28DAA97-C294-4C5F-918D-033221314C42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934AA298-E58B-4CAA-9CCE-27DE9CE24271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63DD9248-6CA3-41BB-B853-A828ED3320FE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M36</xm:sqref>
        </x14:conditionalFormatting>
        <x14:conditionalFormatting xmlns:xm="http://schemas.microsoft.com/office/excel/2006/main">
          <x14:cfRule type="dataBar" id="{71B22025-9473-4A86-B657-05C67F0DA417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AB16</xm:sqref>
        </x14:conditionalFormatting>
        <x14:conditionalFormatting xmlns:xm="http://schemas.microsoft.com/office/excel/2006/main">
          <x14:cfRule type="dataBar" id="{7DA2FBF3-86CA-4545-B7E5-C82E5CCDC5BE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AB26</xm:sqref>
        </x14:conditionalFormatting>
        <x14:conditionalFormatting xmlns:xm="http://schemas.microsoft.com/office/excel/2006/main">
          <x14:cfRule type="dataBar" id="{B6911989-1F21-46F0-B7D7-784B709E5C96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AB36</xm:sqref>
        </x14:conditionalFormatting>
        <x14:conditionalFormatting xmlns:xm="http://schemas.microsoft.com/office/excel/2006/main">
          <x14:cfRule type="dataBar" id="{DEAA4966-B51B-4003-B62F-7FF023E654D5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F989DEC7-678E-4450-A5E3-782D392B624B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1D264505-8690-47DC-9F74-A55AEB0BBE8C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N36</xm:sqref>
        </x14:conditionalFormatting>
        <x14:conditionalFormatting xmlns:xm="http://schemas.microsoft.com/office/excel/2006/main">
          <x14:cfRule type="dataBar" id="{769690C9-53B3-499F-BBA9-156C74B7716B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AC16</xm:sqref>
        </x14:conditionalFormatting>
        <x14:conditionalFormatting xmlns:xm="http://schemas.microsoft.com/office/excel/2006/main">
          <x14:cfRule type="dataBar" id="{2AEC28B5-DA55-4884-B4CC-9A9C4E7CB791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AC26</xm:sqref>
        </x14:conditionalFormatting>
        <x14:conditionalFormatting xmlns:xm="http://schemas.microsoft.com/office/excel/2006/main">
          <x14:cfRule type="dataBar" id="{DA2B5720-B227-4AFF-8F80-C38E34BC4DB9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AC36</xm:sqref>
        </x14:conditionalFormatting>
        <x14:conditionalFormatting xmlns:xm="http://schemas.microsoft.com/office/excel/2006/main">
          <x14:cfRule type="dataBar" id="{DF1AD415-4497-4F26-882D-750EE96A8C43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3EFD730E-6DB1-4767-B539-DA4DCE4AAC57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7C2E5679-943E-4B94-A354-B32C61A37E1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E0281C57-7A0F-4DA2-815D-385F4044F7A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AD16</xm:sqref>
        </x14:conditionalFormatting>
        <x14:conditionalFormatting xmlns:xm="http://schemas.microsoft.com/office/excel/2006/main">
          <x14:cfRule type="dataBar" id="{AEB6BD12-7821-4583-82B3-38C242ABD30C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AD26</xm:sqref>
        </x14:conditionalFormatting>
        <x14:conditionalFormatting xmlns:xm="http://schemas.microsoft.com/office/excel/2006/main">
          <x14:cfRule type="dataBar" id="{82785288-7572-4D90-9A34-C6CDF83C896D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FAD47840-228E-48A5-A32F-83940C380ED7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M16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P11"/>
  <sheetViews>
    <sheetView tabSelected="1" zoomScaleNormal="100" workbookViewId="0"/>
  </sheetViews>
  <sheetFormatPr defaultRowHeight="15"/>
  <cols>
    <col min="1" max="1" width="5.5703125" style="12" customWidth="1"/>
    <col min="2" max="2" width="10.85546875" style="12" customWidth="1"/>
    <col min="3" max="3" width="14.42578125" style="12" customWidth="1"/>
    <col min="4" max="4" width="11.7109375" style="12" customWidth="1"/>
    <col min="5" max="5" width="3.5703125" style="12" customWidth="1"/>
    <col min="6" max="6" width="30.7109375" style="12" customWidth="1"/>
    <col min="7" max="7" width="3.5703125" style="12" customWidth="1"/>
    <col min="8" max="8" width="13.7109375" style="12" customWidth="1"/>
    <col min="9" max="9" width="10.28515625" style="12" customWidth="1"/>
    <col min="10" max="10" width="18.7109375" style="12" customWidth="1"/>
    <col min="11" max="11" width="11.28515625" style="12" customWidth="1"/>
    <col min="12" max="12" width="2.42578125" style="12" customWidth="1"/>
    <col min="13" max="13" width="13.7109375" style="12" customWidth="1"/>
    <col min="14" max="14" width="9.140625" style="12"/>
    <col min="15" max="15" width="13" style="12" customWidth="1"/>
    <col min="16" max="16384" width="9.140625" style="12"/>
  </cols>
  <sheetData>
    <row r="1" spans="2:16" ht="9.75" customHeight="1" thickBot="1"/>
    <row r="2" spans="2:16" ht="19.5" thickBot="1">
      <c r="F2" s="81" t="s">
        <v>6221</v>
      </c>
      <c r="H2" s="364" t="s">
        <v>6017</v>
      </c>
      <c r="I2" s="365"/>
      <c r="J2" s="365"/>
      <c r="K2" s="366"/>
      <c r="M2" s="367" t="s">
        <v>6045</v>
      </c>
      <c r="N2" s="368"/>
      <c r="O2" s="368"/>
      <c r="P2" s="369"/>
    </row>
    <row r="3" spans="2:16" ht="33.75" customHeight="1">
      <c r="B3" s="361" t="s">
        <v>6019</v>
      </c>
      <c r="C3" s="272" t="s">
        <v>5872</v>
      </c>
      <c r="D3" s="120"/>
      <c r="E3" s="42"/>
      <c r="F3" s="279" t="s">
        <v>6222</v>
      </c>
      <c r="H3" s="130" t="s">
        <v>6016</v>
      </c>
      <c r="I3" s="35"/>
      <c r="J3" s="35" t="s">
        <v>6021</v>
      </c>
      <c r="K3" s="131"/>
      <c r="M3" s="127" t="s">
        <v>6027</v>
      </c>
      <c r="N3" s="143"/>
      <c r="O3" s="143" t="s">
        <v>6026</v>
      </c>
      <c r="P3" s="120"/>
    </row>
    <row r="4" spans="2:16" ht="33.75" customHeight="1">
      <c r="B4" s="362"/>
      <c r="C4" s="273" t="s">
        <v>6020</v>
      </c>
      <c r="D4" s="28"/>
      <c r="E4" s="42"/>
      <c r="F4" s="50" t="s">
        <v>6223</v>
      </c>
      <c r="H4" s="27" t="s">
        <v>5963</v>
      </c>
      <c r="I4" s="25"/>
      <c r="J4" s="25" t="s">
        <v>5876</v>
      </c>
      <c r="K4" s="28"/>
      <c r="M4" s="27" t="s">
        <v>6022</v>
      </c>
      <c r="N4" s="25"/>
      <c r="O4" s="25" t="s">
        <v>6028</v>
      </c>
      <c r="P4" s="28"/>
    </row>
    <row r="5" spans="2:16" ht="30.75" customHeight="1" thickBot="1">
      <c r="B5" s="363"/>
      <c r="C5" s="274" t="s">
        <v>5871</v>
      </c>
      <c r="D5" s="31"/>
      <c r="E5" s="42"/>
      <c r="F5" s="50" t="s">
        <v>6224</v>
      </c>
      <c r="H5" s="27" t="s">
        <v>6032</v>
      </c>
      <c r="I5" s="25"/>
      <c r="J5" s="25" t="s">
        <v>6092</v>
      </c>
      <c r="K5" s="28"/>
      <c r="M5" s="27" t="s">
        <v>6018</v>
      </c>
      <c r="N5" s="25"/>
      <c r="O5" s="25" t="s">
        <v>6029</v>
      </c>
      <c r="P5" s="28"/>
    </row>
    <row r="6" spans="2:16" ht="30" customHeight="1" thickBot="1">
      <c r="C6" s="275"/>
      <c r="F6" s="50" t="s">
        <v>6225</v>
      </c>
      <c r="H6" s="243" t="s">
        <v>6031</v>
      </c>
      <c r="I6" s="244"/>
      <c r="J6" s="191" t="s">
        <v>6033</v>
      </c>
      <c r="K6" s="192"/>
      <c r="M6" s="27" t="s">
        <v>6024</v>
      </c>
      <c r="N6" s="25"/>
      <c r="O6" s="25" t="s">
        <v>6030</v>
      </c>
      <c r="P6" s="28"/>
    </row>
    <row r="7" spans="2:16" ht="36" customHeight="1" thickBot="1">
      <c r="B7" s="373" t="s">
        <v>6126</v>
      </c>
      <c r="C7" s="276" t="s">
        <v>6217</v>
      </c>
      <c r="D7" s="120"/>
      <c r="E7" s="42"/>
      <c r="F7" s="50" t="s">
        <v>6226</v>
      </c>
      <c r="H7" s="370" t="s">
        <v>6107</v>
      </c>
      <c r="I7" s="371"/>
      <c r="J7" s="371"/>
      <c r="K7" s="372"/>
      <c r="M7" s="27" t="s">
        <v>6023</v>
      </c>
      <c r="N7" s="25"/>
      <c r="O7" s="25" t="s">
        <v>6031</v>
      </c>
      <c r="P7" s="28"/>
    </row>
    <row r="8" spans="2:16" ht="36.75" customHeight="1" thickBot="1">
      <c r="B8" s="374"/>
      <c r="C8" s="277" t="s">
        <v>6218</v>
      </c>
      <c r="D8" s="28"/>
      <c r="E8" s="42"/>
      <c r="F8" s="50" t="s">
        <v>6227</v>
      </c>
      <c r="H8" s="217" t="s">
        <v>6108</v>
      </c>
      <c r="I8" s="53"/>
      <c r="J8" s="53" t="s">
        <v>6110</v>
      </c>
      <c r="K8" s="245"/>
      <c r="M8" s="27" t="s">
        <v>6025</v>
      </c>
      <c r="N8" s="25"/>
      <c r="O8" s="25" t="s">
        <v>6032</v>
      </c>
      <c r="P8" s="28"/>
    </row>
    <row r="9" spans="2:16" ht="39" customHeight="1" thickBot="1">
      <c r="B9" s="375"/>
      <c r="C9" s="278" t="s">
        <v>6125</v>
      </c>
      <c r="D9" s="31"/>
      <c r="E9" s="42"/>
      <c r="F9" s="50" t="s">
        <v>6228</v>
      </c>
      <c r="M9" s="270" t="s">
        <v>6108</v>
      </c>
      <c r="N9" s="271"/>
      <c r="O9" s="271" t="s">
        <v>6109</v>
      </c>
      <c r="P9" s="31"/>
    </row>
    <row r="10" spans="2:16">
      <c r="F10" s="359" t="s">
        <v>6229</v>
      </c>
    </row>
    <row r="11" spans="2:16" ht="15.75" thickBot="1">
      <c r="F11" s="360"/>
    </row>
  </sheetData>
  <mergeCells count="6">
    <mergeCell ref="F10:F11"/>
    <mergeCell ref="B3:B5"/>
    <mergeCell ref="H2:K2"/>
    <mergeCell ref="M2:P2"/>
    <mergeCell ref="H7:K7"/>
    <mergeCell ref="B7:B9"/>
  </mergeCell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Q83"/>
  <sheetViews>
    <sheetView workbookViewId="0">
      <selection sqref="A1:Q83"/>
    </sheetView>
  </sheetViews>
  <sheetFormatPr defaultColWidth="8.85546875" defaultRowHeight="15"/>
  <cols>
    <col min="1" max="1" width="16.85546875" customWidth="1"/>
    <col min="2" max="4" width="29.42578125" customWidth="1"/>
    <col min="5" max="7" width="28.42578125" customWidth="1"/>
    <col min="8" max="8" width="21.140625" customWidth="1"/>
    <col min="9" max="9" width="20.140625" customWidth="1"/>
    <col min="10" max="10" width="18.42578125" customWidth="1"/>
    <col min="11" max="11" width="11" bestFit="1" customWidth="1"/>
    <col min="12" max="18" width="11.140625" customWidth="1"/>
  </cols>
  <sheetData>
    <row r="1" spans="1:17">
      <c r="A1" s="2" t="s">
        <v>5924</v>
      </c>
      <c r="B1" s="2" t="s">
        <v>5925</v>
      </c>
      <c r="C1" s="2" t="s">
        <v>5926</v>
      </c>
      <c r="D1" s="2" t="s">
        <v>5927</v>
      </c>
      <c r="E1" s="2" t="s">
        <v>5928</v>
      </c>
      <c r="F1" s="2" t="s">
        <v>5929</v>
      </c>
      <c r="G1" s="2" t="s">
        <v>5930</v>
      </c>
      <c r="H1" s="2" t="s">
        <v>5931</v>
      </c>
      <c r="I1" s="2" t="s">
        <v>5932</v>
      </c>
      <c r="J1" s="2" t="s">
        <v>5933</v>
      </c>
      <c r="K1" s="2" t="s">
        <v>5939</v>
      </c>
      <c r="L1" s="2" t="s">
        <v>5877</v>
      </c>
      <c r="M1" s="2" t="s">
        <v>5934</v>
      </c>
      <c r="N1" s="2" t="s">
        <v>5935</v>
      </c>
      <c r="O1" s="2" t="s">
        <v>5936</v>
      </c>
      <c r="P1" s="2" t="s">
        <v>5937</v>
      </c>
      <c r="Q1" s="2" t="s">
        <v>5938</v>
      </c>
    </row>
    <row r="2" spans="1:17">
      <c r="A2" s="2">
        <v>1</v>
      </c>
      <c r="B2" s="2">
        <v>6346</v>
      </c>
      <c r="C2" s="2">
        <v>5142</v>
      </c>
      <c r="D2" s="2">
        <v>177</v>
      </c>
      <c r="E2" s="2">
        <v>3464</v>
      </c>
      <c r="F2" s="2">
        <v>5129</v>
      </c>
      <c r="G2" s="2">
        <v>2067</v>
      </c>
      <c r="H2" s="2">
        <v>215</v>
      </c>
      <c r="I2" s="2">
        <v>365</v>
      </c>
      <c r="J2" s="2" t="s">
        <v>6091</v>
      </c>
      <c r="K2" s="2">
        <v>1523113200</v>
      </c>
      <c r="L2" s="2"/>
      <c r="M2" s="2"/>
      <c r="N2" s="2"/>
      <c r="O2" s="2"/>
      <c r="P2" s="2"/>
      <c r="Q2" s="2"/>
    </row>
    <row r="3" spans="1:17">
      <c r="A3" s="2">
        <v>2</v>
      </c>
      <c r="B3" s="2">
        <v>558</v>
      </c>
      <c r="C3" s="2">
        <v>999</v>
      </c>
      <c r="D3" s="2">
        <v>2064</v>
      </c>
      <c r="E3" s="2">
        <v>1740</v>
      </c>
      <c r="F3" s="2">
        <v>1085</v>
      </c>
      <c r="G3" s="2">
        <v>236</v>
      </c>
      <c r="H3" s="2">
        <v>285</v>
      </c>
      <c r="I3" s="2">
        <v>246</v>
      </c>
      <c r="J3" s="2" t="s">
        <v>6090</v>
      </c>
      <c r="K3" s="2">
        <v>1523113620</v>
      </c>
      <c r="L3" s="2"/>
      <c r="M3" s="2"/>
      <c r="N3" s="2"/>
      <c r="O3" s="2"/>
      <c r="P3" s="2"/>
      <c r="Q3" s="2"/>
    </row>
    <row r="4" spans="1:17">
      <c r="A4" s="2">
        <v>3</v>
      </c>
      <c r="B4" s="2">
        <v>6812</v>
      </c>
      <c r="C4" s="2">
        <v>181</v>
      </c>
      <c r="D4" s="2">
        <v>6895</v>
      </c>
      <c r="E4" s="2">
        <v>190</v>
      </c>
      <c r="F4" s="2">
        <v>6811</v>
      </c>
      <c r="G4" s="2">
        <v>7153</v>
      </c>
      <c r="H4" s="2">
        <v>295</v>
      </c>
      <c r="I4" s="2">
        <v>230</v>
      </c>
      <c r="J4" s="2" t="s">
        <v>6090</v>
      </c>
      <c r="K4" s="2">
        <v>1523114040</v>
      </c>
      <c r="L4" s="2"/>
      <c r="M4" s="2"/>
      <c r="N4" s="2"/>
      <c r="O4" s="2"/>
      <c r="P4" s="2"/>
      <c r="Q4" s="2"/>
    </row>
    <row r="5" spans="1:17">
      <c r="A5" s="2">
        <v>4</v>
      </c>
      <c r="B5" s="2">
        <v>3182</v>
      </c>
      <c r="C5" s="2">
        <v>3146</v>
      </c>
      <c r="D5" s="2">
        <v>3634</v>
      </c>
      <c r="E5" s="2">
        <v>155</v>
      </c>
      <c r="F5" s="2">
        <v>176</v>
      </c>
      <c r="G5" s="2">
        <v>173</v>
      </c>
      <c r="H5" s="2">
        <v>159</v>
      </c>
      <c r="I5" s="2">
        <v>463</v>
      </c>
      <c r="J5" s="2" t="s">
        <v>6091</v>
      </c>
      <c r="K5" s="2">
        <v>1523114460</v>
      </c>
      <c r="L5" s="2"/>
      <c r="M5" s="2"/>
      <c r="N5" s="2"/>
      <c r="O5" s="2"/>
      <c r="P5" s="2"/>
      <c r="Q5" s="2"/>
    </row>
    <row r="6" spans="1:17">
      <c r="A6" s="2">
        <v>5</v>
      </c>
      <c r="B6" s="2">
        <v>839</v>
      </c>
      <c r="C6" s="2">
        <v>4987</v>
      </c>
      <c r="D6" s="2">
        <v>230</v>
      </c>
      <c r="E6" s="2">
        <v>1991</v>
      </c>
      <c r="F6" s="2">
        <v>5746</v>
      </c>
      <c r="G6" s="2">
        <v>1973</v>
      </c>
      <c r="H6" s="2">
        <v>430</v>
      </c>
      <c r="I6" s="2">
        <v>143</v>
      </c>
      <c r="J6" s="2" t="s">
        <v>6090</v>
      </c>
      <c r="K6" s="2">
        <v>1523114880</v>
      </c>
      <c r="L6" s="2"/>
      <c r="M6" s="2"/>
      <c r="N6" s="2"/>
      <c r="O6" s="2"/>
      <c r="P6" s="2"/>
      <c r="Q6" s="2"/>
    </row>
    <row r="7" spans="1:17">
      <c r="A7" s="2">
        <v>6</v>
      </c>
      <c r="B7" s="2">
        <v>1027</v>
      </c>
      <c r="C7" s="2">
        <v>195</v>
      </c>
      <c r="D7" s="2">
        <v>175</v>
      </c>
      <c r="E7" s="2">
        <v>3654</v>
      </c>
      <c r="F7" s="2">
        <v>2836</v>
      </c>
      <c r="G7" s="2">
        <v>5686</v>
      </c>
      <c r="H7" s="2">
        <v>354</v>
      </c>
      <c r="I7" s="2">
        <v>215</v>
      </c>
      <c r="J7" s="2" t="s">
        <v>6090</v>
      </c>
      <c r="K7" s="2">
        <v>1523115300</v>
      </c>
      <c r="L7" s="2"/>
      <c r="M7" s="2"/>
      <c r="N7" s="2"/>
      <c r="O7" s="2"/>
      <c r="P7" s="2"/>
      <c r="Q7" s="2"/>
    </row>
    <row r="8" spans="1:17">
      <c r="A8" s="2">
        <v>7</v>
      </c>
      <c r="B8" s="2">
        <v>1740</v>
      </c>
      <c r="C8" s="2">
        <v>571</v>
      </c>
      <c r="D8" s="2">
        <v>6333</v>
      </c>
      <c r="E8" s="2">
        <v>2785</v>
      </c>
      <c r="F8" s="2">
        <v>2170</v>
      </c>
      <c r="G8" s="2">
        <v>7127</v>
      </c>
      <c r="H8" s="2">
        <v>274</v>
      </c>
      <c r="I8" s="2">
        <v>309</v>
      </c>
      <c r="J8" s="2" t="s">
        <v>6091</v>
      </c>
      <c r="K8" s="2">
        <v>1523115720</v>
      </c>
      <c r="L8" s="2"/>
      <c r="M8" s="2"/>
      <c r="N8" s="2"/>
      <c r="O8" s="2"/>
      <c r="P8" s="2"/>
      <c r="Q8" s="2"/>
    </row>
    <row r="9" spans="1:17">
      <c r="A9" s="2">
        <v>8</v>
      </c>
      <c r="B9" s="2">
        <v>3182</v>
      </c>
      <c r="C9" s="2">
        <v>3464</v>
      </c>
      <c r="D9" s="2">
        <v>230</v>
      </c>
      <c r="E9" s="2">
        <v>999</v>
      </c>
      <c r="F9" s="2">
        <v>5129</v>
      </c>
      <c r="G9" s="2">
        <v>181</v>
      </c>
      <c r="H9" s="2">
        <v>290</v>
      </c>
      <c r="I9" s="2">
        <v>279</v>
      </c>
      <c r="J9" s="2" t="s">
        <v>6090</v>
      </c>
      <c r="K9" s="2">
        <v>1523116140</v>
      </c>
      <c r="L9" s="2"/>
      <c r="M9" s="2"/>
      <c r="N9" s="2"/>
      <c r="O9" s="2"/>
      <c r="P9" s="2"/>
      <c r="Q9" s="2"/>
    </row>
    <row r="10" spans="1:17">
      <c r="A10" s="2">
        <v>9</v>
      </c>
      <c r="B10" s="2">
        <v>2067</v>
      </c>
      <c r="C10" s="2">
        <v>3146</v>
      </c>
      <c r="D10" s="2">
        <v>1027</v>
      </c>
      <c r="E10" s="2">
        <v>5746</v>
      </c>
      <c r="F10" s="2">
        <v>2064</v>
      </c>
      <c r="G10" s="2">
        <v>6811</v>
      </c>
      <c r="H10" s="2">
        <v>388</v>
      </c>
      <c r="I10" s="2">
        <v>173</v>
      </c>
      <c r="J10" s="2" t="s">
        <v>6090</v>
      </c>
      <c r="K10" s="2">
        <v>1523116560</v>
      </c>
      <c r="L10" s="2"/>
      <c r="M10" s="2"/>
      <c r="N10" s="2"/>
      <c r="O10" s="2"/>
      <c r="P10" s="2"/>
      <c r="Q10" s="2"/>
    </row>
    <row r="11" spans="1:17">
      <c r="A11" s="2">
        <v>10</v>
      </c>
      <c r="B11" s="2">
        <v>195</v>
      </c>
      <c r="C11" s="2">
        <v>236</v>
      </c>
      <c r="D11" s="2">
        <v>176</v>
      </c>
      <c r="E11" s="2">
        <v>4987</v>
      </c>
      <c r="F11" s="2">
        <v>7153</v>
      </c>
      <c r="G11" s="2">
        <v>6333</v>
      </c>
      <c r="H11" s="2">
        <v>454</v>
      </c>
      <c r="I11" s="2">
        <v>30</v>
      </c>
      <c r="J11" s="2" t="s">
        <v>6090</v>
      </c>
      <c r="K11" s="2">
        <v>1523116980</v>
      </c>
      <c r="L11" s="2"/>
      <c r="M11" s="2"/>
      <c r="N11" s="2"/>
      <c r="O11" s="2"/>
      <c r="P11" s="2"/>
      <c r="Q11" s="2"/>
    </row>
    <row r="12" spans="1:17">
      <c r="A12" s="2">
        <v>11</v>
      </c>
      <c r="B12" s="2">
        <v>155</v>
      </c>
      <c r="C12" s="2">
        <v>1085</v>
      </c>
      <c r="D12" s="2">
        <v>190</v>
      </c>
      <c r="E12" s="2">
        <v>5142</v>
      </c>
      <c r="F12" s="2">
        <v>839</v>
      </c>
      <c r="G12" s="2">
        <v>2785</v>
      </c>
      <c r="H12" s="2">
        <v>394</v>
      </c>
      <c r="I12" s="2">
        <v>260</v>
      </c>
      <c r="J12" s="2" t="s">
        <v>6090</v>
      </c>
      <c r="K12" s="2">
        <v>1523117400</v>
      </c>
      <c r="L12" s="2"/>
      <c r="M12" s="2"/>
      <c r="N12" s="2"/>
      <c r="O12" s="2"/>
      <c r="P12" s="2"/>
      <c r="Q12" s="2"/>
    </row>
    <row r="13" spans="1:17">
      <c r="A13" s="2">
        <v>12</v>
      </c>
      <c r="B13" s="2">
        <v>571</v>
      </c>
      <c r="C13" s="2">
        <v>6895</v>
      </c>
      <c r="D13" s="2">
        <v>3634</v>
      </c>
      <c r="E13" s="2">
        <v>175</v>
      </c>
      <c r="F13" s="2">
        <v>1991</v>
      </c>
      <c r="G13" s="2">
        <v>5686</v>
      </c>
      <c r="H13" s="2">
        <v>50</v>
      </c>
      <c r="I13" s="2">
        <v>430</v>
      </c>
      <c r="J13" s="2" t="s">
        <v>6091</v>
      </c>
      <c r="K13" s="2">
        <v>1523117820</v>
      </c>
      <c r="L13" s="2"/>
      <c r="M13" s="2"/>
      <c r="N13" s="2"/>
      <c r="O13" s="2"/>
      <c r="P13" s="2"/>
      <c r="Q13" s="2"/>
    </row>
    <row r="14" spans="1:17">
      <c r="A14" s="2">
        <v>13</v>
      </c>
      <c r="B14" s="2">
        <v>7127</v>
      </c>
      <c r="C14" s="2">
        <v>173</v>
      </c>
      <c r="D14" s="2">
        <v>3654</v>
      </c>
      <c r="E14" s="2">
        <v>6346</v>
      </c>
      <c r="F14" s="2">
        <v>6812</v>
      </c>
      <c r="G14" s="2">
        <v>1973</v>
      </c>
      <c r="H14" s="2">
        <v>395</v>
      </c>
      <c r="I14" s="2">
        <v>213</v>
      </c>
      <c r="J14" s="2" t="s">
        <v>6090</v>
      </c>
      <c r="K14" s="2">
        <v>1523118240</v>
      </c>
      <c r="L14" s="2"/>
      <c r="M14" s="2"/>
      <c r="N14" s="2"/>
      <c r="O14" s="2"/>
      <c r="P14" s="2"/>
      <c r="Q14" s="2"/>
    </row>
    <row r="15" spans="1:17">
      <c r="A15" s="2">
        <v>14</v>
      </c>
      <c r="B15" s="2">
        <v>2170</v>
      </c>
      <c r="C15" s="2">
        <v>230</v>
      </c>
      <c r="D15" s="2">
        <v>177</v>
      </c>
      <c r="E15" s="2">
        <v>558</v>
      </c>
      <c r="F15" s="2">
        <v>2836</v>
      </c>
      <c r="G15" s="2">
        <v>6811</v>
      </c>
      <c r="H15" s="2">
        <v>484</v>
      </c>
      <c r="I15" s="2">
        <v>171</v>
      </c>
      <c r="J15" s="2" t="s">
        <v>6090</v>
      </c>
      <c r="K15" s="2">
        <v>1523118660</v>
      </c>
      <c r="L15" s="2"/>
      <c r="M15" s="2"/>
      <c r="N15" s="2"/>
      <c r="O15" s="2"/>
      <c r="P15" s="2"/>
      <c r="Q15" s="2"/>
    </row>
    <row r="16" spans="1:17">
      <c r="A16" s="2">
        <v>15</v>
      </c>
      <c r="B16" s="2">
        <v>2067</v>
      </c>
      <c r="C16" s="2">
        <v>236</v>
      </c>
      <c r="D16" s="2">
        <v>5746</v>
      </c>
      <c r="E16" s="2">
        <v>5686</v>
      </c>
      <c r="F16" s="2">
        <v>3634</v>
      </c>
      <c r="G16" s="2">
        <v>176</v>
      </c>
      <c r="H16" s="2">
        <v>232</v>
      </c>
      <c r="I16" s="2">
        <v>419</v>
      </c>
      <c r="J16" s="2" t="s">
        <v>6091</v>
      </c>
      <c r="K16" s="2">
        <v>1523119080</v>
      </c>
      <c r="L16" s="2"/>
      <c r="M16" s="2"/>
      <c r="N16" s="2"/>
      <c r="O16" s="2"/>
      <c r="P16" s="2"/>
      <c r="Q16" s="2"/>
    </row>
    <row r="17" spans="1:17">
      <c r="A17" s="2">
        <v>16</v>
      </c>
      <c r="B17" s="2">
        <v>571</v>
      </c>
      <c r="C17" s="2">
        <v>7153</v>
      </c>
      <c r="D17" s="2">
        <v>999</v>
      </c>
      <c r="E17" s="2">
        <v>3654</v>
      </c>
      <c r="F17" s="2">
        <v>5142</v>
      </c>
      <c r="G17" s="2">
        <v>2064</v>
      </c>
      <c r="H17" s="2">
        <v>344</v>
      </c>
      <c r="I17" s="2">
        <v>155</v>
      </c>
      <c r="J17" s="2" t="s">
        <v>6090</v>
      </c>
      <c r="K17" s="2">
        <v>1523119500</v>
      </c>
      <c r="L17" s="2"/>
      <c r="M17" s="2"/>
      <c r="N17" s="2"/>
      <c r="O17" s="2"/>
      <c r="P17" s="2"/>
      <c r="Q17" s="2"/>
    </row>
    <row r="18" spans="1:17">
      <c r="A18" s="2">
        <v>17</v>
      </c>
      <c r="B18" s="2">
        <v>177</v>
      </c>
      <c r="C18" s="2">
        <v>558</v>
      </c>
      <c r="D18" s="2">
        <v>839</v>
      </c>
      <c r="E18" s="2">
        <v>155</v>
      </c>
      <c r="F18" s="2">
        <v>3182</v>
      </c>
      <c r="G18" s="2">
        <v>4987</v>
      </c>
      <c r="H18" s="2">
        <v>513</v>
      </c>
      <c r="I18" s="2">
        <v>284</v>
      </c>
      <c r="J18" s="2" t="s">
        <v>6090</v>
      </c>
      <c r="K18" s="2">
        <v>1523119920</v>
      </c>
      <c r="L18" s="2"/>
      <c r="M18" s="2"/>
      <c r="N18" s="2"/>
      <c r="O18" s="2"/>
      <c r="P18" s="2"/>
      <c r="Q18" s="2"/>
    </row>
    <row r="19" spans="1:17">
      <c r="A19" s="2">
        <v>18</v>
      </c>
      <c r="B19" s="2">
        <v>3146</v>
      </c>
      <c r="C19" s="2">
        <v>3464</v>
      </c>
      <c r="D19" s="2">
        <v>6895</v>
      </c>
      <c r="E19" s="2">
        <v>2785</v>
      </c>
      <c r="F19" s="2">
        <v>195</v>
      </c>
      <c r="G19" s="2">
        <v>1085</v>
      </c>
      <c r="H19" s="2">
        <v>282</v>
      </c>
      <c r="I19" s="2">
        <v>421</v>
      </c>
      <c r="J19" s="2" t="s">
        <v>6091</v>
      </c>
      <c r="K19" s="2">
        <v>1523124000</v>
      </c>
      <c r="L19" s="2"/>
      <c r="M19" s="2"/>
      <c r="N19" s="2"/>
      <c r="O19" s="2"/>
      <c r="P19" s="2"/>
      <c r="Q19" s="2"/>
    </row>
    <row r="20" spans="1:17">
      <c r="A20" s="2">
        <v>19</v>
      </c>
      <c r="B20" s="2">
        <v>181</v>
      </c>
      <c r="C20" s="2">
        <v>1991</v>
      </c>
      <c r="D20" s="2">
        <v>6333</v>
      </c>
      <c r="E20" s="2">
        <v>173</v>
      </c>
      <c r="F20" s="2">
        <v>1740</v>
      </c>
      <c r="G20" s="2">
        <v>2836</v>
      </c>
      <c r="H20" s="2">
        <v>279</v>
      </c>
      <c r="I20" s="2">
        <v>357</v>
      </c>
      <c r="J20" s="2" t="s">
        <v>6091</v>
      </c>
      <c r="K20" s="2">
        <v>1523124420</v>
      </c>
      <c r="L20" s="2"/>
      <c r="M20" s="2"/>
      <c r="N20" s="2"/>
      <c r="O20" s="2"/>
      <c r="P20" s="2"/>
      <c r="Q20" s="2"/>
    </row>
    <row r="21" spans="1:17">
      <c r="A21" s="2">
        <v>20</v>
      </c>
      <c r="B21" s="2">
        <v>190</v>
      </c>
      <c r="C21" s="2">
        <v>1027</v>
      </c>
      <c r="D21" s="2">
        <v>2170</v>
      </c>
      <c r="E21" s="2">
        <v>5129</v>
      </c>
      <c r="F21" s="2">
        <v>6346</v>
      </c>
      <c r="G21" s="2">
        <v>7127</v>
      </c>
      <c r="H21" s="2">
        <v>367</v>
      </c>
      <c r="I21" s="2">
        <v>228</v>
      </c>
      <c r="J21" s="2" t="s">
        <v>6090</v>
      </c>
      <c r="K21" s="2">
        <v>1523124840</v>
      </c>
      <c r="L21" s="2"/>
      <c r="M21" s="2"/>
      <c r="N21" s="2"/>
      <c r="O21" s="2"/>
      <c r="P21" s="2"/>
      <c r="Q21" s="2"/>
    </row>
    <row r="22" spans="1:17">
      <c r="A22" s="2">
        <v>21</v>
      </c>
      <c r="B22" s="2">
        <v>1973</v>
      </c>
      <c r="C22" s="2">
        <v>6811</v>
      </c>
      <c r="D22" s="2">
        <v>2785</v>
      </c>
      <c r="E22" s="2">
        <v>6812</v>
      </c>
      <c r="F22" s="2">
        <v>175</v>
      </c>
      <c r="G22" s="2">
        <v>2064</v>
      </c>
      <c r="H22" s="2">
        <v>188</v>
      </c>
      <c r="I22" s="2">
        <v>416</v>
      </c>
      <c r="J22" s="2" t="s">
        <v>6091</v>
      </c>
      <c r="K22" s="2">
        <v>1523125260</v>
      </c>
      <c r="L22" s="2"/>
      <c r="M22" s="2"/>
      <c r="N22" s="2"/>
      <c r="O22" s="2"/>
      <c r="P22" s="2"/>
      <c r="Q22" s="2"/>
    </row>
    <row r="23" spans="1:17">
      <c r="A23" s="2">
        <v>22</v>
      </c>
      <c r="B23" s="2">
        <v>2836</v>
      </c>
      <c r="C23" s="2">
        <v>839</v>
      </c>
      <c r="D23" s="2">
        <v>1085</v>
      </c>
      <c r="E23" s="2">
        <v>230</v>
      </c>
      <c r="F23" s="2">
        <v>3634</v>
      </c>
      <c r="G23" s="2">
        <v>181</v>
      </c>
      <c r="H23" s="2">
        <v>217</v>
      </c>
      <c r="I23" s="2">
        <v>339</v>
      </c>
      <c r="J23" s="2" t="s">
        <v>6091</v>
      </c>
      <c r="K23" s="2">
        <v>1523125680</v>
      </c>
      <c r="L23" s="2"/>
      <c r="M23" s="2"/>
      <c r="N23" s="2"/>
      <c r="O23" s="2"/>
      <c r="P23" s="2"/>
      <c r="Q23" s="2"/>
    </row>
    <row r="24" spans="1:17">
      <c r="A24" s="2">
        <v>23</v>
      </c>
      <c r="B24" s="2">
        <v>5142</v>
      </c>
      <c r="C24" s="2">
        <v>571</v>
      </c>
      <c r="D24" s="2">
        <v>195</v>
      </c>
      <c r="E24" s="2">
        <v>1027</v>
      </c>
      <c r="F24" s="2">
        <v>3182</v>
      </c>
      <c r="G24" s="2">
        <v>7127</v>
      </c>
      <c r="H24" s="2">
        <v>431</v>
      </c>
      <c r="I24" s="2">
        <v>56</v>
      </c>
      <c r="J24" s="2" t="s">
        <v>6090</v>
      </c>
      <c r="K24" s="2">
        <v>1523126100</v>
      </c>
      <c r="L24" s="2"/>
      <c r="M24" s="2"/>
      <c r="N24" s="2"/>
      <c r="O24" s="2"/>
      <c r="P24" s="2"/>
      <c r="Q24" s="2"/>
    </row>
    <row r="25" spans="1:17">
      <c r="A25" s="2">
        <v>24</v>
      </c>
      <c r="B25" s="2">
        <v>236</v>
      </c>
      <c r="C25" s="2">
        <v>4987</v>
      </c>
      <c r="D25" s="2">
        <v>175</v>
      </c>
      <c r="E25" s="2">
        <v>190</v>
      </c>
      <c r="F25" s="2">
        <v>5129</v>
      </c>
      <c r="G25" s="2">
        <v>6812</v>
      </c>
      <c r="H25" s="2">
        <v>362</v>
      </c>
      <c r="I25" s="2">
        <v>185</v>
      </c>
      <c r="J25" s="2" t="s">
        <v>6090</v>
      </c>
      <c r="K25" s="2">
        <v>1523126520</v>
      </c>
      <c r="L25" s="2"/>
      <c r="M25" s="2"/>
      <c r="N25" s="2"/>
      <c r="O25" s="2"/>
      <c r="P25" s="2"/>
      <c r="Q25" s="2"/>
    </row>
    <row r="26" spans="1:17">
      <c r="A26" s="2">
        <v>25</v>
      </c>
      <c r="B26" s="2">
        <v>1740</v>
      </c>
      <c r="C26" s="2">
        <v>176</v>
      </c>
      <c r="D26" s="2">
        <v>6346</v>
      </c>
      <c r="E26" s="2">
        <v>5746</v>
      </c>
      <c r="F26" s="2">
        <v>155</v>
      </c>
      <c r="G26" s="2">
        <v>3146</v>
      </c>
      <c r="H26" s="2">
        <v>433</v>
      </c>
      <c r="I26" s="2">
        <v>234</v>
      </c>
      <c r="J26" s="2" t="s">
        <v>6090</v>
      </c>
      <c r="K26" s="2">
        <v>1523126940</v>
      </c>
      <c r="L26" s="2"/>
      <c r="M26" s="2"/>
      <c r="N26" s="2"/>
      <c r="O26" s="2"/>
      <c r="P26" s="2"/>
      <c r="Q26" s="2"/>
    </row>
    <row r="27" spans="1:17">
      <c r="A27" s="2">
        <v>26</v>
      </c>
      <c r="B27" s="2">
        <v>3654</v>
      </c>
      <c r="C27" s="2">
        <v>7153</v>
      </c>
      <c r="D27" s="2">
        <v>3464</v>
      </c>
      <c r="E27" s="2">
        <v>1991</v>
      </c>
      <c r="F27" s="2">
        <v>173</v>
      </c>
      <c r="G27" s="2">
        <v>558</v>
      </c>
      <c r="H27" s="2">
        <v>306</v>
      </c>
      <c r="I27" s="2">
        <v>382</v>
      </c>
      <c r="J27" s="2" t="s">
        <v>6091</v>
      </c>
      <c r="K27" s="2">
        <v>1523127360</v>
      </c>
      <c r="L27" s="2"/>
      <c r="M27" s="2"/>
      <c r="N27" s="2"/>
      <c r="O27" s="2"/>
      <c r="P27" s="2"/>
      <c r="Q27" s="2"/>
    </row>
    <row r="28" spans="1:17">
      <c r="A28" s="2">
        <v>27</v>
      </c>
      <c r="B28" s="2">
        <v>5686</v>
      </c>
      <c r="C28" s="2">
        <v>2067</v>
      </c>
      <c r="D28" s="2">
        <v>177</v>
      </c>
      <c r="E28" s="2">
        <v>999</v>
      </c>
      <c r="F28" s="2">
        <v>6333</v>
      </c>
      <c r="G28" s="2">
        <v>2170</v>
      </c>
      <c r="H28" s="2">
        <v>429</v>
      </c>
      <c r="I28" s="2">
        <v>238</v>
      </c>
      <c r="J28" s="2" t="s">
        <v>6090</v>
      </c>
      <c r="K28" s="2">
        <v>1523127780</v>
      </c>
      <c r="L28" s="2"/>
      <c r="M28" s="2"/>
      <c r="N28" s="2"/>
      <c r="O28" s="2"/>
      <c r="P28" s="2"/>
      <c r="Q28" s="2"/>
    </row>
    <row r="29" spans="1:17">
      <c r="A29" s="2">
        <v>28</v>
      </c>
      <c r="B29" s="2">
        <v>1973</v>
      </c>
      <c r="C29" s="2">
        <v>4987</v>
      </c>
      <c r="D29" s="2">
        <v>1027</v>
      </c>
      <c r="E29" s="2">
        <v>3182</v>
      </c>
      <c r="F29" s="2">
        <v>6811</v>
      </c>
      <c r="G29" s="2">
        <v>6895</v>
      </c>
      <c r="H29" s="2">
        <v>110</v>
      </c>
      <c r="I29" s="2">
        <v>199</v>
      </c>
      <c r="J29" s="2" t="s">
        <v>6091</v>
      </c>
      <c r="K29" s="2">
        <v>1523128200</v>
      </c>
      <c r="L29" s="2"/>
      <c r="M29" s="2"/>
      <c r="N29" s="2"/>
      <c r="O29" s="2"/>
      <c r="P29" s="2"/>
      <c r="Q29" s="2"/>
    </row>
    <row r="30" spans="1:17">
      <c r="A30" s="2">
        <v>29</v>
      </c>
      <c r="B30" s="2">
        <v>3464</v>
      </c>
      <c r="C30" s="2">
        <v>181</v>
      </c>
      <c r="D30" s="2">
        <v>2785</v>
      </c>
      <c r="E30" s="2">
        <v>558</v>
      </c>
      <c r="F30" s="2">
        <v>5746</v>
      </c>
      <c r="G30" s="2">
        <v>3634</v>
      </c>
      <c r="H30" s="2">
        <v>245</v>
      </c>
      <c r="I30" s="2">
        <v>426</v>
      </c>
      <c r="J30" s="2" t="s">
        <v>6091</v>
      </c>
      <c r="K30" s="2">
        <v>1523128620</v>
      </c>
      <c r="L30" s="2"/>
      <c r="M30" s="2"/>
      <c r="N30" s="2"/>
      <c r="O30" s="2"/>
      <c r="P30" s="2"/>
      <c r="Q30" s="2"/>
    </row>
    <row r="31" spans="1:17">
      <c r="A31" s="2">
        <v>30</v>
      </c>
      <c r="B31" s="2">
        <v>230</v>
      </c>
      <c r="C31" s="2">
        <v>5142</v>
      </c>
      <c r="D31" s="2">
        <v>5686</v>
      </c>
      <c r="E31" s="2">
        <v>6812</v>
      </c>
      <c r="F31" s="2">
        <v>177</v>
      </c>
      <c r="G31" s="2">
        <v>1740</v>
      </c>
      <c r="H31" s="2">
        <v>287</v>
      </c>
      <c r="I31" s="2">
        <v>346</v>
      </c>
      <c r="J31" s="2" t="s">
        <v>6091</v>
      </c>
      <c r="K31" s="2">
        <v>1523129040</v>
      </c>
      <c r="L31" s="2"/>
      <c r="M31" s="2"/>
      <c r="N31" s="2"/>
      <c r="O31" s="2"/>
      <c r="P31" s="2"/>
      <c r="Q31" s="2"/>
    </row>
    <row r="32" spans="1:17">
      <c r="A32" s="2">
        <v>31</v>
      </c>
      <c r="B32" s="2">
        <v>236</v>
      </c>
      <c r="C32" s="2">
        <v>2170</v>
      </c>
      <c r="D32" s="2">
        <v>155</v>
      </c>
      <c r="E32" s="2">
        <v>1085</v>
      </c>
      <c r="F32" s="2">
        <v>175</v>
      </c>
      <c r="G32" s="2">
        <v>3654</v>
      </c>
      <c r="H32" s="2">
        <v>554</v>
      </c>
      <c r="I32" s="2">
        <v>317</v>
      </c>
      <c r="J32" s="2" t="s">
        <v>6090</v>
      </c>
      <c r="K32" s="2">
        <v>1523129460</v>
      </c>
      <c r="L32" s="2"/>
      <c r="M32" s="2"/>
      <c r="N32" s="2"/>
      <c r="O32" s="2"/>
      <c r="P32" s="2"/>
      <c r="Q32" s="2"/>
    </row>
    <row r="33" spans="1:17">
      <c r="A33" s="2">
        <v>32</v>
      </c>
      <c r="B33" s="2">
        <v>190</v>
      </c>
      <c r="C33" s="2">
        <v>1991</v>
      </c>
      <c r="D33" s="2">
        <v>999</v>
      </c>
      <c r="E33" s="2">
        <v>6333</v>
      </c>
      <c r="F33" s="2">
        <v>3146</v>
      </c>
      <c r="G33" s="2">
        <v>1973</v>
      </c>
      <c r="H33" s="2">
        <v>393</v>
      </c>
      <c r="I33" s="2">
        <v>142</v>
      </c>
      <c r="J33" s="2" t="s">
        <v>6090</v>
      </c>
      <c r="K33" s="2">
        <v>1523129880</v>
      </c>
      <c r="L33" s="2"/>
      <c r="M33" s="2"/>
      <c r="N33" s="2"/>
      <c r="O33" s="2"/>
      <c r="P33" s="2"/>
      <c r="Q33" s="2"/>
    </row>
    <row r="34" spans="1:17">
      <c r="A34" s="2">
        <v>33</v>
      </c>
      <c r="B34" s="2">
        <v>7153</v>
      </c>
      <c r="C34" s="2">
        <v>2836</v>
      </c>
      <c r="D34" s="2">
        <v>195</v>
      </c>
      <c r="E34" s="2">
        <v>6346</v>
      </c>
      <c r="F34" s="2">
        <v>2067</v>
      </c>
      <c r="G34" s="2">
        <v>571</v>
      </c>
      <c r="H34" s="2">
        <v>420</v>
      </c>
      <c r="I34" s="2">
        <v>196</v>
      </c>
      <c r="J34" s="2" t="s">
        <v>6090</v>
      </c>
      <c r="K34" s="2">
        <v>1523130300</v>
      </c>
      <c r="L34" s="2"/>
      <c r="M34" s="2"/>
      <c r="N34" s="2"/>
      <c r="O34" s="2"/>
      <c r="P34" s="2"/>
      <c r="Q34" s="2"/>
    </row>
    <row r="35" spans="1:17">
      <c r="A35" s="2">
        <v>34</v>
      </c>
      <c r="B35" s="2">
        <v>6895</v>
      </c>
      <c r="C35" s="2">
        <v>173</v>
      </c>
      <c r="D35" s="2">
        <v>5129</v>
      </c>
      <c r="E35" s="2">
        <v>2064</v>
      </c>
      <c r="F35" s="2">
        <v>839</v>
      </c>
      <c r="G35" s="2">
        <v>176</v>
      </c>
      <c r="H35" s="2">
        <v>210</v>
      </c>
      <c r="I35" s="2">
        <v>383</v>
      </c>
      <c r="J35" s="2" t="s">
        <v>6091</v>
      </c>
      <c r="K35" s="2">
        <v>1523130720</v>
      </c>
      <c r="L35" s="2"/>
      <c r="M35" s="2"/>
      <c r="N35" s="2"/>
      <c r="O35" s="2"/>
      <c r="P35" s="2"/>
      <c r="Q35" s="2"/>
    </row>
    <row r="36" spans="1:17">
      <c r="A36" s="2">
        <v>35</v>
      </c>
      <c r="B36" s="2">
        <v>1740</v>
      </c>
      <c r="C36" s="2">
        <v>558</v>
      </c>
      <c r="D36" s="2">
        <v>3182</v>
      </c>
      <c r="E36" s="2">
        <v>7127</v>
      </c>
      <c r="F36" s="2">
        <v>6333</v>
      </c>
      <c r="G36" s="2">
        <v>175</v>
      </c>
      <c r="H36" s="2">
        <v>353</v>
      </c>
      <c r="I36" s="2">
        <v>289</v>
      </c>
      <c r="J36" s="2" t="s">
        <v>6090</v>
      </c>
      <c r="K36" s="2">
        <v>1523131140</v>
      </c>
      <c r="L36" s="2"/>
      <c r="M36" s="2"/>
      <c r="N36" s="2"/>
      <c r="O36" s="2"/>
      <c r="P36" s="2"/>
      <c r="Q36" s="2"/>
    </row>
    <row r="37" spans="1:17">
      <c r="A37" s="2">
        <v>36</v>
      </c>
      <c r="B37" s="2">
        <v>5686</v>
      </c>
      <c r="C37" s="2">
        <v>3464</v>
      </c>
      <c r="D37" s="2">
        <v>6346</v>
      </c>
      <c r="E37" s="2">
        <v>571</v>
      </c>
      <c r="F37" s="2">
        <v>6812</v>
      </c>
      <c r="G37" s="2">
        <v>2785</v>
      </c>
      <c r="H37" s="2">
        <v>318</v>
      </c>
      <c r="I37" s="2">
        <v>205</v>
      </c>
      <c r="J37" s="2" t="s">
        <v>6090</v>
      </c>
      <c r="K37" s="2">
        <v>1523131560</v>
      </c>
      <c r="L37" s="2"/>
      <c r="M37" s="2"/>
      <c r="N37" s="2"/>
      <c r="O37" s="2"/>
      <c r="P37" s="2"/>
      <c r="Q37" s="2"/>
    </row>
    <row r="38" spans="1:17">
      <c r="A38" s="2">
        <v>37</v>
      </c>
      <c r="B38" s="2">
        <v>7153</v>
      </c>
      <c r="C38" s="2">
        <v>1991</v>
      </c>
      <c r="D38" s="2">
        <v>839</v>
      </c>
      <c r="E38" s="2">
        <v>3146</v>
      </c>
      <c r="F38" s="2">
        <v>2064</v>
      </c>
      <c r="G38" s="2">
        <v>195</v>
      </c>
      <c r="H38" s="2">
        <v>264</v>
      </c>
      <c r="I38" s="2">
        <v>481</v>
      </c>
      <c r="J38" s="2" t="s">
        <v>6091</v>
      </c>
      <c r="K38" s="2">
        <v>1523131980</v>
      </c>
      <c r="L38" s="2"/>
      <c r="M38" s="2"/>
      <c r="N38" s="2"/>
      <c r="O38" s="2"/>
      <c r="P38" s="2"/>
      <c r="Q38" s="2"/>
    </row>
    <row r="39" spans="1:17">
      <c r="A39" s="2">
        <v>38</v>
      </c>
      <c r="B39" s="2">
        <v>173</v>
      </c>
      <c r="C39" s="2">
        <v>999</v>
      </c>
      <c r="D39" s="2">
        <v>6811</v>
      </c>
      <c r="E39" s="2">
        <v>1027</v>
      </c>
      <c r="F39" s="2">
        <v>5746</v>
      </c>
      <c r="G39" s="2">
        <v>3654</v>
      </c>
      <c r="H39" s="2">
        <v>342</v>
      </c>
      <c r="I39" s="2">
        <v>90</v>
      </c>
      <c r="J39" s="2" t="s">
        <v>6090</v>
      </c>
      <c r="K39" s="2">
        <v>1523132400</v>
      </c>
      <c r="L39" s="2"/>
      <c r="M39" s="2"/>
      <c r="N39" s="2"/>
      <c r="O39" s="2"/>
      <c r="P39" s="2"/>
      <c r="Q39" s="2"/>
    </row>
    <row r="40" spans="1:17">
      <c r="A40" s="2">
        <v>39</v>
      </c>
      <c r="B40" s="2">
        <v>2067</v>
      </c>
      <c r="C40" s="2">
        <v>230</v>
      </c>
      <c r="D40" s="2">
        <v>155</v>
      </c>
      <c r="E40" s="2">
        <v>6895</v>
      </c>
      <c r="F40" s="2">
        <v>7127</v>
      </c>
      <c r="G40" s="2">
        <v>236</v>
      </c>
      <c r="H40" s="2">
        <v>475</v>
      </c>
      <c r="I40" s="2">
        <v>278</v>
      </c>
      <c r="J40" s="2" t="s">
        <v>6090</v>
      </c>
      <c r="K40" s="2">
        <v>1523132820</v>
      </c>
      <c r="L40" s="2"/>
      <c r="M40" s="2"/>
      <c r="N40" s="2"/>
      <c r="O40" s="2"/>
      <c r="P40" s="2"/>
      <c r="Q40" s="2"/>
    </row>
    <row r="41" spans="1:17">
      <c r="A41" s="2">
        <v>40</v>
      </c>
      <c r="B41" s="2">
        <v>1085</v>
      </c>
      <c r="C41" s="2">
        <v>176</v>
      </c>
      <c r="D41" s="2">
        <v>177</v>
      </c>
      <c r="E41" s="2">
        <v>2170</v>
      </c>
      <c r="F41" s="2">
        <v>181</v>
      </c>
      <c r="G41" s="2">
        <v>1973</v>
      </c>
      <c r="H41" s="2">
        <v>403</v>
      </c>
      <c r="I41" s="2">
        <v>356</v>
      </c>
      <c r="J41" s="2" t="s">
        <v>6090</v>
      </c>
      <c r="K41" s="2">
        <v>1523133240</v>
      </c>
      <c r="L41" s="2"/>
      <c r="M41" s="2"/>
      <c r="N41" s="2"/>
      <c r="O41" s="2"/>
      <c r="P41" s="2"/>
      <c r="Q41" s="2"/>
    </row>
    <row r="42" spans="1:17">
      <c r="A42" s="2">
        <v>41</v>
      </c>
      <c r="B42" s="2">
        <v>2836</v>
      </c>
      <c r="C42" s="2">
        <v>3634</v>
      </c>
      <c r="D42" s="2">
        <v>5129</v>
      </c>
      <c r="E42" s="2">
        <v>5142</v>
      </c>
      <c r="F42" s="2">
        <v>4987</v>
      </c>
      <c r="G42" s="2">
        <v>190</v>
      </c>
      <c r="H42" s="2">
        <v>246</v>
      </c>
      <c r="I42" s="2">
        <v>349</v>
      </c>
      <c r="J42" s="2" t="s">
        <v>6091</v>
      </c>
      <c r="K42" s="2">
        <v>1523133660</v>
      </c>
      <c r="L42" s="2"/>
      <c r="M42" s="2"/>
      <c r="N42" s="2"/>
      <c r="O42" s="2"/>
      <c r="P42" s="2"/>
      <c r="Q42" s="2"/>
    </row>
    <row r="43" spans="1:17">
      <c r="A43" s="2">
        <v>42</v>
      </c>
      <c r="B43" s="2">
        <v>6811</v>
      </c>
      <c r="C43" s="2">
        <v>6333</v>
      </c>
      <c r="D43" s="2">
        <v>2067</v>
      </c>
      <c r="E43" s="2">
        <v>195</v>
      </c>
      <c r="F43" s="2">
        <v>5686</v>
      </c>
      <c r="G43" s="2">
        <v>839</v>
      </c>
      <c r="H43" s="2">
        <v>204</v>
      </c>
      <c r="I43" s="2">
        <v>429</v>
      </c>
      <c r="J43" s="2" t="s">
        <v>6091</v>
      </c>
      <c r="K43" s="2">
        <v>1523134080</v>
      </c>
      <c r="L43" s="2"/>
      <c r="M43" s="2"/>
      <c r="N43" s="2"/>
      <c r="O43" s="2"/>
      <c r="P43" s="2"/>
      <c r="Q43" s="2"/>
    </row>
    <row r="44" spans="1:17">
      <c r="A44" s="2">
        <v>43</v>
      </c>
      <c r="B44" s="2">
        <v>1991</v>
      </c>
      <c r="C44" s="2">
        <v>155</v>
      </c>
      <c r="D44" s="2">
        <v>3654</v>
      </c>
      <c r="E44" s="2">
        <v>5746</v>
      </c>
      <c r="F44" s="2">
        <v>177</v>
      </c>
      <c r="G44" s="2">
        <v>181</v>
      </c>
      <c r="H44" s="2">
        <v>252</v>
      </c>
      <c r="I44" s="2">
        <v>409</v>
      </c>
      <c r="J44" s="2" t="s">
        <v>6091</v>
      </c>
      <c r="K44" s="2">
        <v>1523134500</v>
      </c>
      <c r="L44" s="2"/>
      <c r="M44" s="2"/>
      <c r="N44" s="2"/>
      <c r="O44" s="2"/>
      <c r="P44" s="2"/>
      <c r="Q44" s="2"/>
    </row>
    <row r="45" spans="1:17">
      <c r="A45" s="2">
        <v>44</v>
      </c>
      <c r="B45" s="2">
        <v>2170</v>
      </c>
      <c r="C45" s="2">
        <v>175</v>
      </c>
      <c r="D45" s="2">
        <v>5129</v>
      </c>
      <c r="E45" s="2">
        <v>4987</v>
      </c>
      <c r="F45" s="2">
        <v>1085</v>
      </c>
      <c r="G45" s="2">
        <v>173</v>
      </c>
      <c r="H45" s="2">
        <v>336</v>
      </c>
      <c r="I45" s="2">
        <v>213</v>
      </c>
      <c r="J45" s="2" t="s">
        <v>6090</v>
      </c>
      <c r="K45" s="2">
        <v>1523134920</v>
      </c>
      <c r="L45" s="2"/>
      <c r="M45" s="2"/>
      <c r="N45" s="2"/>
      <c r="O45" s="2"/>
      <c r="P45" s="2"/>
      <c r="Q45" s="2"/>
    </row>
    <row r="46" spans="1:17">
      <c r="A46" s="2">
        <v>45</v>
      </c>
      <c r="B46" s="2">
        <v>1027</v>
      </c>
      <c r="C46" s="2">
        <v>5142</v>
      </c>
      <c r="D46" s="2">
        <v>176</v>
      </c>
      <c r="E46" s="2">
        <v>230</v>
      </c>
      <c r="F46" s="2">
        <v>2785</v>
      </c>
      <c r="G46" s="2">
        <v>999</v>
      </c>
      <c r="H46" s="2">
        <v>213</v>
      </c>
      <c r="I46" s="2">
        <v>496</v>
      </c>
      <c r="J46" s="2" t="s">
        <v>6091</v>
      </c>
      <c r="K46" s="2">
        <v>1523135340</v>
      </c>
      <c r="L46" s="2"/>
      <c r="M46" s="2"/>
      <c r="N46" s="2"/>
      <c r="O46" s="2"/>
      <c r="P46" s="2"/>
      <c r="Q46" s="2"/>
    </row>
    <row r="47" spans="1:17">
      <c r="A47" s="2">
        <v>46</v>
      </c>
      <c r="B47" s="2">
        <v>571</v>
      </c>
      <c r="C47" s="2">
        <v>7127</v>
      </c>
      <c r="D47" s="2">
        <v>3146</v>
      </c>
      <c r="E47" s="2">
        <v>236</v>
      </c>
      <c r="F47" s="2">
        <v>3634</v>
      </c>
      <c r="G47" s="2">
        <v>6812</v>
      </c>
      <c r="H47" s="2">
        <v>375</v>
      </c>
      <c r="I47" s="2">
        <v>35</v>
      </c>
      <c r="J47" s="2" t="s">
        <v>6090</v>
      </c>
      <c r="K47" s="2">
        <v>1523135760</v>
      </c>
      <c r="L47" s="2"/>
      <c r="M47" s="2"/>
      <c r="N47" s="2"/>
      <c r="O47" s="2"/>
      <c r="P47" s="2"/>
      <c r="Q47" s="2"/>
    </row>
    <row r="48" spans="1:17">
      <c r="A48" s="2">
        <v>47</v>
      </c>
      <c r="B48" s="2">
        <v>7153</v>
      </c>
      <c r="C48" s="2">
        <v>6895</v>
      </c>
      <c r="D48" s="2">
        <v>1740</v>
      </c>
      <c r="E48" s="2">
        <v>6346</v>
      </c>
      <c r="F48" s="2">
        <v>190</v>
      </c>
      <c r="G48" s="2">
        <v>3182</v>
      </c>
      <c r="H48" s="2">
        <v>178</v>
      </c>
      <c r="I48" s="2">
        <v>428</v>
      </c>
      <c r="J48" s="2" t="s">
        <v>6091</v>
      </c>
      <c r="K48" s="2">
        <v>1523136180</v>
      </c>
      <c r="L48" s="2"/>
      <c r="M48" s="2"/>
      <c r="N48" s="2"/>
      <c r="O48" s="2"/>
      <c r="P48" s="2"/>
      <c r="Q48" s="2"/>
    </row>
    <row r="49" spans="1:17">
      <c r="A49" s="2">
        <v>48</v>
      </c>
      <c r="B49" s="2">
        <v>1973</v>
      </c>
      <c r="C49" s="2">
        <v>2064</v>
      </c>
      <c r="D49" s="2">
        <v>2836</v>
      </c>
      <c r="E49" s="2">
        <v>3464</v>
      </c>
      <c r="F49" s="2">
        <v>558</v>
      </c>
      <c r="G49" s="2">
        <v>155</v>
      </c>
      <c r="H49" s="2">
        <v>365</v>
      </c>
      <c r="I49" s="2">
        <v>304</v>
      </c>
      <c r="J49" s="2" t="s">
        <v>6090</v>
      </c>
      <c r="K49" s="2">
        <v>1523136600</v>
      </c>
      <c r="L49" s="2"/>
      <c r="M49" s="2"/>
      <c r="N49" s="2"/>
      <c r="O49" s="2"/>
      <c r="P49" s="2"/>
      <c r="Q49" s="2"/>
    </row>
    <row r="50" spans="1:17">
      <c r="A50" s="2">
        <v>49</v>
      </c>
      <c r="B50" s="2">
        <v>3146</v>
      </c>
      <c r="C50" s="2">
        <v>5686</v>
      </c>
      <c r="D50" s="2">
        <v>2785</v>
      </c>
      <c r="E50" s="2">
        <v>5129</v>
      </c>
      <c r="F50" s="2">
        <v>839</v>
      </c>
      <c r="G50" s="2">
        <v>3654</v>
      </c>
      <c r="H50" s="2">
        <v>324</v>
      </c>
      <c r="I50" s="2">
        <v>321</v>
      </c>
      <c r="J50" s="2" t="s">
        <v>6090</v>
      </c>
      <c r="K50" s="2">
        <v>1523137020</v>
      </c>
      <c r="L50" s="2"/>
      <c r="M50" s="2"/>
      <c r="N50" s="2"/>
      <c r="O50" s="2"/>
      <c r="P50" s="2"/>
      <c r="Q50" s="2"/>
    </row>
    <row r="51" spans="1:17">
      <c r="A51" s="2">
        <v>50</v>
      </c>
      <c r="B51" s="2">
        <v>176</v>
      </c>
      <c r="C51" s="2">
        <v>175</v>
      </c>
      <c r="D51" s="2">
        <v>5746</v>
      </c>
      <c r="E51" s="2">
        <v>177</v>
      </c>
      <c r="F51" s="2">
        <v>190</v>
      </c>
      <c r="G51" s="2">
        <v>195</v>
      </c>
      <c r="H51" s="2">
        <v>293</v>
      </c>
      <c r="I51" s="2">
        <v>417</v>
      </c>
      <c r="J51" s="2" t="s">
        <v>6091</v>
      </c>
      <c r="K51" s="2">
        <v>1523137440</v>
      </c>
      <c r="L51" s="2"/>
      <c r="M51" s="2"/>
      <c r="N51" s="2"/>
      <c r="O51" s="2"/>
      <c r="P51" s="2"/>
      <c r="Q51" s="2"/>
    </row>
    <row r="52" spans="1:17">
      <c r="A52" s="2">
        <v>51</v>
      </c>
      <c r="B52" s="2">
        <v>999</v>
      </c>
      <c r="C52" s="2">
        <v>1027</v>
      </c>
      <c r="D52" s="2">
        <v>3634</v>
      </c>
      <c r="E52" s="2">
        <v>2170</v>
      </c>
      <c r="F52" s="2">
        <v>558</v>
      </c>
      <c r="G52" s="2">
        <v>7153</v>
      </c>
      <c r="H52" s="2">
        <v>205</v>
      </c>
      <c r="I52" s="2">
        <v>416</v>
      </c>
      <c r="J52" s="2" t="s">
        <v>6091</v>
      </c>
      <c r="K52" s="2">
        <v>1523137860</v>
      </c>
      <c r="L52" s="2"/>
      <c r="M52" s="2"/>
      <c r="N52" s="2"/>
      <c r="O52" s="2"/>
      <c r="P52" s="2"/>
      <c r="Q52" s="2"/>
    </row>
    <row r="53" spans="1:17">
      <c r="A53" s="2">
        <v>52</v>
      </c>
      <c r="B53" s="2">
        <v>173</v>
      </c>
      <c r="C53" s="2">
        <v>1973</v>
      </c>
      <c r="D53" s="2">
        <v>5142</v>
      </c>
      <c r="E53" s="2">
        <v>236</v>
      </c>
      <c r="F53" s="2">
        <v>6346</v>
      </c>
      <c r="G53" s="2">
        <v>230</v>
      </c>
      <c r="H53" s="2">
        <v>313</v>
      </c>
      <c r="I53" s="2">
        <v>356</v>
      </c>
      <c r="J53" s="2" t="s">
        <v>6091</v>
      </c>
      <c r="K53" s="2">
        <v>1523138280</v>
      </c>
      <c r="L53" s="2"/>
      <c r="M53" s="2"/>
      <c r="N53" s="2"/>
      <c r="O53" s="2"/>
      <c r="P53" s="2"/>
      <c r="Q53" s="2"/>
    </row>
    <row r="54" spans="1:17">
      <c r="A54" s="2">
        <v>53</v>
      </c>
      <c r="B54" s="2">
        <v>2064</v>
      </c>
      <c r="C54" s="2">
        <v>1740</v>
      </c>
      <c r="D54" s="2">
        <v>7127</v>
      </c>
      <c r="E54" s="2">
        <v>4987</v>
      </c>
      <c r="F54" s="2">
        <v>181</v>
      </c>
      <c r="G54" s="2">
        <v>2836</v>
      </c>
      <c r="H54" s="2">
        <v>346</v>
      </c>
      <c r="I54" s="2">
        <v>302</v>
      </c>
      <c r="J54" s="2" t="s">
        <v>6090</v>
      </c>
      <c r="K54" s="2">
        <v>1523138700</v>
      </c>
      <c r="L54" s="2"/>
      <c r="M54" s="2"/>
      <c r="N54" s="2"/>
      <c r="O54" s="2"/>
      <c r="P54" s="2"/>
      <c r="Q54" s="2"/>
    </row>
    <row r="55" spans="1:17">
      <c r="A55" s="2">
        <v>54</v>
      </c>
      <c r="B55" s="2">
        <v>6811</v>
      </c>
      <c r="C55" s="2">
        <v>6812</v>
      </c>
      <c r="D55" s="2">
        <v>1085</v>
      </c>
      <c r="E55" s="2">
        <v>1991</v>
      </c>
      <c r="F55" s="2">
        <v>3182</v>
      </c>
      <c r="G55" s="2">
        <v>2067</v>
      </c>
      <c r="H55" s="2">
        <v>155</v>
      </c>
      <c r="I55" s="2">
        <v>416</v>
      </c>
      <c r="J55" s="2" t="s">
        <v>6091</v>
      </c>
      <c r="K55" s="2">
        <v>1523139120</v>
      </c>
      <c r="L55" s="2"/>
      <c r="M55" s="2"/>
      <c r="N55" s="2"/>
      <c r="O55" s="2"/>
      <c r="P55" s="2"/>
      <c r="Q55" s="2"/>
    </row>
    <row r="56" spans="1:17">
      <c r="A56" s="2">
        <v>55</v>
      </c>
      <c r="B56" s="2">
        <v>6895</v>
      </c>
      <c r="C56" s="2">
        <v>6333</v>
      </c>
      <c r="D56" s="2">
        <v>155</v>
      </c>
      <c r="E56" s="2">
        <v>3464</v>
      </c>
      <c r="F56" s="2">
        <v>571</v>
      </c>
      <c r="G56" s="2">
        <v>5746</v>
      </c>
      <c r="H56" s="2">
        <v>190</v>
      </c>
      <c r="I56" s="2">
        <v>401</v>
      </c>
      <c r="J56" s="2" t="s">
        <v>6091</v>
      </c>
      <c r="K56" s="2">
        <v>1523139540</v>
      </c>
      <c r="L56" s="2"/>
      <c r="M56" s="2"/>
      <c r="N56" s="2"/>
      <c r="O56" s="2"/>
      <c r="P56" s="2"/>
      <c r="Q56" s="2"/>
    </row>
    <row r="57" spans="1:17">
      <c r="A57" s="2">
        <v>56</v>
      </c>
      <c r="B57" s="2">
        <v>3634</v>
      </c>
      <c r="C57" s="2">
        <v>195</v>
      </c>
      <c r="D57" s="2">
        <v>2170</v>
      </c>
      <c r="E57" s="2">
        <v>5129</v>
      </c>
      <c r="F57" s="2">
        <v>1973</v>
      </c>
      <c r="G57" s="2">
        <v>1740</v>
      </c>
      <c r="H57" s="2">
        <v>474</v>
      </c>
      <c r="I57" s="2">
        <v>169</v>
      </c>
      <c r="J57" s="2" t="s">
        <v>6090</v>
      </c>
      <c r="K57" s="2">
        <v>1523139960</v>
      </c>
      <c r="L57" s="2"/>
      <c r="M57" s="2"/>
      <c r="N57" s="2"/>
      <c r="O57" s="2"/>
      <c r="P57" s="2"/>
      <c r="Q57" s="2"/>
    </row>
    <row r="58" spans="1:17">
      <c r="A58" s="2">
        <v>57</v>
      </c>
      <c r="B58" s="2">
        <v>6811</v>
      </c>
      <c r="C58" s="2">
        <v>6346</v>
      </c>
      <c r="D58" s="2">
        <v>1991</v>
      </c>
      <c r="E58" s="2">
        <v>175</v>
      </c>
      <c r="F58" s="2">
        <v>999</v>
      </c>
      <c r="G58" s="2">
        <v>5142</v>
      </c>
      <c r="H58" s="2">
        <v>93</v>
      </c>
      <c r="I58" s="2">
        <v>413</v>
      </c>
      <c r="J58" s="2" t="s">
        <v>6091</v>
      </c>
      <c r="K58" s="2">
        <v>1523140380</v>
      </c>
      <c r="L58" s="2"/>
      <c r="M58" s="2"/>
      <c r="N58" s="2"/>
      <c r="O58" s="2"/>
      <c r="P58" s="2"/>
      <c r="Q58" s="2"/>
    </row>
    <row r="59" spans="1:17">
      <c r="A59" s="2">
        <v>58</v>
      </c>
      <c r="B59" s="2">
        <v>177</v>
      </c>
      <c r="C59" s="2">
        <v>236</v>
      </c>
      <c r="D59" s="2">
        <v>3464</v>
      </c>
      <c r="E59" s="2">
        <v>839</v>
      </c>
      <c r="F59" s="2">
        <v>6895</v>
      </c>
      <c r="G59" s="2">
        <v>1027</v>
      </c>
      <c r="H59" s="2">
        <v>447</v>
      </c>
      <c r="I59" s="2">
        <v>286</v>
      </c>
      <c r="J59" s="2" t="s">
        <v>6090</v>
      </c>
      <c r="K59" s="2">
        <v>1523140800</v>
      </c>
      <c r="L59" s="2"/>
      <c r="M59" s="2"/>
      <c r="N59" s="2"/>
      <c r="O59" s="2"/>
      <c r="P59" s="2"/>
      <c r="Q59" s="2"/>
    </row>
    <row r="60" spans="1:17">
      <c r="A60" s="2">
        <v>59</v>
      </c>
      <c r="B60" s="2">
        <v>5686</v>
      </c>
      <c r="C60" s="2">
        <v>190</v>
      </c>
      <c r="D60" s="2">
        <v>173</v>
      </c>
      <c r="E60" s="2">
        <v>3182</v>
      </c>
      <c r="F60" s="2">
        <v>1085</v>
      </c>
      <c r="G60" s="2">
        <v>571</v>
      </c>
      <c r="H60" s="2">
        <v>403</v>
      </c>
      <c r="I60" s="2">
        <v>256</v>
      </c>
      <c r="J60" s="2" t="s">
        <v>6090</v>
      </c>
      <c r="K60" s="2">
        <v>1523141220</v>
      </c>
      <c r="L60" s="2"/>
      <c r="M60" s="2"/>
      <c r="N60" s="2"/>
      <c r="O60" s="2"/>
      <c r="P60" s="2"/>
      <c r="Q60" s="2"/>
    </row>
    <row r="61" spans="1:17">
      <c r="A61" s="2">
        <v>60</v>
      </c>
      <c r="B61" s="2">
        <v>3146</v>
      </c>
      <c r="C61" s="2">
        <v>3654</v>
      </c>
      <c r="D61" s="2">
        <v>6812</v>
      </c>
      <c r="E61" s="2">
        <v>6333</v>
      </c>
      <c r="F61" s="2">
        <v>176</v>
      </c>
      <c r="G61" s="2">
        <v>2836</v>
      </c>
      <c r="H61" s="2">
        <v>316</v>
      </c>
      <c r="I61" s="2">
        <v>411</v>
      </c>
      <c r="J61" s="2" t="s">
        <v>6091</v>
      </c>
      <c r="K61" s="2">
        <v>1523141640</v>
      </c>
      <c r="L61" s="2"/>
      <c r="M61" s="2"/>
      <c r="N61" s="2"/>
      <c r="O61" s="2"/>
      <c r="P61" s="2"/>
      <c r="Q61" s="2"/>
    </row>
    <row r="62" spans="1:17">
      <c r="A62" s="2">
        <v>61</v>
      </c>
      <c r="B62" s="2">
        <v>2785</v>
      </c>
      <c r="C62" s="2">
        <v>2064</v>
      </c>
      <c r="D62" s="2">
        <v>4987</v>
      </c>
      <c r="E62" s="2">
        <v>7153</v>
      </c>
      <c r="F62" s="2">
        <v>7127</v>
      </c>
      <c r="G62" s="2">
        <v>230</v>
      </c>
      <c r="H62" s="2">
        <v>167</v>
      </c>
      <c r="I62" s="2">
        <v>411</v>
      </c>
      <c r="J62" s="2" t="s">
        <v>6091</v>
      </c>
      <c r="K62" s="2">
        <v>1523194200</v>
      </c>
    </row>
    <row r="63" spans="1:17">
      <c r="A63" s="2">
        <v>62</v>
      </c>
      <c r="B63" s="2">
        <v>558</v>
      </c>
      <c r="C63" s="2">
        <v>571</v>
      </c>
      <c r="D63" s="2">
        <v>5129</v>
      </c>
      <c r="E63" s="2">
        <v>839</v>
      </c>
      <c r="F63" s="2">
        <v>2067</v>
      </c>
      <c r="G63" s="2">
        <v>181</v>
      </c>
      <c r="H63" s="2">
        <v>253</v>
      </c>
      <c r="I63" s="2">
        <v>345</v>
      </c>
      <c r="J63" s="2" t="s">
        <v>6091</v>
      </c>
      <c r="K63" s="2">
        <v>1523194620</v>
      </c>
    </row>
    <row r="64" spans="1:17">
      <c r="A64" s="2">
        <v>63</v>
      </c>
      <c r="B64" s="2">
        <v>5142</v>
      </c>
      <c r="C64" s="2">
        <v>3182</v>
      </c>
      <c r="D64" s="2">
        <v>236</v>
      </c>
      <c r="E64" s="2">
        <v>2836</v>
      </c>
      <c r="F64" s="2">
        <v>3146</v>
      </c>
      <c r="G64" s="2">
        <v>2170</v>
      </c>
      <c r="H64" s="2">
        <v>295</v>
      </c>
      <c r="I64" s="2">
        <v>414</v>
      </c>
      <c r="J64" s="2" t="s">
        <v>6091</v>
      </c>
      <c r="K64" s="2">
        <v>1523195040</v>
      </c>
    </row>
    <row r="65" spans="1:11">
      <c r="A65" s="2">
        <v>64</v>
      </c>
      <c r="B65" s="2">
        <v>176</v>
      </c>
      <c r="C65" s="2">
        <v>7127</v>
      </c>
      <c r="D65" s="2">
        <v>190</v>
      </c>
      <c r="E65" s="2">
        <v>2064</v>
      </c>
      <c r="F65" s="2">
        <v>177</v>
      </c>
      <c r="G65" s="2">
        <v>1991</v>
      </c>
      <c r="H65" s="2">
        <v>393</v>
      </c>
      <c r="I65" s="2">
        <v>217</v>
      </c>
      <c r="J65" s="2" t="s">
        <v>6090</v>
      </c>
      <c r="K65" s="2">
        <v>1523195460</v>
      </c>
    </row>
    <row r="66" spans="1:11">
      <c r="A66" s="2">
        <v>65</v>
      </c>
      <c r="B66" s="2">
        <v>3654</v>
      </c>
      <c r="C66" s="2">
        <v>2067</v>
      </c>
      <c r="D66" s="2">
        <v>1740</v>
      </c>
      <c r="E66" s="2">
        <v>4987</v>
      </c>
      <c r="F66" s="2">
        <v>3464</v>
      </c>
      <c r="G66" s="2">
        <v>6811</v>
      </c>
      <c r="H66" s="2">
        <v>410</v>
      </c>
      <c r="I66" s="2">
        <v>321</v>
      </c>
      <c r="J66" s="2" t="s">
        <v>6090</v>
      </c>
      <c r="K66" s="2">
        <v>1523195880</v>
      </c>
    </row>
    <row r="67" spans="1:11">
      <c r="A67" s="2">
        <v>66</v>
      </c>
      <c r="B67" s="2">
        <v>1973</v>
      </c>
      <c r="C67" s="2">
        <v>230</v>
      </c>
      <c r="D67" s="2">
        <v>175</v>
      </c>
      <c r="E67" s="2">
        <v>155</v>
      </c>
      <c r="F67" s="2">
        <v>5686</v>
      </c>
      <c r="G67" s="2">
        <v>7153</v>
      </c>
      <c r="H67" s="2">
        <v>516</v>
      </c>
      <c r="I67" s="2">
        <v>270</v>
      </c>
      <c r="J67" s="2" t="s">
        <v>6090</v>
      </c>
      <c r="K67" s="2">
        <v>1523196300</v>
      </c>
    </row>
    <row r="68" spans="1:11">
      <c r="A68" s="2">
        <v>67</v>
      </c>
      <c r="B68" s="2">
        <v>195</v>
      </c>
      <c r="C68" s="2">
        <v>999</v>
      </c>
      <c r="D68" s="2">
        <v>6812</v>
      </c>
      <c r="E68" s="2">
        <v>3634</v>
      </c>
      <c r="F68" s="2">
        <v>2785</v>
      </c>
      <c r="G68" s="2">
        <v>173</v>
      </c>
      <c r="H68" s="2">
        <v>470</v>
      </c>
      <c r="I68" s="2">
        <v>117</v>
      </c>
      <c r="J68" s="2" t="s">
        <v>6090</v>
      </c>
      <c r="K68" s="2">
        <v>1523196720</v>
      </c>
    </row>
    <row r="69" spans="1:11">
      <c r="A69" s="2">
        <v>68</v>
      </c>
      <c r="B69" s="2">
        <v>6333</v>
      </c>
      <c r="C69" s="2">
        <v>5746</v>
      </c>
      <c r="D69" s="2">
        <v>6346</v>
      </c>
      <c r="E69" s="2">
        <v>1085</v>
      </c>
      <c r="F69" s="2">
        <v>1027</v>
      </c>
      <c r="G69" s="2">
        <v>558</v>
      </c>
      <c r="H69" s="2">
        <v>357</v>
      </c>
      <c r="I69" s="2">
        <v>337</v>
      </c>
      <c r="J69" s="2" t="s">
        <v>6090</v>
      </c>
      <c r="K69" s="2">
        <v>1523197140</v>
      </c>
    </row>
    <row r="70" spans="1:11">
      <c r="A70" s="2">
        <v>69</v>
      </c>
      <c r="B70" s="2">
        <v>181</v>
      </c>
      <c r="C70" s="2">
        <v>1740</v>
      </c>
      <c r="D70" s="2">
        <v>5142</v>
      </c>
      <c r="E70" s="2">
        <v>2067</v>
      </c>
      <c r="F70" s="2">
        <v>6895</v>
      </c>
      <c r="G70" s="2">
        <v>1973</v>
      </c>
      <c r="H70" s="2">
        <v>471</v>
      </c>
      <c r="I70" s="2">
        <v>160</v>
      </c>
      <c r="J70" s="2" t="s">
        <v>6090</v>
      </c>
      <c r="K70" s="2">
        <v>1523197560</v>
      </c>
    </row>
    <row r="71" spans="1:11">
      <c r="A71" s="2">
        <v>70</v>
      </c>
      <c r="B71" s="2">
        <v>6811</v>
      </c>
      <c r="C71" s="2">
        <v>155</v>
      </c>
      <c r="D71" s="2">
        <v>839</v>
      </c>
      <c r="E71" s="2">
        <v>999</v>
      </c>
      <c r="F71" s="2">
        <v>2836</v>
      </c>
      <c r="G71" s="2">
        <v>236</v>
      </c>
      <c r="H71" s="2">
        <v>252</v>
      </c>
      <c r="I71" s="2">
        <v>446</v>
      </c>
      <c r="J71" s="2" t="s">
        <v>6091</v>
      </c>
      <c r="K71" s="2">
        <v>1523197980</v>
      </c>
    </row>
    <row r="72" spans="1:11">
      <c r="A72" s="2">
        <v>71</v>
      </c>
      <c r="B72" s="2">
        <v>5746</v>
      </c>
      <c r="C72" s="2">
        <v>2785</v>
      </c>
      <c r="D72" s="2">
        <v>7153</v>
      </c>
      <c r="E72" s="2">
        <v>1085</v>
      </c>
      <c r="F72" s="2">
        <v>5129</v>
      </c>
      <c r="G72" s="2">
        <v>1991</v>
      </c>
      <c r="H72" s="2">
        <v>221</v>
      </c>
      <c r="I72" s="2">
        <v>396</v>
      </c>
      <c r="J72" s="2" t="s">
        <v>6091</v>
      </c>
      <c r="K72" s="2">
        <v>1523198400</v>
      </c>
    </row>
    <row r="73" spans="1:11">
      <c r="A73" s="2">
        <v>72</v>
      </c>
      <c r="B73" s="2">
        <v>2064</v>
      </c>
      <c r="C73" s="2">
        <v>3182</v>
      </c>
      <c r="D73" s="2">
        <v>6333</v>
      </c>
      <c r="E73" s="2">
        <v>3634</v>
      </c>
      <c r="F73" s="2">
        <v>3654</v>
      </c>
      <c r="G73" s="2">
        <v>6346</v>
      </c>
      <c r="H73" s="2">
        <v>229</v>
      </c>
      <c r="I73" s="2">
        <v>341</v>
      </c>
      <c r="J73" s="2" t="s">
        <v>6091</v>
      </c>
      <c r="K73" s="2">
        <v>1523198820</v>
      </c>
    </row>
    <row r="74" spans="1:11">
      <c r="A74" s="2">
        <v>73</v>
      </c>
      <c r="B74" s="2">
        <v>176</v>
      </c>
      <c r="C74" s="2">
        <v>6812</v>
      </c>
      <c r="D74" s="2">
        <v>4987</v>
      </c>
      <c r="E74" s="2">
        <v>181</v>
      </c>
      <c r="F74" s="2">
        <v>1027</v>
      </c>
      <c r="G74" s="2">
        <v>571</v>
      </c>
      <c r="H74" s="2">
        <v>211</v>
      </c>
      <c r="I74" s="2">
        <v>437</v>
      </c>
      <c r="J74" s="2" t="s">
        <v>6091</v>
      </c>
      <c r="K74" s="2">
        <v>1523199240</v>
      </c>
    </row>
    <row r="75" spans="1:11">
      <c r="A75" s="2">
        <v>74</v>
      </c>
      <c r="B75" s="2">
        <v>7127</v>
      </c>
      <c r="C75" s="2">
        <v>195</v>
      </c>
      <c r="D75" s="2">
        <v>558</v>
      </c>
      <c r="E75" s="2">
        <v>5686</v>
      </c>
      <c r="F75" s="2">
        <v>2170</v>
      </c>
      <c r="G75" s="2">
        <v>6895</v>
      </c>
      <c r="H75" s="2">
        <v>468</v>
      </c>
      <c r="I75" s="2">
        <v>225</v>
      </c>
      <c r="J75" s="2" t="s">
        <v>6090</v>
      </c>
      <c r="K75" s="2">
        <v>1523199660</v>
      </c>
    </row>
    <row r="76" spans="1:11">
      <c r="A76" s="2">
        <v>75</v>
      </c>
      <c r="B76" s="2">
        <v>175</v>
      </c>
      <c r="C76" s="2">
        <v>190</v>
      </c>
      <c r="D76" s="2">
        <v>3464</v>
      </c>
      <c r="E76" s="2">
        <v>230</v>
      </c>
      <c r="F76" s="2">
        <v>173</v>
      </c>
      <c r="G76" s="2">
        <v>3146</v>
      </c>
      <c r="H76" s="2">
        <v>370</v>
      </c>
      <c r="I76" s="2">
        <v>376</v>
      </c>
      <c r="J76" s="2" t="s">
        <v>6091</v>
      </c>
      <c r="K76" s="2">
        <v>1523200080</v>
      </c>
    </row>
    <row r="77" spans="1:11">
      <c r="A77" s="2">
        <v>76</v>
      </c>
      <c r="B77" s="2">
        <v>3634</v>
      </c>
      <c r="C77" s="2">
        <v>1973</v>
      </c>
      <c r="D77" s="2">
        <v>1085</v>
      </c>
      <c r="E77" s="2">
        <v>177</v>
      </c>
      <c r="F77" s="2">
        <v>6811</v>
      </c>
      <c r="G77" s="2">
        <v>571</v>
      </c>
      <c r="H77" s="2">
        <v>137</v>
      </c>
      <c r="I77" s="2">
        <v>375</v>
      </c>
      <c r="J77" s="2" t="s">
        <v>6091</v>
      </c>
      <c r="K77" s="2">
        <v>1523200500</v>
      </c>
    </row>
    <row r="78" spans="1:11">
      <c r="A78" s="2">
        <v>77</v>
      </c>
      <c r="B78" s="2">
        <v>839</v>
      </c>
      <c r="C78" s="2">
        <v>2170</v>
      </c>
      <c r="D78" s="2">
        <v>5746</v>
      </c>
      <c r="E78" s="2">
        <v>6812</v>
      </c>
      <c r="F78" s="2">
        <v>7153</v>
      </c>
      <c r="G78" s="2">
        <v>5142</v>
      </c>
      <c r="H78" s="2">
        <v>430</v>
      </c>
      <c r="I78" s="2">
        <v>63</v>
      </c>
      <c r="J78" s="2" t="s">
        <v>6090</v>
      </c>
      <c r="K78" s="2">
        <v>1523200920</v>
      </c>
    </row>
    <row r="79" spans="1:11">
      <c r="A79" s="2">
        <v>78</v>
      </c>
      <c r="B79" s="2">
        <v>6333</v>
      </c>
      <c r="C79" s="2">
        <v>3654</v>
      </c>
      <c r="D79" s="2">
        <v>558</v>
      </c>
      <c r="E79" s="2">
        <v>6895</v>
      </c>
      <c r="F79" s="2">
        <v>230</v>
      </c>
      <c r="G79" s="2">
        <v>190</v>
      </c>
      <c r="H79" s="2">
        <v>226</v>
      </c>
      <c r="I79" s="2">
        <v>377</v>
      </c>
      <c r="J79" s="2" t="s">
        <v>6091</v>
      </c>
      <c r="K79" s="2">
        <v>1523201340</v>
      </c>
    </row>
    <row r="80" spans="1:11">
      <c r="A80" s="2">
        <v>79</v>
      </c>
      <c r="B80" s="2">
        <v>7127</v>
      </c>
      <c r="C80" s="2">
        <v>5686</v>
      </c>
      <c r="D80" s="2">
        <v>4987</v>
      </c>
      <c r="E80" s="2">
        <v>176</v>
      </c>
      <c r="F80" s="2">
        <v>999</v>
      </c>
      <c r="G80" s="2">
        <v>3464</v>
      </c>
      <c r="H80" s="2">
        <v>192</v>
      </c>
      <c r="I80" s="2">
        <v>297</v>
      </c>
      <c r="J80" s="2" t="s">
        <v>6091</v>
      </c>
      <c r="K80" s="2">
        <v>1523201760</v>
      </c>
    </row>
    <row r="81" spans="1:11">
      <c r="A81" s="2">
        <v>80</v>
      </c>
      <c r="B81" s="2">
        <v>2836</v>
      </c>
      <c r="C81" s="2">
        <v>2785</v>
      </c>
      <c r="D81" s="2">
        <v>2067</v>
      </c>
      <c r="E81" s="2">
        <v>173</v>
      </c>
      <c r="F81" s="2">
        <v>177</v>
      </c>
      <c r="G81" s="2">
        <v>3182</v>
      </c>
      <c r="H81" s="2">
        <v>291</v>
      </c>
      <c r="I81" s="2">
        <v>476</v>
      </c>
      <c r="J81" s="2" t="s">
        <v>6091</v>
      </c>
      <c r="K81" s="2">
        <v>1523202180</v>
      </c>
    </row>
    <row r="82" spans="1:11">
      <c r="A82" s="2">
        <v>81</v>
      </c>
      <c r="B82" s="2">
        <v>181</v>
      </c>
      <c r="C82" s="2">
        <v>236</v>
      </c>
      <c r="D82" s="2">
        <v>2064</v>
      </c>
      <c r="E82" s="2">
        <v>175</v>
      </c>
      <c r="F82" s="2">
        <v>6346</v>
      </c>
      <c r="G82" s="2">
        <v>3146</v>
      </c>
      <c r="H82" s="2">
        <v>221</v>
      </c>
      <c r="I82" s="2">
        <v>325</v>
      </c>
      <c r="J82" s="2" t="s">
        <v>6091</v>
      </c>
      <c r="K82" s="2">
        <v>1523202600</v>
      </c>
    </row>
    <row r="83" spans="1:11">
      <c r="A83" s="2">
        <v>82</v>
      </c>
      <c r="B83" s="2">
        <v>5129</v>
      </c>
      <c r="C83" s="2">
        <v>155</v>
      </c>
      <c r="D83" s="2">
        <v>1027</v>
      </c>
      <c r="E83" s="2">
        <v>195</v>
      </c>
      <c r="F83" s="2">
        <v>1740</v>
      </c>
      <c r="G83" s="2">
        <v>1991</v>
      </c>
      <c r="H83" s="2">
        <v>181</v>
      </c>
      <c r="I83" s="2">
        <v>469</v>
      </c>
      <c r="J83" s="2" t="s">
        <v>6091</v>
      </c>
      <c r="K83" s="2">
        <v>1523203020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20"/>
  <sheetViews>
    <sheetView zoomScale="110" zoomScaleNormal="110" workbookViewId="0"/>
  </sheetViews>
  <sheetFormatPr defaultColWidth="8.85546875" defaultRowHeight="15"/>
  <cols>
    <col min="1" max="1" width="8.85546875" style="12"/>
    <col min="2" max="2" width="27" style="12" customWidth="1"/>
    <col min="3" max="3" width="51" style="12" customWidth="1"/>
    <col min="4" max="4" width="8.85546875" style="12"/>
    <col min="5" max="5" width="10.7109375" style="12" customWidth="1"/>
    <col min="6" max="16384" width="8.85546875" style="12"/>
  </cols>
  <sheetData>
    <row r="1" spans="2:4" ht="15.75" thickBot="1"/>
    <row r="2" spans="2:4" ht="15.75" thickBot="1">
      <c r="B2" s="332" t="s">
        <v>6045</v>
      </c>
      <c r="C2" s="376"/>
    </row>
    <row r="3" spans="2:4" ht="15.75" thickBot="1">
      <c r="B3" s="29" t="s">
        <v>6044</v>
      </c>
      <c r="C3" s="31" t="s">
        <v>5964</v>
      </c>
    </row>
    <row r="4" spans="2:4" ht="15.75" thickBot="1"/>
    <row r="5" spans="2:4">
      <c r="B5" s="118" t="s">
        <v>5907</v>
      </c>
      <c r="C5" s="119" t="s">
        <v>5965</v>
      </c>
    </row>
    <row r="6" spans="2:4">
      <c r="B6" s="27" t="s">
        <v>5906</v>
      </c>
      <c r="C6" s="242" t="s">
        <v>5994</v>
      </c>
    </row>
    <row r="7" spans="2:4">
      <c r="B7" s="27" t="s">
        <v>5913</v>
      </c>
      <c r="C7" s="179" t="s">
        <v>6219</v>
      </c>
    </row>
    <row r="8" spans="2:4" ht="15.75" thickBot="1">
      <c r="B8" s="29" t="s">
        <v>5914</v>
      </c>
      <c r="C8" s="158" t="s">
        <v>6220</v>
      </c>
    </row>
    <row r="9" spans="2:4" ht="15.75" thickBot="1">
      <c r="B9" s="42"/>
      <c r="C9"/>
      <c r="D9" s="179" t="s">
        <v>6219</v>
      </c>
    </row>
    <row r="10" spans="2:4" ht="15.75" thickBot="1">
      <c r="B10" s="129" t="s">
        <v>5971</v>
      </c>
      <c r="C10"/>
      <c r="D10" s="280" t="s">
        <v>6220</v>
      </c>
    </row>
    <row r="11" spans="2:4" ht="15.75" thickBot="1">
      <c r="B11" s="128">
        <f>COUNT(EventTeam!A:A)</f>
        <v>43</v>
      </c>
    </row>
    <row r="12" spans="2:4" ht="15.75" thickBot="1"/>
    <row r="13" spans="2:4">
      <c r="B13" s="118" t="s">
        <v>5814</v>
      </c>
      <c r="C13" s="120">
        <v>5</v>
      </c>
    </row>
    <row r="14" spans="2:4">
      <c r="B14" s="27" t="s">
        <v>5815</v>
      </c>
      <c r="C14" s="28">
        <v>10</v>
      </c>
    </row>
    <row r="15" spans="2:4">
      <c r="B15" s="27" t="s">
        <v>5</v>
      </c>
      <c r="C15" s="28">
        <v>15</v>
      </c>
    </row>
    <row r="16" spans="2:4">
      <c r="B16" s="27" t="s">
        <v>5959</v>
      </c>
      <c r="C16" s="28">
        <v>5</v>
      </c>
    </row>
    <row r="17" spans="2:3">
      <c r="B17" s="27" t="s">
        <v>5960</v>
      </c>
      <c r="C17" s="28">
        <v>7</v>
      </c>
    </row>
    <row r="18" spans="2:3">
      <c r="B18" s="27" t="s">
        <v>5961</v>
      </c>
      <c r="C18" s="28">
        <v>3</v>
      </c>
    </row>
    <row r="19" spans="2:3">
      <c r="B19" s="27" t="s">
        <v>5962</v>
      </c>
      <c r="C19" s="28">
        <v>5</v>
      </c>
    </row>
    <row r="20" spans="2:3" ht="15.75" thickBot="1">
      <c r="B20" s="29" t="s">
        <v>5816</v>
      </c>
      <c r="C20" s="31">
        <v>15</v>
      </c>
    </row>
  </sheetData>
  <mergeCells count="1">
    <mergeCell ref="B2:C2"/>
  </mergeCells>
  <hyperlinks>
    <hyperlink ref="D9" r:id="rId1"/>
    <hyperlink ref="D10" r:id="rId2"/>
  </hyperlinks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2:E5"/>
  <sheetViews>
    <sheetView workbookViewId="0"/>
  </sheetViews>
  <sheetFormatPr defaultRowHeight="15"/>
  <cols>
    <col min="2" max="2" width="21.42578125" customWidth="1"/>
    <col min="3" max="3" width="22.140625" customWidth="1"/>
  </cols>
  <sheetData>
    <row r="2" spans="2:5" ht="15.75" thickBot="1"/>
    <row r="3" spans="2:5" ht="15.75" thickBot="1">
      <c r="B3" s="91" t="s">
        <v>6106</v>
      </c>
      <c r="C3" s="53" t="str">
        <f>EventYear&amp;EventName</f>
        <v>2018cthar</v>
      </c>
    </row>
    <row r="4" spans="2:5">
      <c r="B4" t="s">
        <v>6111</v>
      </c>
      <c r="C4">
        <v>72</v>
      </c>
      <c r="D4">
        <f>COUNTA(matchDetails!A:A)-1</f>
        <v>77</v>
      </c>
    </row>
    <row r="5" spans="2:5">
      <c r="B5" t="s">
        <v>6112</v>
      </c>
      <c r="C5">
        <v>80</v>
      </c>
      <c r="E5">
        <f>COUNTA(EventSchedule!J:J)-1</f>
        <v>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F78"/>
  <sheetViews>
    <sheetView workbookViewId="0">
      <selection sqref="A1:XFD1048576"/>
    </sheetView>
  </sheetViews>
  <sheetFormatPr defaultRowHeight="15"/>
  <sheetData>
    <row r="1" spans="1:84">
      <c r="A1" t="s">
        <v>6127</v>
      </c>
      <c r="B1" t="s">
        <v>6128</v>
      </c>
      <c r="C1" t="s">
        <v>6129</v>
      </c>
      <c r="D1" t="s">
        <v>6130</v>
      </c>
      <c r="E1" t="s">
        <v>6131</v>
      </c>
      <c r="F1" t="s">
        <v>6132</v>
      </c>
      <c r="G1" t="s">
        <v>6133</v>
      </c>
      <c r="H1" t="s">
        <v>6134</v>
      </c>
      <c r="I1" t="s">
        <v>6135</v>
      </c>
      <c r="J1" t="s">
        <v>6136</v>
      </c>
      <c r="K1" t="s">
        <v>6137</v>
      </c>
      <c r="L1" t="s">
        <v>6138</v>
      </c>
      <c r="M1" t="s">
        <v>6139</v>
      </c>
      <c r="N1" t="s">
        <v>6140</v>
      </c>
      <c r="O1" t="s">
        <v>6141</v>
      </c>
      <c r="P1" t="s">
        <v>6142</v>
      </c>
      <c r="Q1" t="s">
        <v>6143</v>
      </c>
      <c r="R1" t="s">
        <v>6144</v>
      </c>
      <c r="S1" t="s">
        <v>6145</v>
      </c>
      <c r="T1" t="s">
        <v>6146</v>
      </c>
      <c r="U1" t="s">
        <v>6147</v>
      </c>
      <c r="V1" t="s">
        <v>6148</v>
      </c>
      <c r="W1" t="s">
        <v>6149</v>
      </c>
      <c r="X1" t="s">
        <v>6150</v>
      </c>
      <c r="Y1" t="s">
        <v>6151</v>
      </c>
      <c r="Z1" t="s">
        <v>6152</v>
      </c>
      <c r="AA1" t="s">
        <v>6153</v>
      </c>
      <c r="AB1" t="s">
        <v>6154</v>
      </c>
      <c r="AC1" t="s">
        <v>6155</v>
      </c>
      <c r="AD1" t="s">
        <v>6156</v>
      </c>
      <c r="AE1" t="s">
        <v>6157</v>
      </c>
      <c r="AF1" t="s">
        <v>6158</v>
      </c>
      <c r="AG1" t="s">
        <v>6159</v>
      </c>
      <c r="AH1" t="s">
        <v>6160</v>
      </c>
      <c r="AI1" t="s">
        <v>6161</v>
      </c>
      <c r="AJ1" t="s">
        <v>6162</v>
      </c>
      <c r="AK1" t="s">
        <v>6163</v>
      </c>
      <c r="AL1" t="s">
        <v>6164</v>
      </c>
      <c r="AM1" t="s">
        <v>6165</v>
      </c>
      <c r="AN1" t="s">
        <v>6166</v>
      </c>
      <c r="AO1" t="s">
        <v>6167</v>
      </c>
      <c r="AP1" t="s">
        <v>6168</v>
      </c>
      <c r="AQ1" t="s">
        <v>6169</v>
      </c>
      <c r="AR1" t="s">
        <v>6170</v>
      </c>
      <c r="AS1" t="s">
        <v>6171</v>
      </c>
      <c r="AT1" t="s">
        <v>6172</v>
      </c>
      <c r="AU1" t="s">
        <v>6173</v>
      </c>
      <c r="AV1" t="s">
        <v>6174</v>
      </c>
      <c r="AW1" t="s">
        <v>6175</v>
      </c>
      <c r="AX1" t="s">
        <v>6176</v>
      </c>
      <c r="AY1" t="s">
        <v>6177</v>
      </c>
      <c r="AZ1" t="s">
        <v>6178</v>
      </c>
      <c r="BA1" t="s">
        <v>6179</v>
      </c>
      <c r="BB1" t="s">
        <v>6180</v>
      </c>
      <c r="BC1" t="s">
        <v>6181</v>
      </c>
      <c r="BD1" t="s">
        <v>6182</v>
      </c>
      <c r="BE1" t="s">
        <v>6183</v>
      </c>
      <c r="BF1" t="s">
        <v>6184</v>
      </c>
      <c r="BG1" t="s">
        <v>6185</v>
      </c>
      <c r="BH1" t="s">
        <v>6186</v>
      </c>
      <c r="BI1" t="s">
        <v>6187</v>
      </c>
      <c r="BJ1" t="s">
        <v>6188</v>
      </c>
      <c r="BK1" t="s">
        <v>6189</v>
      </c>
      <c r="BL1" t="s">
        <v>6190</v>
      </c>
      <c r="BM1" t="s">
        <v>6191</v>
      </c>
      <c r="BN1" t="s">
        <v>6192</v>
      </c>
      <c r="BO1" t="s">
        <v>6193</v>
      </c>
      <c r="BP1" t="s">
        <v>6158</v>
      </c>
      <c r="BQ1" t="s">
        <v>6194</v>
      </c>
      <c r="BR1" t="s">
        <v>6195</v>
      </c>
      <c r="BS1" t="s">
        <v>6196</v>
      </c>
      <c r="BT1" t="s">
        <v>6197</v>
      </c>
      <c r="BU1" t="s">
        <v>6198</v>
      </c>
      <c r="BV1" t="s">
        <v>6199</v>
      </c>
      <c r="BW1" t="s">
        <v>6200</v>
      </c>
      <c r="BX1" t="s">
        <v>6201</v>
      </c>
      <c r="BY1" t="s">
        <v>6202</v>
      </c>
      <c r="BZ1" t="s">
        <v>6203</v>
      </c>
      <c r="CA1" t="s">
        <v>6204</v>
      </c>
      <c r="CB1" t="s">
        <v>6205</v>
      </c>
      <c r="CC1" t="s">
        <v>6206</v>
      </c>
      <c r="CD1" t="s">
        <v>6207</v>
      </c>
      <c r="CE1" t="s">
        <v>6208</v>
      </c>
      <c r="CF1" t="s">
        <v>6209</v>
      </c>
    </row>
    <row r="2" spans="1:84">
      <c r="A2">
        <v>1</v>
      </c>
      <c r="B2" t="s">
        <v>6502</v>
      </c>
      <c r="C2">
        <v>6346</v>
      </c>
      <c r="D2">
        <v>5142</v>
      </c>
      <c r="E2">
        <v>177</v>
      </c>
      <c r="F2">
        <v>3464</v>
      </c>
      <c r="G2">
        <v>5129</v>
      </c>
      <c r="H2">
        <v>2067</v>
      </c>
      <c r="I2">
        <v>215</v>
      </c>
      <c r="J2">
        <v>365</v>
      </c>
      <c r="K2">
        <v>1523113669</v>
      </c>
      <c r="L2">
        <v>1523113441</v>
      </c>
      <c r="M2">
        <v>0</v>
      </c>
      <c r="N2">
        <v>20</v>
      </c>
      <c r="O2">
        <v>35</v>
      </c>
      <c r="P2" t="b">
        <v>1</v>
      </c>
      <c r="Q2" t="s">
        <v>6210</v>
      </c>
      <c r="R2" t="s">
        <v>6210</v>
      </c>
      <c r="S2" t="s">
        <v>6210</v>
      </c>
      <c r="T2">
        <v>15</v>
      </c>
      <c r="U2">
        <v>0</v>
      </c>
      <c r="V2" t="b">
        <v>1</v>
      </c>
      <c r="W2">
        <v>10</v>
      </c>
      <c r="X2">
        <v>40</v>
      </c>
      <c r="Y2" t="s">
        <v>6211</v>
      </c>
      <c r="Z2" t="s">
        <v>6211</v>
      </c>
      <c r="AA2" t="s">
        <v>6088</v>
      </c>
      <c r="AB2" t="b">
        <v>0</v>
      </c>
      <c r="AC2">
        <v>0</v>
      </c>
      <c r="AD2">
        <v>0</v>
      </c>
      <c r="AE2">
        <v>1</v>
      </c>
      <c r="AF2" t="s">
        <v>6216</v>
      </c>
      <c r="AG2">
        <v>0</v>
      </c>
      <c r="AH2">
        <v>115</v>
      </c>
      <c r="AI2">
        <v>180</v>
      </c>
      <c r="AJ2">
        <v>0</v>
      </c>
      <c r="AK2">
        <v>0</v>
      </c>
      <c r="AL2">
        <v>1</v>
      </c>
      <c r="AM2">
        <v>0</v>
      </c>
      <c r="AN2">
        <v>0</v>
      </c>
      <c r="AO2">
        <v>114</v>
      </c>
      <c r="AP2">
        <v>2</v>
      </c>
      <c r="AQ2">
        <v>2</v>
      </c>
      <c r="AR2">
        <v>0</v>
      </c>
      <c r="AS2">
        <v>0</v>
      </c>
      <c r="AT2">
        <v>3</v>
      </c>
      <c r="AU2">
        <v>3</v>
      </c>
      <c r="AV2">
        <v>25</v>
      </c>
      <c r="AW2">
        <v>0</v>
      </c>
      <c r="AX2">
        <v>22</v>
      </c>
      <c r="AY2">
        <v>37</v>
      </c>
      <c r="AZ2" t="b">
        <v>1</v>
      </c>
      <c r="BA2" t="s">
        <v>6210</v>
      </c>
      <c r="BB2" t="s">
        <v>6210</v>
      </c>
      <c r="BC2" t="s">
        <v>6210</v>
      </c>
      <c r="BD2">
        <v>15</v>
      </c>
      <c r="BE2">
        <v>7</v>
      </c>
      <c r="BF2" t="b">
        <v>1</v>
      </c>
      <c r="BG2">
        <v>4</v>
      </c>
      <c r="BH2">
        <v>60</v>
      </c>
      <c r="BI2" t="s">
        <v>6088</v>
      </c>
      <c r="BJ2" t="s">
        <v>5911</v>
      </c>
      <c r="BK2" t="s">
        <v>6213</v>
      </c>
      <c r="BL2" t="b">
        <v>0</v>
      </c>
      <c r="BM2">
        <v>0</v>
      </c>
      <c r="BN2">
        <v>0</v>
      </c>
      <c r="BO2">
        <v>3</v>
      </c>
      <c r="BP2" t="s">
        <v>6216</v>
      </c>
      <c r="BQ2">
        <v>0</v>
      </c>
      <c r="BR2">
        <v>248</v>
      </c>
      <c r="BS2">
        <v>328</v>
      </c>
      <c r="BT2">
        <v>0</v>
      </c>
      <c r="BU2">
        <v>0</v>
      </c>
      <c r="BV2">
        <v>129</v>
      </c>
      <c r="BW2">
        <v>0</v>
      </c>
      <c r="BX2">
        <v>0</v>
      </c>
      <c r="BY2">
        <v>119</v>
      </c>
      <c r="BZ2">
        <v>0</v>
      </c>
      <c r="CA2">
        <v>1</v>
      </c>
      <c r="CB2">
        <v>0</v>
      </c>
      <c r="CC2">
        <v>0</v>
      </c>
      <c r="CD2">
        <v>3</v>
      </c>
      <c r="CE2">
        <v>3</v>
      </c>
      <c r="CF2">
        <v>20</v>
      </c>
    </row>
    <row r="3" spans="1:84">
      <c r="A3">
        <v>2</v>
      </c>
      <c r="B3" t="s">
        <v>6503</v>
      </c>
      <c r="C3">
        <v>558</v>
      </c>
      <c r="D3">
        <v>999</v>
      </c>
      <c r="E3">
        <v>2064</v>
      </c>
      <c r="F3">
        <v>1740</v>
      </c>
      <c r="G3">
        <v>1085</v>
      </c>
      <c r="H3">
        <v>236</v>
      </c>
      <c r="I3">
        <v>285</v>
      </c>
      <c r="J3">
        <v>246</v>
      </c>
      <c r="K3">
        <v>1523114322</v>
      </c>
      <c r="L3">
        <v>1523114223</v>
      </c>
      <c r="M3">
        <v>0</v>
      </c>
      <c r="N3">
        <v>20</v>
      </c>
      <c r="O3">
        <v>35</v>
      </c>
      <c r="P3" t="b">
        <v>1</v>
      </c>
      <c r="Q3" t="s">
        <v>6210</v>
      </c>
      <c r="R3" t="s">
        <v>6210</v>
      </c>
      <c r="S3" t="s">
        <v>6210</v>
      </c>
      <c r="T3">
        <v>15</v>
      </c>
      <c r="U3">
        <v>0</v>
      </c>
      <c r="V3" t="b">
        <v>1</v>
      </c>
      <c r="W3">
        <v>10</v>
      </c>
      <c r="X3">
        <v>65</v>
      </c>
      <c r="Y3" t="s">
        <v>6213</v>
      </c>
      <c r="Z3" t="s">
        <v>6211</v>
      </c>
      <c r="AA3" t="s">
        <v>6088</v>
      </c>
      <c r="AB3" t="b">
        <v>0</v>
      </c>
      <c r="AC3">
        <v>0</v>
      </c>
      <c r="AD3">
        <v>5</v>
      </c>
      <c r="AE3">
        <v>3</v>
      </c>
      <c r="AF3" t="s">
        <v>6216</v>
      </c>
      <c r="AG3">
        <v>0</v>
      </c>
      <c r="AH3">
        <v>145</v>
      </c>
      <c r="AI3">
        <v>245</v>
      </c>
      <c r="AJ3">
        <v>0</v>
      </c>
      <c r="AK3">
        <v>8</v>
      </c>
      <c r="AL3">
        <v>9</v>
      </c>
      <c r="AM3">
        <v>0</v>
      </c>
      <c r="AN3">
        <v>8</v>
      </c>
      <c r="AO3">
        <v>136</v>
      </c>
      <c r="AP3">
        <v>0</v>
      </c>
      <c r="AQ3">
        <v>1</v>
      </c>
      <c r="AR3">
        <v>3</v>
      </c>
      <c r="AS3">
        <v>3</v>
      </c>
      <c r="AT3">
        <v>3</v>
      </c>
      <c r="AU3">
        <v>3</v>
      </c>
      <c r="AV3">
        <v>35</v>
      </c>
      <c r="AW3">
        <v>0</v>
      </c>
      <c r="AX3">
        <v>22</v>
      </c>
      <c r="AY3">
        <v>27</v>
      </c>
      <c r="AZ3" t="b">
        <v>0</v>
      </c>
      <c r="BA3" t="s">
        <v>5911</v>
      </c>
      <c r="BB3" t="s">
        <v>5911</v>
      </c>
      <c r="BC3" t="s">
        <v>6210</v>
      </c>
      <c r="BD3">
        <v>5</v>
      </c>
      <c r="BE3">
        <v>8</v>
      </c>
      <c r="BF3" t="b">
        <v>1</v>
      </c>
      <c r="BG3">
        <v>3</v>
      </c>
      <c r="BH3">
        <v>65</v>
      </c>
      <c r="BI3" t="s">
        <v>6211</v>
      </c>
      <c r="BJ3" t="s">
        <v>6088</v>
      </c>
      <c r="BK3" t="s">
        <v>6213</v>
      </c>
      <c r="BL3" t="b">
        <v>0</v>
      </c>
      <c r="BM3">
        <v>1</v>
      </c>
      <c r="BN3">
        <v>0</v>
      </c>
      <c r="BO3">
        <v>0</v>
      </c>
      <c r="BP3" t="s">
        <v>6216</v>
      </c>
      <c r="BQ3">
        <v>0</v>
      </c>
      <c r="BR3">
        <v>139</v>
      </c>
      <c r="BS3">
        <v>219</v>
      </c>
      <c r="BT3">
        <v>0</v>
      </c>
      <c r="BU3">
        <v>0</v>
      </c>
      <c r="BV3">
        <v>122</v>
      </c>
      <c r="BW3">
        <v>0</v>
      </c>
      <c r="BX3">
        <v>0</v>
      </c>
      <c r="BY3">
        <v>17</v>
      </c>
      <c r="BZ3">
        <v>0</v>
      </c>
      <c r="CA3">
        <v>0</v>
      </c>
      <c r="CB3">
        <v>0</v>
      </c>
      <c r="CC3">
        <v>0</v>
      </c>
      <c r="CD3">
        <v>3</v>
      </c>
      <c r="CE3">
        <v>3</v>
      </c>
      <c r="CF3">
        <v>15</v>
      </c>
    </row>
    <row r="4" spans="1:84">
      <c r="A4">
        <v>3</v>
      </c>
      <c r="B4" t="s">
        <v>6504</v>
      </c>
      <c r="C4">
        <v>6812</v>
      </c>
      <c r="D4">
        <v>181</v>
      </c>
      <c r="E4">
        <v>6895</v>
      </c>
      <c r="F4">
        <v>190</v>
      </c>
      <c r="G4">
        <v>6811</v>
      </c>
      <c r="H4">
        <v>7153</v>
      </c>
      <c r="I4">
        <v>295</v>
      </c>
      <c r="J4">
        <v>230</v>
      </c>
      <c r="K4">
        <v>1523114789</v>
      </c>
      <c r="L4">
        <v>1523114642</v>
      </c>
      <c r="M4">
        <v>0</v>
      </c>
      <c r="N4">
        <v>14</v>
      </c>
      <c r="O4">
        <v>24</v>
      </c>
      <c r="P4" t="b">
        <v>0</v>
      </c>
      <c r="Q4" t="s">
        <v>5911</v>
      </c>
      <c r="R4" t="s">
        <v>6210</v>
      </c>
      <c r="S4" t="s">
        <v>6210</v>
      </c>
      <c r="T4">
        <v>10</v>
      </c>
      <c r="U4">
        <v>0</v>
      </c>
      <c r="V4" t="b">
        <v>1</v>
      </c>
      <c r="W4">
        <v>7</v>
      </c>
      <c r="X4">
        <v>65</v>
      </c>
      <c r="Y4" t="s">
        <v>6088</v>
      </c>
      <c r="Z4" t="s">
        <v>6213</v>
      </c>
      <c r="AA4" t="s">
        <v>6211</v>
      </c>
      <c r="AB4" t="b">
        <v>0</v>
      </c>
      <c r="AC4">
        <v>2</v>
      </c>
      <c r="AD4">
        <v>5</v>
      </c>
      <c r="AE4">
        <v>2</v>
      </c>
      <c r="AF4" t="s">
        <v>6214</v>
      </c>
      <c r="AG4">
        <v>0</v>
      </c>
      <c r="AH4">
        <v>186</v>
      </c>
      <c r="AI4">
        <v>266</v>
      </c>
      <c r="AJ4">
        <v>0</v>
      </c>
      <c r="AK4">
        <v>0</v>
      </c>
      <c r="AL4">
        <v>50</v>
      </c>
      <c r="AM4">
        <v>0</v>
      </c>
      <c r="AN4">
        <v>0</v>
      </c>
      <c r="AO4">
        <v>136</v>
      </c>
      <c r="AP4">
        <v>0</v>
      </c>
      <c r="AQ4">
        <v>0</v>
      </c>
      <c r="AR4">
        <v>0</v>
      </c>
      <c r="AS4">
        <v>0</v>
      </c>
      <c r="AT4">
        <v>3</v>
      </c>
      <c r="AU4">
        <v>3</v>
      </c>
      <c r="AV4">
        <v>15</v>
      </c>
      <c r="AW4">
        <v>0</v>
      </c>
      <c r="AX4">
        <v>8</v>
      </c>
      <c r="AY4">
        <v>23</v>
      </c>
      <c r="AZ4" t="b">
        <v>0</v>
      </c>
      <c r="BA4" t="s">
        <v>6210</v>
      </c>
      <c r="BB4" t="s">
        <v>6210</v>
      </c>
      <c r="BC4" t="s">
        <v>6210</v>
      </c>
      <c r="BD4">
        <v>15</v>
      </c>
      <c r="BE4">
        <v>4</v>
      </c>
      <c r="BF4" t="b">
        <v>0</v>
      </c>
      <c r="BG4">
        <v>0</v>
      </c>
      <c r="BH4">
        <v>0</v>
      </c>
      <c r="BI4" t="s">
        <v>5911</v>
      </c>
      <c r="BJ4" t="s">
        <v>5911</v>
      </c>
      <c r="BK4" t="s">
        <v>5911</v>
      </c>
      <c r="BL4" t="b">
        <v>0</v>
      </c>
      <c r="BM4">
        <v>1</v>
      </c>
      <c r="BN4">
        <v>10</v>
      </c>
      <c r="BO4">
        <v>0</v>
      </c>
      <c r="BP4" t="s">
        <v>6214</v>
      </c>
      <c r="BQ4">
        <v>0</v>
      </c>
      <c r="BR4">
        <v>192</v>
      </c>
      <c r="BS4">
        <v>197</v>
      </c>
      <c r="BT4">
        <v>0</v>
      </c>
      <c r="BU4">
        <v>0</v>
      </c>
      <c r="BV4">
        <v>80</v>
      </c>
      <c r="BW4">
        <v>10</v>
      </c>
      <c r="BX4">
        <v>0</v>
      </c>
      <c r="BY4">
        <v>102</v>
      </c>
      <c r="BZ4">
        <v>1</v>
      </c>
      <c r="CA4">
        <v>1</v>
      </c>
      <c r="CB4">
        <v>0</v>
      </c>
      <c r="CC4">
        <v>0</v>
      </c>
      <c r="CD4">
        <v>0</v>
      </c>
      <c r="CE4">
        <v>0</v>
      </c>
      <c r="CF4">
        <v>5</v>
      </c>
    </row>
    <row r="5" spans="1:84">
      <c r="A5">
        <v>4</v>
      </c>
      <c r="B5" t="s">
        <v>6505</v>
      </c>
      <c r="C5">
        <v>3182</v>
      </c>
      <c r="D5">
        <v>3146</v>
      </c>
      <c r="E5">
        <v>3634</v>
      </c>
      <c r="F5">
        <v>155</v>
      </c>
      <c r="G5">
        <v>176</v>
      </c>
      <c r="H5">
        <v>173</v>
      </c>
      <c r="I5">
        <v>159</v>
      </c>
      <c r="J5">
        <v>463</v>
      </c>
      <c r="K5">
        <v>1523115258</v>
      </c>
      <c r="L5">
        <v>1523115073</v>
      </c>
      <c r="M5">
        <v>0</v>
      </c>
      <c r="N5">
        <v>0</v>
      </c>
      <c r="O5">
        <v>15</v>
      </c>
      <c r="P5" t="b">
        <v>0</v>
      </c>
      <c r="Q5" t="s">
        <v>6210</v>
      </c>
      <c r="R5" t="s">
        <v>6210</v>
      </c>
      <c r="S5" t="s">
        <v>6210</v>
      </c>
      <c r="T5">
        <v>15</v>
      </c>
      <c r="U5">
        <v>0</v>
      </c>
      <c r="V5" t="b">
        <v>0</v>
      </c>
      <c r="W5">
        <v>0</v>
      </c>
      <c r="X5">
        <v>65</v>
      </c>
      <c r="Y5" t="s">
        <v>6211</v>
      </c>
      <c r="Z5" t="s">
        <v>6213</v>
      </c>
      <c r="AA5" t="s">
        <v>6088</v>
      </c>
      <c r="AB5" t="b">
        <v>0</v>
      </c>
      <c r="AC5">
        <v>1</v>
      </c>
      <c r="AD5">
        <v>0</v>
      </c>
      <c r="AE5">
        <v>0</v>
      </c>
      <c r="AF5" t="s">
        <v>6216</v>
      </c>
      <c r="AG5">
        <v>2</v>
      </c>
      <c r="AH5">
        <v>49</v>
      </c>
      <c r="AI5">
        <v>144</v>
      </c>
      <c r="AJ5">
        <v>0</v>
      </c>
      <c r="AK5">
        <v>10</v>
      </c>
      <c r="AL5">
        <v>11</v>
      </c>
      <c r="AM5">
        <v>0</v>
      </c>
      <c r="AN5">
        <v>10</v>
      </c>
      <c r="AO5">
        <v>38</v>
      </c>
      <c r="AP5">
        <v>0</v>
      </c>
      <c r="AQ5">
        <v>0</v>
      </c>
      <c r="AR5">
        <v>3</v>
      </c>
      <c r="AS5">
        <v>3</v>
      </c>
      <c r="AT5">
        <v>3</v>
      </c>
      <c r="AU5">
        <v>3</v>
      </c>
      <c r="AV5">
        <v>30</v>
      </c>
      <c r="AW5">
        <v>0</v>
      </c>
      <c r="AX5">
        <v>14</v>
      </c>
      <c r="AY5">
        <v>29</v>
      </c>
      <c r="AZ5" t="b">
        <v>1</v>
      </c>
      <c r="BA5" t="s">
        <v>6210</v>
      </c>
      <c r="BB5" t="s">
        <v>6210</v>
      </c>
      <c r="BC5" t="s">
        <v>6210</v>
      </c>
      <c r="BD5">
        <v>15</v>
      </c>
      <c r="BE5">
        <v>0</v>
      </c>
      <c r="BF5" t="b">
        <v>1</v>
      </c>
      <c r="BG5">
        <v>7</v>
      </c>
      <c r="BH5">
        <v>65</v>
      </c>
      <c r="BI5" t="s">
        <v>6213</v>
      </c>
      <c r="BJ5" t="s">
        <v>6211</v>
      </c>
      <c r="BK5" t="s">
        <v>6088</v>
      </c>
      <c r="BL5" t="b">
        <v>0</v>
      </c>
      <c r="BM5">
        <v>0</v>
      </c>
      <c r="BN5">
        <v>55</v>
      </c>
      <c r="BO5">
        <v>3</v>
      </c>
      <c r="BP5" t="s">
        <v>6216</v>
      </c>
      <c r="BQ5">
        <v>0</v>
      </c>
      <c r="BR5">
        <v>274</v>
      </c>
      <c r="BS5">
        <v>379</v>
      </c>
      <c r="BT5">
        <v>10</v>
      </c>
      <c r="BU5">
        <v>0</v>
      </c>
      <c r="BV5">
        <v>118</v>
      </c>
      <c r="BW5">
        <v>10</v>
      </c>
      <c r="BX5">
        <v>0</v>
      </c>
      <c r="BY5">
        <v>136</v>
      </c>
      <c r="BZ5">
        <v>3</v>
      </c>
      <c r="CA5">
        <v>3</v>
      </c>
      <c r="CB5">
        <v>0</v>
      </c>
      <c r="CC5">
        <v>2</v>
      </c>
      <c r="CD5">
        <v>3</v>
      </c>
      <c r="CE5">
        <v>3</v>
      </c>
      <c r="CF5">
        <v>40</v>
      </c>
    </row>
    <row r="6" spans="1:84">
      <c r="A6">
        <v>5</v>
      </c>
      <c r="B6" t="s">
        <v>6506</v>
      </c>
      <c r="C6">
        <v>839</v>
      </c>
      <c r="D6">
        <v>4987</v>
      </c>
      <c r="E6">
        <v>230</v>
      </c>
      <c r="F6">
        <v>1991</v>
      </c>
      <c r="G6">
        <v>5746</v>
      </c>
      <c r="H6">
        <v>1973</v>
      </c>
      <c r="I6">
        <v>430</v>
      </c>
      <c r="J6">
        <v>143</v>
      </c>
      <c r="K6">
        <v>1523115956</v>
      </c>
      <c r="L6">
        <v>1523115782</v>
      </c>
      <c r="M6">
        <v>0</v>
      </c>
      <c r="N6">
        <v>24</v>
      </c>
      <c r="O6">
        <v>39</v>
      </c>
      <c r="P6" t="b">
        <v>1</v>
      </c>
      <c r="Q6" t="s">
        <v>6210</v>
      </c>
      <c r="R6" t="s">
        <v>6210</v>
      </c>
      <c r="S6" t="s">
        <v>6210</v>
      </c>
      <c r="T6">
        <v>15</v>
      </c>
      <c r="U6">
        <v>2</v>
      </c>
      <c r="V6" t="b">
        <v>1</v>
      </c>
      <c r="W6">
        <v>10</v>
      </c>
      <c r="X6">
        <v>65</v>
      </c>
      <c r="Y6" t="s">
        <v>6213</v>
      </c>
      <c r="Z6" t="s">
        <v>6088</v>
      </c>
      <c r="AA6" t="s">
        <v>6211</v>
      </c>
      <c r="AB6" t="b">
        <v>0</v>
      </c>
      <c r="AC6">
        <v>0</v>
      </c>
      <c r="AD6">
        <v>5</v>
      </c>
      <c r="AE6">
        <v>3</v>
      </c>
      <c r="AF6" t="s">
        <v>6212</v>
      </c>
      <c r="AG6">
        <v>0</v>
      </c>
      <c r="AH6">
        <v>291</v>
      </c>
      <c r="AI6">
        <v>386</v>
      </c>
      <c r="AJ6">
        <v>10</v>
      </c>
      <c r="AK6">
        <v>0</v>
      </c>
      <c r="AL6">
        <v>135</v>
      </c>
      <c r="AM6">
        <v>10</v>
      </c>
      <c r="AN6">
        <v>0</v>
      </c>
      <c r="AO6">
        <v>136</v>
      </c>
      <c r="AP6">
        <v>3</v>
      </c>
      <c r="AQ6">
        <v>3</v>
      </c>
      <c r="AR6">
        <v>0</v>
      </c>
      <c r="AS6">
        <v>0</v>
      </c>
      <c r="AT6">
        <v>3</v>
      </c>
      <c r="AU6">
        <v>3</v>
      </c>
      <c r="AV6">
        <v>30</v>
      </c>
      <c r="AW6">
        <v>0</v>
      </c>
      <c r="AX6">
        <v>0</v>
      </c>
      <c r="AY6">
        <v>10</v>
      </c>
      <c r="AZ6" t="b">
        <v>0</v>
      </c>
      <c r="BA6" t="s">
        <v>6210</v>
      </c>
      <c r="BB6" t="s">
        <v>6210</v>
      </c>
      <c r="BC6" t="s">
        <v>5911</v>
      </c>
      <c r="BD6">
        <v>10</v>
      </c>
      <c r="BE6">
        <v>0</v>
      </c>
      <c r="BF6" t="b">
        <v>0</v>
      </c>
      <c r="BG6">
        <v>0</v>
      </c>
      <c r="BH6">
        <v>10</v>
      </c>
      <c r="BI6" t="s">
        <v>6211</v>
      </c>
      <c r="BJ6" t="s">
        <v>6211</v>
      </c>
      <c r="BK6" t="s">
        <v>5911</v>
      </c>
      <c r="BL6" t="b">
        <v>0</v>
      </c>
      <c r="BM6">
        <v>1</v>
      </c>
      <c r="BN6">
        <v>0</v>
      </c>
      <c r="BO6">
        <v>0</v>
      </c>
      <c r="BP6" t="s">
        <v>6212</v>
      </c>
      <c r="BQ6">
        <v>0</v>
      </c>
      <c r="BR6">
        <v>123</v>
      </c>
      <c r="BS6">
        <v>133</v>
      </c>
      <c r="BT6">
        <v>0</v>
      </c>
      <c r="BU6">
        <v>0</v>
      </c>
      <c r="BV6">
        <v>0</v>
      </c>
      <c r="BW6">
        <v>0</v>
      </c>
      <c r="BX6">
        <v>0</v>
      </c>
      <c r="BY6">
        <v>123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</row>
    <row r="7" spans="1:84">
      <c r="A7">
        <v>6</v>
      </c>
      <c r="B7" t="s">
        <v>6507</v>
      </c>
      <c r="C7">
        <v>1027</v>
      </c>
      <c r="D7">
        <v>195</v>
      </c>
      <c r="E7">
        <v>175</v>
      </c>
      <c r="F7">
        <v>3654</v>
      </c>
      <c r="G7">
        <v>2836</v>
      </c>
      <c r="H7">
        <v>5686</v>
      </c>
      <c r="I7">
        <v>354</v>
      </c>
      <c r="J7">
        <v>215</v>
      </c>
      <c r="K7">
        <v>1523116495</v>
      </c>
      <c r="L7">
        <v>1523116441</v>
      </c>
      <c r="M7">
        <v>0</v>
      </c>
      <c r="N7">
        <v>22</v>
      </c>
      <c r="O7">
        <v>32</v>
      </c>
      <c r="P7" t="b">
        <v>0</v>
      </c>
      <c r="Q7" t="s">
        <v>5911</v>
      </c>
      <c r="R7" t="s">
        <v>6210</v>
      </c>
      <c r="S7" t="s">
        <v>6210</v>
      </c>
      <c r="T7">
        <v>10</v>
      </c>
      <c r="U7">
        <v>0</v>
      </c>
      <c r="V7" t="b">
        <v>1</v>
      </c>
      <c r="W7">
        <v>11</v>
      </c>
      <c r="X7">
        <v>30</v>
      </c>
      <c r="Y7" t="s">
        <v>5911</v>
      </c>
      <c r="Z7" t="s">
        <v>5911</v>
      </c>
      <c r="AA7" t="s">
        <v>6088</v>
      </c>
      <c r="AB7" t="b">
        <v>0</v>
      </c>
      <c r="AC7">
        <v>0</v>
      </c>
      <c r="AD7">
        <v>5</v>
      </c>
      <c r="AE7">
        <v>2</v>
      </c>
      <c r="AF7" t="s">
        <v>6215</v>
      </c>
      <c r="AG7">
        <v>0</v>
      </c>
      <c r="AH7">
        <v>262</v>
      </c>
      <c r="AI7">
        <v>317</v>
      </c>
      <c r="AJ7">
        <v>10</v>
      </c>
      <c r="AK7">
        <v>0</v>
      </c>
      <c r="AL7">
        <v>116</v>
      </c>
      <c r="AM7">
        <v>0</v>
      </c>
      <c r="AN7">
        <v>0</v>
      </c>
      <c r="AO7">
        <v>136</v>
      </c>
      <c r="AP7">
        <v>2</v>
      </c>
      <c r="AQ7">
        <v>2</v>
      </c>
      <c r="AR7">
        <v>0</v>
      </c>
      <c r="AS7">
        <v>0</v>
      </c>
      <c r="AT7">
        <v>3</v>
      </c>
      <c r="AU7">
        <v>3</v>
      </c>
      <c r="AV7">
        <v>25</v>
      </c>
      <c r="AW7">
        <v>0</v>
      </c>
      <c r="AX7">
        <v>16</v>
      </c>
      <c r="AY7">
        <v>31</v>
      </c>
      <c r="AZ7" t="b">
        <v>1</v>
      </c>
      <c r="BA7" t="s">
        <v>6210</v>
      </c>
      <c r="BB7" t="s">
        <v>6210</v>
      </c>
      <c r="BC7" t="s">
        <v>6210</v>
      </c>
      <c r="BD7">
        <v>15</v>
      </c>
      <c r="BE7">
        <v>0</v>
      </c>
      <c r="BF7" t="b">
        <v>1</v>
      </c>
      <c r="BG7">
        <v>8</v>
      </c>
      <c r="BH7">
        <v>35</v>
      </c>
      <c r="BI7" t="s">
        <v>5911</v>
      </c>
      <c r="BJ7" t="s">
        <v>6213</v>
      </c>
      <c r="BK7" t="s">
        <v>6211</v>
      </c>
      <c r="BL7" t="b">
        <v>0</v>
      </c>
      <c r="BM7">
        <v>1</v>
      </c>
      <c r="BN7">
        <v>0</v>
      </c>
      <c r="BO7">
        <v>1</v>
      </c>
      <c r="BP7" t="s">
        <v>6215</v>
      </c>
      <c r="BQ7">
        <v>0</v>
      </c>
      <c r="BR7">
        <v>119</v>
      </c>
      <c r="BS7">
        <v>184</v>
      </c>
      <c r="BT7">
        <v>0</v>
      </c>
      <c r="BU7">
        <v>10</v>
      </c>
      <c r="BV7">
        <v>11</v>
      </c>
      <c r="BW7">
        <v>0</v>
      </c>
      <c r="BX7">
        <v>10</v>
      </c>
      <c r="BY7">
        <v>108</v>
      </c>
      <c r="BZ7">
        <v>2</v>
      </c>
      <c r="CA7">
        <v>2</v>
      </c>
      <c r="CB7">
        <v>3</v>
      </c>
      <c r="CC7">
        <v>3</v>
      </c>
      <c r="CD7">
        <v>0</v>
      </c>
      <c r="CE7">
        <v>1</v>
      </c>
      <c r="CF7">
        <v>30</v>
      </c>
    </row>
    <row r="8" spans="1:84">
      <c r="A8">
        <v>7</v>
      </c>
      <c r="B8" t="s">
        <v>6508</v>
      </c>
      <c r="C8">
        <v>1740</v>
      </c>
      <c r="D8">
        <v>571</v>
      </c>
      <c r="E8">
        <v>6333</v>
      </c>
      <c r="F8">
        <v>2785</v>
      </c>
      <c r="G8">
        <v>2170</v>
      </c>
      <c r="H8">
        <v>7127</v>
      </c>
      <c r="I8">
        <v>274</v>
      </c>
      <c r="J8">
        <v>309</v>
      </c>
      <c r="K8">
        <v>1523116929</v>
      </c>
      <c r="L8">
        <v>1523116769</v>
      </c>
      <c r="M8">
        <v>0</v>
      </c>
      <c r="N8">
        <v>0</v>
      </c>
      <c r="O8">
        <v>15</v>
      </c>
      <c r="P8" t="b">
        <v>0</v>
      </c>
      <c r="Q8" t="s">
        <v>6210</v>
      </c>
      <c r="R8" t="s">
        <v>6210</v>
      </c>
      <c r="S8" t="s">
        <v>6210</v>
      </c>
      <c r="T8">
        <v>15</v>
      </c>
      <c r="U8">
        <v>0</v>
      </c>
      <c r="V8" t="b">
        <v>0</v>
      </c>
      <c r="W8">
        <v>0</v>
      </c>
      <c r="X8">
        <v>40</v>
      </c>
      <c r="Y8" t="s">
        <v>6211</v>
      </c>
      <c r="Z8" t="s">
        <v>6211</v>
      </c>
      <c r="AA8" t="s">
        <v>6088</v>
      </c>
      <c r="AB8" t="b">
        <v>0</v>
      </c>
      <c r="AC8">
        <v>1</v>
      </c>
      <c r="AD8">
        <v>55</v>
      </c>
      <c r="AE8">
        <v>0</v>
      </c>
      <c r="AF8" t="s">
        <v>6215</v>
      </c>
      <c r="AG8">
        <v>1</v>
      </c>
      <c r="AH8">
        <v>149</v>
      </c>
      <c r="AI8">
        <v>204</v>
      </c>
      <c r="AJ8">
        <v>0</v>
      </c>
      <c r="AK8">
        <v>0</v>
      </c>
      <c r="AL8">
        <v>32</v>
      </c>
      <c r="AM8">
        <v>0</v>
      </c>
      <c r="AN8">
        <v>0</v>
      </c>
      <c r="AO8">
        <v>117</v>
      </c>
      <c r="AP8">
        <v>0</v>
      </c>
      <c r="AQ8">
        <v>0</v>
      </c>
      <c r="AR8">
        <v>0</v>
      </c>
      <c r="AS8">
        <v>0</v>
      </c>
      <c r="AT8">
        <v>3</v>
      </c>
      <c r="AU8">
        <v>3</v>
      </c>
      <c r="AV8">
        <v>15</v>
      </c>
      <c r="AW8">
        <v>0</v>
      </c>
      <c r="AX8">
        <v>22</v>
      </c>
      <c r="AY8">
        <v>37</v>
      </c>
      <c r="AZ8" t="b">
        <v>1</v>
      </c>
      <c r="BA8" t="s">
        <v>6210</v>
      </c>
      <c r="BB8" t="s">
        <v>6210</v>
      </c>
      <c r="BC8" t="s">
        <v>6210</v>
      </c>
      <c r="BD8">
        <v>15</v>
      </c>
      <c r="BE8">
        <v>0</v>
      </c>
      <c r="BF8" t="b">
        <v>1</v>
      </c>
      <c r="BG8">
        <v>11</v>
      </c>
      <c r="BH8">
        <v>40</v>
      </c>
      <c r="BI8" t="s">
        <v>6088</v>
      </c>
      <c r="BJ8" t="s">
        <v>6211</v>
      </c>
      <c r="BK8" t="s">
        <v>6211</v>
      </c>
      <c r="BL8" t="b">
        <v>0</v>
      </c>
      <c r="BM8">
        <v>1</v>
      </c>
      <c r="BN8">
        <v>30</v>
      </c>
      <c r="BO8">
        <v>3</v>
      </c>
      <c r="BP8" t="s">
        <v>6215</v>
      </c>
      <c r="BQ8">
        <v>2</v>
      </c>
      <c r="BR8">
        <v>157</v>
      </c>
      <c r="BS8">
        <v>242</v>
      </c>
      <c r="BT8">
        <v>0</v>
      </c>
      <c r="BU8">
        <v>10</v>
      </c>
      <c r="BV8">
        <v>11</v>
      </c>
      <c r="BW8">
        <v>10</v>
      </c>
      <c r="BX8">
        <v>0</v>
      </c>
      <c r="BY8">
        <v>136</v>
      </c>
      <c r="BZ8">
        <v>3</v>
      </c>
      <c r="CA8">
        <v>3</v>
      </c>
      <c r="CB8">
        <v>2</v>
      </c>
      <c r="CC8">
        <v>3</v>
      </c>
      <c r="CD8">
        <v>3</v>
      </c>
      <c r="CE8">
        <v>3</v>
      </c>
      <c r="CF8">
        <v>45</v>
      </c>
    </row>
    <row r="9" spans="1:84">
      <c r="A9">
        <v>8</v>
      </c>
      <c r="B9" t="s">
        <v>6509</v>
      </c>
      <c r="C9">
        <v>3182</v>
      </c>
      <c r="D9">
        <v>3464</v>
      </c>
      <c r="E9">
        <v>230</v>
      </c>
      <c r="F9">
        <v>999</v>
      </c>
      <c r="G9">
        <v>5129</v>
      </c>
      <c r="H9">
        <v>181</v>
      </c>
      <c r="I9">
        <v>290</v>
      </c>
      <c r="J9">
        <v>279</v>
      </c>
      <c r="K9">
        <v>1523117320</v>
      </c>
      <c r="L9">
        <v>1523117222</v>
      </c>
      <c r="M9">
        <v>0</v>
      </c>
      <c r="N9">
        <v>12</v>
      </c>
      <c r="O9">
        <v>27</v>
      </c>
      <c r="P9" t="b">
        <v>1</v>
      </c>
      <c r="Q9" t="s">
        <v>6210</v>
      </c>
      <c r="R9" t="s">
        <v>6210</v>
      </c>
      <c r="S9" t="s">
        <v>6210</v>
      </c>
      <c r="T9">
        <v>15</v>
      </c>
      <c r="U9">
        <v>2</v>
      </c>
      <c r="V9" t="b">
        <v>1</v>
      </c>
      <c r="W9">
        <v>4</v>
      </c>
      <c r="X9">
        <v>65</v>
      </c>
      <c r="Y9" t="s">
        <v>6088</v>
      </c>
      <c r="Z9" t="s">
        <v>6211</v>
      </c>
      <c r="AA9" t="s">
        <v>6213</v>
      </c>
      <c r="AB9" t="b">
        <v>0</v>
      </c>
      <c r="AC9">
        <v>1</v>
      </c>
      <c r="AD9">
        <v>0</v>
      </c>
      <c r="AE9">
        <v>3</v>
      </c>
      <c r="AF9" t="s">
        <v>6214</v>
      </c>
      <c r="AG9">
        <v>0</v>
      </c>
      <c r="AH9">
        <v>173</v>
      </c>
      <c r="AI9">
        <v>263</v>
      </c>
      <c r="AJ9">
        <v>10</v>
      </c>
      <c r="AK9">
        <v>0</v>
      </c>
      <c r="AL9">
        <v>94</v>
      </c>
      <c r="AM9">
        <v>0</v>
      </c>
      <c r="AN9">
        <v>0</v>
      </c>
      <c r="AO9">
        <v>69</v>
      </c>
      <c r="AP9">
        <v>2</v>
      </c>
      <c r="AQ9">
        <v>2</v>
      </c>
      <c r="AR9">
        <v>0</v>
      </c>
      <c r="AS9">
        <v>0</v>
      </c>
      <c r="AT9">
        <v>3</v>
      </c>
      <c r="AU9">
        <v>3</v>
      </c>
      <c r="AV9">
        <v>25</v>
      </c>
      <c r="AW9">
        <v>0</v>
      </c>
      <c r="AX9">
        <v>24</v>
      </c>
      <c r="AY9">
        <v>39</v>
      </c>
      <c r="AZ9" t="b">
        <v>1</v>
      </c>
      <c r="BA9" t="s">
        <v>6210</v>
      </c>
      <c r="BB9" t="s">
        <v>6210</v>
      </c>
      <c r="BC9" t="s">
        <v>6210</v>
      </c>
      <c r="BD9">
        <v>15</v>
      </c>
      <c r="BE9">
        <v>3</v>
      </c>
      <c r="BF9" t="b">
        <v>1</v>
      </c>
      <c r="BG9">
        <v>9</v>
      </c>
      <c r="BH9">
        <v>40</v>
      </c>
      <c r="BI9" t="s">
        <v>6211</v>
      </c>
      <c r="BJ9" t="s">
        <v>6088</v>
      </c>
      <c r="BK9" t="s">
        <v>6211</v>
      </c>
      <c r="BL9" t="b">
        <v>0</v>
      </c>
      <c r="BM9">
        <v>0</v>
      </c>
      <c r="BN9">
        <v>5</v>
      </c>
      <c r="BO9">
        <v>1</v>
      </c>
      <c r="BP9" t="s">
        <v>6214</v>
      </c>
      <c r="BQ9">
        <v>0</v>
      </c>
      <c r="BR9">
        <v>150</v>
      </c>
      <c r="BS9">
        <v>235</v>
      </c>
      <c r="BT9">
        <v>0</v>
      </c>
      <c r="BU9">
        <v>8</v>
      </c>
      <c r="BV9">
        <v>14</v>
      </c>
      <c r="BW9">
        <v>0</v>
      </c>
      <c r="BX9">
        <v>8</v>
      </c>
      <c r="BY9">
        <v>136</v>
      </c>
      <c r="BZ9">
        <v>2</v>
      </c>
      <c r="CA9">
        <v>3</v>
      </c>
      <c r="CB9">
        <v>3</v>
      </c>
      <c r="CC9">
        <v>3</v>
      </c>
      <c r="CD9">
        <v>3</v>
      </c>
      <c r="CE9">
        <v>3</v>
      </c>
      <c r="CF9">
        <v>45</v>
      </c>
    </row>
    <row r="10" spans="1:84">
      <c r="A10">
        <v>9</v>
      </c>
      <c r="B10" t="s">
        <v>6510</v>
      </c>
      <c r="C10">
        <v>2067</v>
      </c>
      <c r="D10">
        <v>3146</v>
      </c>
      <c r="E10">
        <v>1027</v>
      </c>
      <c r="F10">
        <v>5746</v>
      </c>
      <c r="G10">
        <v>2064</v>
      </c>
      <c r="H10">
        <v>6811</v>
      </c>
      <c r="I10">
        <v>388</v>
      </c>
      <c r="J10">
        <v>173</v>
      </c>
      <c r="K10">
        <v>1523117733</v>
      </c>
      <c r="L10">
        <v>1523117563</v>
      </c>
      <c r="M10">
        <v>0</v>
      </c>
      <c r="N10">
        <v>0</v>
      </c>
      <c r="O10">
        <v>10</v>
      </c>
      <c r="P10" t="b">
        <v>0</v>
      </c>
      <c r="Q10" t="s">
        <v>6210</v>
      </c>
      <c r="R10" t="s">
        <v>6210</v>
      </c>
      <c r="S10" t="s">
        <v>5911</v>
      </c>
      <c r="T10">
        <v>10</v>
      </c>
      <c r="U10">
        <v>0</v>
      </c>
      <c r="V10" t="b">
        <v>0</v>
      </c>
      <c r="W10">
        <v>0</v>
      </c>
      <c r="X10">
        <v>40</v>
      </c>
      <c r="Y10" t="s">
        <v>6211</v>
      </c>
      <c r="Z10" t="s">
        <v>6211</v>
      </c>
      <c r="AA10" t="s">
        <v>6088</v>
      </c>
      <c r="AB10" t="b">
        <v>0</v>
      </c>
      <c r="AC10">
        <v>2</v>
      </c>
      <c r="AD10">
        <v>50</v>
      </c>
      <c r="AE10">
        <v>2</v>
      </c>
      <c r="AF10" t="s">
        <v>6216</v>
      </c>
      <c r="AG10">
        <v>0</v>
      </c>
      <c r="AH10">
        <v>243</v>
      </c>
      <c r="AI10">
        <v>328</v>
      </c>
      <c r="AJ10">
        <v>10</v>
      </c>
      <c r="AK10">
        <v>10</v>
      </c>
      <c r="AL10">
        <v>97</v>
      </c>
      <c r="AM10">
        <v>10</v>
      </c>
      <c r="AN10">
        <v>10</v>
      </c>
      <c r="AO10">
        <v>126</v>
      </c>
      <c r="AP10">
        <v>3</v>
      </c>
      <c r="AQ10">
        <v>3</v>
      </c>
      <c r="AR10">
        <v>3</v>
      </c>
      <c r="AS10">
        <v>3</v>
      </c>
      <c r="AT10">
        <v>3</v>
      </c>
      <c r="AU10">
        <v>3</v>
      </c>
      <c r="AV10">
        <v>45</v>
      </c>
      <c r="AW10">
        <v>0</v>
      </c>
      <c r="AX10">
        <v>8</v>
      </c>
      <c r="AY10">
        <v>23</v>
      </c>
      <c r="AZ10" t="b">
        <v>1</v>
      </c>
      <c r="BA10" t="s">
        <v>6210</v>
      </c>
      <c r="BB10" t="s">
        <v>6210</v>
      </c>
      <c r="BC10" t="s">
        <v>6210</v>
      </c>
      <c r="BD10">
        <v>15</v>
      </c>
      <c r="BE10">
        <v>0</v>
      </c>
      <c r="BF10" t="b">
        <v>1</v>
      </c>
      <c r="BG10">
        <v>4</v>
      </c>
      <c r="BH10">
        <v>40</v>
      </c>
      <c r="BI10" t="s">
        <v>6088</v>
      </c>
      <c r="BJ10" t="s">
        <v>6211</v>
      </c>
      <c r="BK10" t="s">
        <v>6211</v>
      </c>
      <c r="BL10" t="b">
        <v>0</v>
      </c>
      <c r="BM10">
        <v>0</v>
      </c>
      <c r="BN10">
        <v>10</v>
      </c>
      <c r="BO10">
        <v>1</v>
      </c>
      <c r="BP10" t="s">
        <v>6216</v>
      </c>
      <c r="BQ10">
        <v>2</v>
      </c>
      <c r="BR10">
        <v>55</v>
      </c>
      <c r="BS10">
        <v>140</v>
      </c>
      <c r="BT10">
        <v>0</v>
      </c>
      <c r="BU10">
        <v>10</v>
      </c>
      <c r="BV10">
        <v>15</v>
      </c>
      <c r="BW10">
        <v>0</v>
      </c>
      <c r="BX10">
        <v>10</v>
      </c>
      <c r="BY10">
        <v>40</v>
      </c>
      <c r="BZ10">
        <v>3</v>
      </c>
      <c r="CA10">
        <v>3</v>
      </c>
      <c r="CB10">
        <v>3</v>
      </c>
      <c r="CC10">
        <v>3</v>
      </c>
      <c r="CD10">
        <v>3</v>
      </c>
      <c r="CE10">
        <v>3</v>
      </c>
      <c r="CF10">
        <v>45</v>
      </c>
    </row>
    <row r="11" spans="1:84">
      <c r="A11">
        <v>10</v>
      </c>
      <c r="B11" t="s">
        <v>6518</v>
      </c>
      <c r="C11">
        <v>195</v>
      </c>
      <c r="D11">
        <v>236</v>
      </c>
      <c r="E11">
        <v>176</v>
      </c>
      <c r="F11">
        <v>4987</v>
      </c>
      <c r="G11">
        <v>7153</v>
      </c>
      <c r="H11">
        <v>6333</v>
      </c>
      <c r="I11">
        <v>454</v>
      </c>
      <c r="J11">
        <v>30</v>
      </c>
      <c r="K11">
        <v>1523118194</v>
      </c>
      <c r="L11">
        <v>1523118001</v>
      </c>
      <c r="M11">
        <v>0</v>
      </c>
      <c r="N11">
        <v>42</v>
      </c>
      <c r="O11">
        <v>57</v>
      </c>
      <c r="P11" t="b">
        <v>1</v>
      </c>
      <c r="Q11" t="s">
        <v>6210</v>
      </c>
      <c r="R11" t="s">
        <v>6210</v>
      </c>
      <c r="S11" t="s">
        <v>6210</v>
      </c>
      <c r="T11">
        <v>15</v>
      </c>
      <c r="U11">
        <v>10</v>
      </c>
      <c r="V11" t="b">
        <v>1</v>
      </c>
      <c r="W11">
        <v>11</v>
      </c>
      <c r="X11">
        <v>35</v>
      </c>
      <c r="Y11" t="s">
        <v>6211</v>
      </c>
      <c r="Z11" t="s">
        <v>6088</v>
      </c>
      <c r="AA11" t="s">
        <v>5911</v>
      </c>
      <c r="AB11" t="b">
        <v>0</v>
      </c>
      <c r="AC11">
        <v>1</v>
      </c>
      <c r="AD11">
        <v>25</v>
      </c>
      <c r="AE11">
        <v>3</v>
      </c>
      <c r="AF11" t="s">
        <v>6212</v>
      </c>
      <c r="AG11">
        <v>0</v>
      </c>
      <c r="AH11">
        <v>292</v>
      </c>
      <c r="AI11">
        <v>372</v>
      </c>
      <c r="AJ11">
        <v>10</v>
      </c>
      <c r="AK11">
        <v>10</v>
      </c>
      <c r="AL11">
        <v>136</v>
      </c>
      <c r="AM11">
        <v>10</v>
      </c>
      <c r="AN11">
        <v>10</v>
      </c>
      <c r="AO11">
        <v>136</v>
      </c>
      <c r="AP11">
        <v>3</v>
      </c>
      <c r="AQ11">
        <v>3</v>
      </c>
      <c r="AR11">
        <v>3</v>
      </c>
      <c r="AS11">
        <v>3</v>
      </c>
      <c r="AT11">
        <v>3</v>
      </c>
      <c r="AU11">
        <v>3</v>
      </c>
      <c r="AV11">
        <v>45</v>
      </c>
      <c r="AW11">
        <v>0</v>
      </c>
      <c r="AX11">
        <v>0</v>
      </c>
      <c r="AY11">
        <v>15</v>
      </c>
      <c r="AZ11" t="b">
        <v>0</v>
      </c>
      <c r="BA11" t="s">
        <v>6210</v>
      </c>
      <c r="BB11" t="s">
        <v>6210</v>
      </c>
      <c r="BC11" t="s">
        <v>6210</v>
      </c>
      <c r="BD11">
        <v>15</v>
      </c>
      <c r="BE11">
        <v>0</v>
      </c>
      <c r="BF11" t="b">
        <v>0</v>
      </c>
      <c r="BG11">
        <v>0</v>
      </c>
      <c r="BH11">
        <v>10</v>
      </c>
      <c r="BI11" t="s">
        <v>6211</v>
      </c>
      <c r="BJ11" t="s">
        <v>6211</v>
      </c>
      <c r="BK11" t="s">
        <v>5911</v>
      </c>
      <c r="BL11" t="b">
        <v>0</v>
      </c>
      <c r="BM11">
        <v>0</v>
      </c>
      <c r="BN11">
        <v>5</v>
      </c>
      <c r="BO11">
        <v>0</v>
      </c>
      <c r="BP11" t="s">
        <v>6212</v>
      </c>
      <c r="BQ11">
        <v>1</v>
      </c>
      <c r="BR11">
        <v>0</v>
      </c>
      <c r="BS11">
        <v>10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</row>
    <row r="12" spans="1:84">
      <c r="A12">
        <v>11</v>
      </c>
      <c r="B12" t="s">
        <v>6545</v>
      </c>
      <c r="C12">
        <v>155</v>
      </c>
      <c r="D12">
        <v>1085</v>
      </c>
      <c r="E12">
        <v>190</v>
      </c>
      <c r="F12">
        <v>5142</v>
      </c>
      <c r="G12">
        <v>839</v>
      </c>
      <c r="H12">
        <v>2785</v>
      </c>
      <c r="I12">
        <v>394</v>
      </c>
      <c r="J12">
        <v>260</v>
      </c>
      <c r="K12">
        <v>1523118760</v>
      </c>
      <c r="L12">
        <v>1523118601</v>
      </c>
      <c r="M12">
        <v>0</v>
      </c>
      <c r="N12">
        <v>36</v>
      </c>
      <c r="O12">
        <v>51</v>
      </c>
      <c r="P12" t="b">
        <v>1</v>
      </c>
      <c r="Q12" t="s">
        <v>6210</v>
      </c>
      <c r="R12" t="s">
        <v>6210</v>
      </c>
      <c r="S12" t="s">
        <v>6210</v>
      </c>
      <c r="T12">
        <v>15</v>
      </c>
      <c r="U12">
        <v>7</v>
      </c>
      <c r="V12" t="b">
        <v>1</v>
      </c>
      <c r="W12">
        <v>11</v>
      </c>
      <c r="X12">
        <v>35</v>
      </c>
      <c r="Y12" t="s">
        <v>5911</v>
      </c>
      <c r="Z12" t="s">
        <v>6211</v>
      </c>
      <c r="AA12" t="s">
        <v>6088</v>
      </c>
      <c r="AB12" t="b">
        <v>0</v>
      </c>
      <c r="AC12">
        <v>3</v>
      </c>
      <c r="AD12">
        <v>30</v>
      </c>
      <c r="AE12">
        <v>3</v>
      </c>
      <c r="AF12" t="s">
        <v>6215</v>
      </c>
      <c r="AG12">
        <v>0</v>
      </c>
      <c r="AH12">
        <v>263</v>
      </c>
      <c r="AI12">
        <v>313</v>
      </c>
      <c r="AJ12">
        <v>0</v>
      </c>
      <c r="AK12">
        <v>0</v>
      </c>
      <c r="AL12">
        <v>127</v>
      </c>
      <c r="AM12">
        <v>0</v>
      </c>
      <c r="AN12">
        <v>0</v>
      </c>
      <c r="AO12">
        <v>136</v>
      </c>
      <c r="AP12">
        <v>0</v>
      </c>
      <c r="AQ12">
        <v>0</v>
      </c>
      <c r="AR12">
        <v>0</v>
      </c>
      <c r="AS12">
        <v>0</v>
      </c>
      <c r="AT12">
        <v>3</v>
      </c>
      <c r="AU12">
        <v>3</v>
      </c>
      <c r="AV12">
        <v>15</v>
      </c>
      <c r="AW12">
        <v>0</v>
      </c>
      <c r="AX12">
        <v>0</v>
      </c>
      <c r="AY12">
        <v>15</v>
      </c>
      <c r="AZ12" t="b">
        <v>0</v>
      </c>
      <c r="BA12" t="s">
        <v>6210</v>
      </c>
      <c r="BB12" t="s">
        <v>6210</v>
      </c>
      <c r="BC12" t="s">
        <v>6210</v>
      </c>
      <c r="BD12">
        <v>15</v>
      </c>
      <c r="BE12">
        <v>0</v>
      </c>
      <c r="BF12" t="b">
        <v>0</v>
      </c>
      <c r="BG12">
        <v>0</v>
      </c>
      <c r="BH12">
        <v>60</v>
      </c>
      <c r="BI12" t="s">
        <v>5911</v>
      </c>
      <c r="BJ12" t="s">
        <v>6213</v>
      </c>
      <c r="BK12" t="s">
        <v>6088</v>
      </c>
      <c r="BL12" t="b">
        <v>0</v>
      </c>
      <c r="BM12">
        <v>1</v>
      </c>
      <c r="BN12">
        <v>15</v>
      </c>
      <c r="BO12">
        <v>0</v>
      </c>
      <c r="BP12" t="s">
        <v>6215</v>
      </c>
      <c r="BQ12">
        <v>1</v>
      </c>
      <c r="BR12">
        <v>135</v>
      </c>
      <c r="BS12">
        <v>230</v>
      </c>
      <c r="BT12">
        <v>0</v>
      </c>
      <c r="BU12">
        <v>10</v>
      </c>
      <c r="BV12">
        <v>11</v>
      </c>
      <c r="BW12">
        <v>10</v>
      </c>
      <c r="BX12">
        <v>10</v>
      </c>
      <c r="BY12">
        <v>114</v>
      </c>
      <c r="BZ12">
        <v>1</v>
      </c>
      <c r="CA12">
        <v>1</v>
      </c>
      <c r="CB12">
        <v>3</v>
      </c>
      <c r="CC12">
        <v>3</v>
      </c>
      <c r="CD12">
        <v>3</v>
      </c>
      <c r="CE12">
        <v>3</v>
      </c>
      <c r="CF12">
        <v>35</v>
      </c>
    </row>
    <row r="13" spans="1:84">
      <c r="A13">
        <v>12</v>
      </c>
      <c r="B13" t="s">
        <v>6546</v>
      </c>
      <c r="C13">
        <v>571</v>
      </c>
      <c r="D13">
        <v>6895</v>
      </c>
      <c r="E13">
        <v>3634</v>
      </c>
      <c r="F13">
        <v>175</v>
      </c>
      <c r="G13">
        <v>1991</v>
      </c>
      <c r="H13">
        <v>5686</v>
      </c>
      <c r="I13">
        <v>50</v>
      </c>
      <c r="J13">
        <v>430</v>
      </c>
      <c r="K13">
        <v>1523119086</v>
      </c>
      <c r="L13">
        <v>1523118962</v>
      </c>
      <c r="M13">
        <v>0</v>
      </c>
      <c r="N13">
        <v>0</v>
      </c>
      <c r="O13">
        <v>10</v>
      </c>
      <c r="P13" t="b">
        <v>0</v>
      </c>
      <c r="Q13" t="s">
        <v>6210</v>
      </c>
      <c r="R13" t="s">
        <v>6210</v>
      </c>
      <c r="S13" t="s">
        <v>5911</v>
      </c>
      <c r="T13">
        <v>10</v>
      </c>
      <c r="U13">
        <v>0</v>
      </c>
      <c r="V13" t="b">
        <v>0</v>
      </c>
      <c r="W13">
        <v>0</v>
      </c>
      <c r="X13">
        <v>35</v>
      </c>
      <c r="Y13" t="s">
        <v>6213</v>
      </c>
      <c r="Z13" t="s">
        <v>6211</v>
      </c>
      <c r="AA13" t="s">
        <v>5911</v>
      </c>
      <c r="AB13" t="b">
        <v>0</v>
      </c>
      <c r="AC13">
        <v>4</v>
      </c>
      <c r="AD13">
        <v>0</v>
      </c>
      <c r="AE13">
        <v>0</v>
      </c>
      <c r="AF13" t="s">
        <v>6216</v>
      </c>
      <c r="AG13">
        <v>0</v>
      </c>
      <c r="AH13">
        <v>0</v>
      </c>
      <c r="AI13">
        <v>40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1</v>
      </c>
      <c r="AV13">
        <v>5</v>
      </c>
      <c r="AW13">
        <v>0</v>
      </c>
      <c r="AX13">
        <v>18</v>
      </c>
      <c r="AY13">
        <v>33</v>
      </c>
      <c r="AZ13" t="b">
        <v>1</v>
      </c>
      <c r="BA13" t="s">
        <v>6210</v>
      </c>
      <c r="BB13" t="s">
        <v>6210</v>
      </c>
      <c r="BC13" t="s">
        <v>6210</v>
      </c>
      <c r="BD13">
        <v>15</v>
      </c>
      <c r="BE13">
        <v>0</v>
      </c>
      <c r="BF13" t="b">
        <v>1</v>
      </c>
      <c r="BG13">
        <v>9</v>
      </c>
      <c r="BH13">
        <v>65</v>
      </c>
      <c r="BI13" t="s">
        <v>6213</v>
      </c>
      <c r="BJ13" t="s">
        <v>6211</v>
      </c>
      <c r="BK13" t="s">
        <v>6088</v>
      </c>
      <c r="BL13" t="b">
        <v>0</v>
      </c>
      <c r="BM13">
        <v>0</v>
      </c>
      <c r="BN13">
        <v>20</v>
      </c>
      <c r="BO13">
        <v>3</v>
      </c>
      <c r="BP13" t="s">
        <v>6216</v>
      </c>
      <c r="BQ13">
        <v>0</v>
      </c>
      <c r="BR13">
        <v>267</v>
      </c>
      <c r="BS13">
        <v>377</v>
      </c>
      <c r="BT13">
        <v>10</v>
      </c>
      <c r="BU13">
        <v>10</v>
      </c>
      <c r="BV13">
        <v>121</v>
      </c>
      <c r="BW13">
        <v>0</v>
      </c>
      <c r="BX13">
        <v>10</v>
      </c>
      <c r="BY13">
        <v>136</v>
      </c>
      <c r="BZ13">
        <v>2</v>
      </c>
      <c r="CA13">
        <v>3</v>
      </c>
      <c r="CB13">
        <v>3</v>
      </c>
      <c r="CC13">
        <v>3</v>
      </c>
      <c r="CD13">
        <v>3</v>
      </c>
      <c r="CE13">
        <v>3</v>
      </c>
      <c r="CF13">
        <v>45</v>
      </c>
    </row>
    <row r="14" spans="1:84">
      <c r="A14">
        <v>13</v>
      </c>
      <c r="B14" t="s">
        <v>6547</v>
      </c>
      <c r="C14">
        <v>7127</v>
      </c>
      <c r="D14">
        <v>173</v>
      </c>
      <c r="E14">
        <v>3654</v>
      </c>
      <c r="F14">
        <v>6346</v>
      </c>
      <c r="G14">
        <v>6812</v>
      </c>
      <c r="H14">
        <v>1973</v>
      </c>
      <c r="I14">
        <v>395</v>
      </c>
      <c r="J14">
        <v>213</v>
      </c>
      <c r="K14">
        <v>1523119527</v>
      </c>
      <c r="L14">
        <v>1523119327</v>
      </c>
      <c r="M14">
        <v>0</v>
      </c>
      <c r="N14">
        <v>12</v>
      </c>
      <c r="O14">
        <v>27</v>
      </c>
      <c r="P14" t="b">
        <v>1</v>
      </c>
      <c r="Q14" t="s">
        <v>6210</v>
      </c>
      <c r="R14" t="s">
        <v>6210</v>
      </c>
      <c r="S14" t="s">
        <v>6210</v>
      </c>
      <c r="T14">
        <v>15</v>
      </c>
      <c r="U14">
        <v>0</v>
      </c>
      <c r="V14" t="b">
        <v>1</v>
      </c>
      <c r="W14">
        <v>6</v>
      </c>
      <c r="X14">
        <v>40</v>
      </c>
      <c r="Y14" t="s">
        <v>6088</v>
      </c>
      <c r="Z14" t="s">
        <v>6211</v>
      </c>
      <c r="AA14" t="s">
        <v>6211</v>
      </c>
      <c r="AB14" t="b">
        <v>0</v>
      </c>
      <c r="AC14">
        <v>0</v>
      </c>
      <c r="AD14">
        <v>0</v>
      </c>
      <c r="AE14">
        <v>3</v>
      </c>
      <c r="AF14" t="s">
        <v>6212</v>
      </c>
      <c r="AG14">
        <v>0</v>
      </c>
      <c r="AH14">
        <v>283</v>
      </c>
      <c r="AI14">
        <v>368</v>
      </c>
      <c r="AJ14">
        <v>10</v>
      </c>
      <c r="AK14">
        <v>10</v>
      </c>
      <c r="AL14">
        <v>127</v>
      </c>
      <c r="AM14">
        <v>10</v>
      </c>
      <c r="AN14">
        <v>10</v>
      </c>
      <c r="AO14">
        <v>136</v>
      </c>
      <c r="AP14">
        <v>3</v>
      </c>
      <c r="AQ14">
        <v>3</v>
      </c>
      <c r="AR14">
        <v>3</v>
      </c>
      <c r="AS14">
        <v>3</v>
      </c>
      <c r="AT14">
        <v>3</v>
      </c>
      <c r="AU14">
        <v>3</v>
      </c>
      <c r="AV14">
        <v>45</v>
      </c>
      <c r="AW14">
        <v>0</v>
      </c>
      <c r="AX14">
        <v>0</v>
      </c>
      <c r="AY14">
        <v>15</v>
      </c>
      <c r="AZ14" t="b">
        <v>0</v>
      </c>
      <c r="BA14" t="s">
        <v>6210</v>
      </c>
      <c r="BB14" t="s">
        <v>6210</v>
      </c>
      <c r="BC14" t="s">
        <v>6210</v>
      </c>
      <c r="BD14">
        <v>15</v>
      </c>
      <c r="BE14">
        <v>0</v>
      </c>
      <c r="BF14" t="b">
        <v>0</v>
      </c>
      <c r="BG14">
        <v>0</v>
      </c>
      <c r="BH14">
        <v>40</v>
      </c>
      <c r="BI14" t="s">
        <v>6211</v>
      </c>
      <c r="BJ14" t="s">
        <v>6211</v>
      </c>
      <c r="BK14" t="s">
        <v>6088</v>
      </c>
      <c r="BL14" t="b">
        <v>0</v>
      </c>
      <c r="BM14">
        <v>0</v>
      </c>
      <c r="BN14">
        <v>0</v>
      </c>
      <c r="BO14">
        <v>0</v>
      </c>
      <c r="BP14" t="s">
        <v>6212</v>
      </c>
      <c r="BQ14">
        <v>0</v>
      </c>
      <c r="BR14">
        <v>133</v>
      </c>
      <c r="BS14">
        <v>198</v>
      </c>
      <c r="BT14">
        <v>0</v>
      </c>
      <c r="BU14">
        <v>0</v>
      </c>
      <c r="BV14">
        <v>1</v>
      </c>
      <c r="BW14">
        <v>0</v>
      </c>
      <c r="BX14">
        <v>0</v>
      </c>
      <c r="BY14">
        <v>132</v>
      </c>
      <c r="BZ14">
        <v>0</v>
      </c>
      <c r="CA14">
        <v>0</v>
      </c>
      <c r="CB14">
        <v>2</v>
      </c>
      <c r="CC14">
        <v>2</v>
      </c>
      <c r="CD14">
        <v>3</v>
      </c>
      <c r="CE14">
        <v>3</v>
      </c>
      <c r="CF14">
        <v>25</v>
      </c>
    </row>
    <row r="15" spans="1:84">
      <c r="A15">
        <v>14</v>
      </c>
      <c r="B15" t="s">
        <v>6548</v>
      </c>
      <c r="C15">
        <v>2170</v>
      </c>
      <c r="D15">
        <v>230</v>
      </c>
      <c r="E15">
        <v>177</v>
      </c>
      <c r="F15">
        <v>558</v>
      </c>
      <c r="G15">
        <v>2836</v>
      </c>
      <c r="H15">
        <v>6811</v>
      </c>
      <c r="I15">
        <v>484</v>
      </c>
      <c r="J15">
        <v>171</v>
      </c>
      <c r="K15">
        <v>1523120014</v>
      </c>
      <c r="L15">
        <v>1523119802</v>
      </c>
      <c r="M15">
        <v>0</v>
      </c>
      <c r="N15">
        <v>26</v>
      </c>
      <c r="O15">
        <v>41</v>
      </c>
      <c r="P15" t="b">
        <v>1</v>
      </c>
      <c r="Q15" t="s">
        <v>6210</v>
      </c>
      <c r="R15" t="s">
        <v>6210</v>
      </c>
      <c r="S15" t="s">
        <v>6210</v>
      </c>
      <c r="T15">
        <v>15</v>
      </c>
      <c r="U15">
        <v>2</v>
      </c>
      <c r="V15" t="b">
        <v>1</v>
      </c>
      <c r="W15">
        <v>11</v>
      </c>
      <c r="X15">
        <v>90</v>
      </c>
      <c r="Y15" t="s">
        <v>6088</v>
      </c>
      <c r="Z15" t="s">
        <v>6213</v>
      </c>
      <c r="AA15" t="s">
        <v>6213</v>
      </c>
      <c r="AB15" t="b">
        <v>1</v>
      </c>
      <c r="AC15">
        <v>2</v>
      </c>
      <c r="AD15">
        <v>30</v>
      </c>
      <c r="AE15">
        <v>4</v>
      </c>
      <c r="AF15" t="s">
        <v>6212</v>
      </c>
      <c r="AG15">
        <v>0</v>
      </c>
      <c r="AH15">
        <v>283</v>
      </c>
      <c r="AI15">
        <v>413</v>
      </c>
      <c r="AJ15">
        <v>10</v>
      </c>
      <c r="AK15">
        <v>10</v>
      </c>
      <c r="AL15">
        <v>127</v>
      </c>
      <c r="AM15">
        <v>10</v>
      </c>
      <c r="AN15">
        <v>0</v>
      </c>
      <c r="AO15">
        <v>136</v>
      </c>
      <c r="AP15">
        <v>3</v>
      </c>
      <c r="AQ15">
        <v>3</v>
      </c>
      <c r="AR15">
        <v>2</v>
      </c>
      <c r="AS15">
        <v>2</v>
      </c>
      <c r="AT15">
        <v>3</v>
      </c>
      <c r="AU15">
        <v>3</v>
      </c>
      <c r="AV15">
        <v>40</v>
      </c>
      <c r="AW15">
        <v>0</v>
      </c>
      <c r="AX15">
        <v>6</v>
      </c>
      <c r="AY15">
        <v>11</v>
      </c>
      <c r="AZ15" t="b">
        <v>0</v>
      </c>
      <c r="BA15" t="s">
        <v>5911</v>
      </c>
      <c r="BB15" t="s">
        <v>6210</v>
      </c>
      <c r="BC15" t="s">
        <v>5911</v>
      </c>
      <c r="BD15">
        <v>5</v>
      </c>
      <c r="BE15">
        <v>3</v>
      </c>
      <c r="BF15" t="b">
        <v>0</v>
      </c>
      <c r="BG15">
        <v>0</v>
      </c>
      <c r="BH15">
        <v>65</v>
      </c>
      <c r="BI15" t="s">
        <v>6211</v>
      </c>
      <c r="BJ15" t="s">
        <v>6213</v>
      </c>
      <c r="BK15" t="s">
        <v>6088</v>
      </c>
      <c r="BL15" t="b">
        <v>0</v>
      </c>
      <c r="BM15">
        <v>1</v>
      </c>
      <c r="BN15">
        <v>10</v>
      </c>
      <c r="BO15">
        <v>0</v>
      </c>
      <c r="BP15" t="s">
        <v>6212</v>
      </c>
      <c r="BQ15">
        <v>1</v>
      </c>
      <c r="BR15">
        <v>40</v>
      </c>
      <c r="BS15">
        <v>150</v>
      </c>
      <c r="BT15">
        <v>0</v>
      </c>
      <c r="BU15">
        <v>10</v>
      </c>
      <c r="BV15">
        <v>11</v>
      </c>
      <c r="BW15">
        <v>0</v>
      </c>
      <c r="BX15">
        <v>10</v>
      </c>
      <c r="BY15">
        <v>29</v>
      </c>
      <c r="BZ15">
        <v>3</v>
      </c>
      <c r="CA15">
        <v>3</v>
      </c>
      <c r="CB15">
        <v>3</v>
      </c>
      <c r="CC15">
        <v>3</v>
      </c>
      <c r="CD15">
        <v>3</v>
      </c>
      <c r="CE15">
        <v>3</v>
      </c>
      <c r="CF15">
        <v>45</v>
      </c>
    </row>
    <row r="16" spans="1:84">
      <c r="A16">
        <v>15</v>
      </c>
      <c r="B16" t="s">
        <v>6549</v>
      </c>
      <c r="C16">
        <v>2067</v>
      </c>
      <c r="D16">
        <v>236</v>
      </c>
      <c r="E16">
        <v>5746</v>
      </c>
      <c r="F16">
        <v>5686</v>
      </c>
      <c r="G16">
        <v>3634</v>
      </c>
      <c r="H16">
        <v>176</v>
      </c>
      <c r="I16">
        <v>232</v>
      </c>
      <c r="J16">
        <v>419</v>
      </c>
      <c r="K16">
        <v>1523120456</v>
      </c>
      <c r="L16">
        <v>1523120181</v>
      </c>
      <c r="M16">
        <v>0</v>
      </c>
      <c r="N16">
        <v>20</v>
      </c>
      <c r="O16">
        <v>35</v>
      </c>
      <c r="P16" t="b">
        <v>1</v>
      </c>
      <c r="Q16" t="s">
        <v>6210</v>
      </c>
      <c r="R16" t="s">
        <v>6210</v>
      </c>
      <c r="S16" t="s">
        <v>6210</v>
      </c>
      <c r="T16">
        <v>15</v>
      </c>
      <c r="U16">
        <v>0</v>
      </c>
      <c r="V16" t="b">
        <v>1</v>
      </c>
      <c r="W16">
        <v>10</v>
      </c>
      <c r="X16">
        <v>40</v>
      </c>
      <c r="Y16" t="s">
        <v>6211</v>
      </c>
      <c r="Z16" t="s">
        <v>6211</v>
      </c>
      <c r="AA16" t="s">
        <v>6088</v>
      </c>
      <c r="AB16" t="b">
        <v>0</v>
      </c>
      <c r="AC16">
        <v>1</v>
      </c>
      <c r="AD16">
        <v>0</v>
      </c>
      <c r="AE16">
        <v>1</v>
      </c>
      <c r="AF16" t="s">
        <v>6215</v>
      </c>
      <c r="AG16">
        <v>0</v>
      </c>
      <c r="AH16">
        <v>132</v>
      </c>
      <c r="AI16">
        <v>197</v>
      </c>
      <c r="AJ16">
        <v>0</v>
      </c>
      <c r="AK16">
        <v>0</v>
      </c>
      <c r="AL16">
        <v>0</v>
      </c>
      <c r="AM16">
        <v>0</v>
      </c>
      <c r="AN16">
        <v>10</v>
      </c>
      <c r="AO16">
        <v>132</v>
      </c>
      <c r="AP16">
        <v>0</v>
      </c>
      <c r="AQ16">
        <v>0</v>
      </c>
      <c r="AR16">
        <v>1</v>
      </c>
      <c r="AS16">
        <v>2</v>
      </c>
      <c r="AT16">
        <v>3</v>
      </c>
      <c r="AU16">
        <v>3</v>
      </c>
      <c r="AV16">
        <v>25</v>
      </c>
      <c r="AW16">
        <v>0</v>
      </c>
      <c r="AX16">
        <v>24</v>
      </c>
      <c r="AY16">
        <v>39</v>
      </c>
      <c r="AZ16" t="b">
        <v>1</v>
      </c>
      <c r="BA16" t="s">
        <v>6210</v>
      </c>
      <c r="BB16" t="s">
        <v>6210</v>
      </c>
      <c r="BC16" t="s">
        <v>6210</v>
      </c>
      <c r="BD16">
        <v>15</v>
      </c>
      <c r="BE16">
        <v>1</v>
      </c>
      <c r="BF16" t="b">
        <v>1</v>
      </c>
      <c r="BG16">
        <v>11</v>
      </c>
      <c r="BH16">
        <v>65</v>
      </c>
      <c r="BI16" t="s">
        <v>6088</v>
      </c>
      <c r="BJ16" t="s">
        <v>6211</v>
      </c>
      <c r="BK16" t="s">
        <v>6213</v>
      </c>
      <c r="BL16" t="b">
        <v>0</v>
      </c>
      <c r="BM16">
        <v>0</v>
      </c>
      <c r="BN16">
        <v>5</v>
      </c>
      <c r="BO16">
        <v>3</v>
      </c>
      <c r="BP16" t="s">
        <v>6215</v>
      </c>
      <c r="BQ16">
        <v>0</v>
      </c>
      <c r="BR16">
        <v>270</v>
      </c>
      <c r="BS16">
        <v>375</v>
      </c>
      <c r="BT16">
        <v>10</v>
      </c>
      <c r="BU16">
        <v>10</v>
      </c>
      <c r="BV16">
        <v>126</v>
      </c>
      <c r="BW16">
        <v>10</v>
      </c>
      <c r="BX16">
        <v>0</v>
      </c>
      <c r="BY16">
        <v>124</v>
      </c>
      <c r="BZ16">
        <v>3</v>
      </c>
      <c r="CA16">
        <v>3</v>
      </c>
      <c r="CB16">
        <v>2</v>
      </c>
      <c r="CC16">
        <v>2</v>
      </c>
      <c r="CD16">
        <v>3</v>
      </c>
      <c r="CE16">
        <v>3</v>
      </c>
      <c r="CF16">
        <v>40</v>
      </c>
    </row>
    <row r="17" spans="1:84">
      <c r="A17">
        <v>16</v>
      </c>
      <c r="B17" t="s">
        <v>6550</v>
      </c>
      <c r="C17">
        <v>571</v>
      </c>
      <c r="D17">
        <v>7153</v>
      </c>
      <c r="E17">
        <v>999</v>
      </c>
      <c r="F17">
        <v>3654</v>
      </c>
      <c r="G17">
        <v>5142</v>
      </c>
      <c r="H17">
        <v>2064</v>
      </c>
      <c r="I17">
        <v>344</v>
      </c>
      <c r="J17">
        <v>155</v>
      </c>
      <c r="K17">
        <v>1523120851</v>
      </c>
      <c r="L17">
        <v>1523120642</v>
      </c>
      <c r="M17">
        <v>0</v>
      </c>
      <c r="N17">
        <v>14</v>
      </c>
      <c r="O17">
        <v>24</v>
      </c>
      <c r="P17" t="b">
        <v>0</v>
      </c>
      <c r="Q17" t="s">
        <v>6210</v>
      </c>
      <c r="R17" t="s">
        <v>6210</v>
      </c>
      <c r="S17" t="s">
        <v>5911</v>
      </c>
      <c r="T17">
        <v>10</v>
      </c>
      <c r="U17">
        <v>7</v>
      </c>
      <c r="V17" t="b">
        <v>0</v>
      </c>
      <c r="W17">
        <v>0</v>
      </c>
      <c r="X17">
        <v>60</v>
      </c>
      <c r="Y17" t="s">
        <v>6213</v>
      </c>
      <c r="Z17" t="s">
        <v>6088</v>
      </c>
      <c r="AA17" t="s">
        <v>5911</v>
      </c>
      <c r="AB17" t="b">
        <v>0</v>
      </c>
      <c r="AC17">
        <v>1</v>
      </c>
      <c r="AD17">
        <v>0</v>
      </c>
      <c r="AE17">
        <v>2</v>
      </c>
      <c r="AF17" t="s">
        <v>6215</v>
      </c>
      <c r="AG17">
        <v>1</v>
      </c>
      <c r="AH17">
        <v>225</v>
      </c>
      <c r="AI17">
        <v>320</v>
      </c>
      <c r="AJ17">
        <v>5</v>
      </c>
      <c r="AK17">
        <v>0</v>
      </c>
      <c r="AL17">
        <v>82</v>
      </c>
      <c r="AM17">
        <v>10</v>
      </c>
      <c r="AN17">
        <v>0</v>
      </c>
      <c r="AO17">
        <v>128</v>
      </c>
      <c r="AP17">
        <v>3</v>
      </c>
      <c r="AQ17">
        <v>3</v>
      </c>
      <c r="AR17">
        <v>0</v>
      </c>
      <c r="AS17">
        <v>1</v>
      </c>
      <c r="AT17">
        <v>3</v>
      </c>
      <c r="AU17">
        <v>3</v>
      </c>
      <c r="AV17">
        <v>35</v>
      </c>
      <c r="AW17">
        <v>0</v>
      </c>
      <c r="AX17">
        <v>0</v>
      </c>
      <c r="AY17">
        <v>10</v>
      </c>
      <c r="AZ17" t="b">
        <v>0</v>
      </c>
      <c r="BA17" t="s">
        <v>6210</v>
      </c>
      <c r="BB17" t="s">
        <v>6210</v>
      </c>
      <c r="BC17" t="s">
        <v>5911</v>
      </c>
      <c r="BD17">
        <v>10</v>
      </c>
      <c r="BE17">
        <v>0</v>
      </c>
      <c r="BF17" t="b">
        <v>0</v>
      </c>
      <c r="BG17">
        <v>0</v>
      </c>
      <c r="BH17">
        <v>35</v>
      </c>
      <c r="BI17" t="s">
        <v>6088</v>
      </c>
      <c r="BJ17" t="s">
        <v>6211</v>
      </c>
      <c r="BK17" t="s">
        <v>5911</v>
      </c>
      <c r="BL17" t="b">
        <v>0</v>
      </c>
      <c r="BM17">
        <v>0</v>
      </c>
      <c r="BN17">
        <v>30</v>
      </c>
      <c r="BO17">
        <v>0</v>
      </c>
      <c r="BP17" t="s">
        <v>6215</v>
      </c>
      <c r="BQ17">
        <v>0</v>
      </c>
      <c r="BR17">
        <v>45</v>
      </c>
      <c r="BS17">
        <v>115</v>
      </c>
      <c r="BT17">
        <v>0</v>
      </c>
      <c r="BU17">
        <v>10</v>
      </c>
      <c r="BV17">
        <v>15</v>
      </c>
      <c r="BW17">
        <v>0</v>
      </c>
      <c r="BX17">
        <v>10</v>
      </c>
      <c r="BY17">
        <v>30</v>
      </c>
      <c r="BZ17">
        <v>0</v>
      </c>
      <c r="CA17">
        <v>1</v>
      </c>
      <c r="CB17">
        <v>3</v>
      </c>
      <c r="CC17">
        <v>3</v>
      </c>
      <c r="CD17">
        <v>3</v>
      </c>
      <c r="CE17">
        <v>3</v>
      </c>
      <c r="CF17">
        <v>35</v>
      </c>
    </row>
    <row r="18" spans="1:84">
      <c r="A18">
        <v>17</v>
      </c>
      <c r="B18" t="s">
        <v>6551</v>
      </c>
      <c r="C18">
        <v>177</v>
      </c>
      <c r="D18">
        <v>558</v>
      </c>
      <c r="E18">
        <v>839</v>
      </c>
      <c r="F18">
        <v>155</v>
      </c>
      <c r="G18">
        <v>3182</v>
      </c>
      <c r="H18">
        <v>4987</v>
      </c>
      <c r="I18">
        <v>513</v>
      </c>
      <c r="J18">
        <v>284</v>
      </c>
      <c r="K18">
        <v>1523121300</v>
      </c>
      <c r="L18">
        <v>1523121122</v>
      </c>
      <c r="M18">
        <v>0</v>
      </c>
      <c r="N18">
        <v>20</v>
      </c>
      <c r="O18">
        <v>35</v>
      </c>
      <c r="P18" t="b">
        <v>1</v>
      </c>
      <c r="Q18" t="s">
        <v>6210</v>
      </c>
      <c r="R18" t="s">
        <v>6210</v>
      </c>
      <c r="S18" t="s">
        <v>6210</v>
      </c>
      <c r="T18">
        <v>15</v>
      </c>
      <c r="U18">
        <v>0</v>
      </c>
      <c r="V18" t="b">
        <v>1</v>
      </c>
      <c r="W18">
        <v>10</v>
      </c>
      <c r="X18">
        <v>90</v>
      </c>
      <c r="Y18" t="s">
        <v>6213</v>
      </c>
      <c r="Z18" t="s">
        <v>6088</v>
      </c>
      <c r="AA18" t="s">
        <v>6213</v>
      </c>
      <c r="AB18" t="b">
        <v>1</v>
      </c>
      <c r="AC18">
        <v>1</v>
      </c>
      <c r="AD18">
        <v>80</v>
      </c>
      <c r="AE18">
        <v>4</v>
      </c>
      <c r="AF18" t="s">
        <v>6214</v>
      </c>
      <c r="AG18">
        <v>0</v>
      </c>
      <c r="AH18">
        <v>263</v>
      </c>
      <c r="AI18">
        <v>398</v>
      </c>
      <c r="AJ18">
        <v>10</v>
      </c>
      <c r="AK18">
        <v>10</v>
      </c>
      <c r="AL18">
        <v>110</v>
      </c>
      <c r="AM18">
        <v>10</v>
      </c>
      <c r="AN18">
        <v>10</v>
      </c>
      <c r="AO18">
        <v>133</v>
      </c>
      <c r="AP18">
        <v>3</v>
      </c>
      <c r="AQ18">
        <v>3</v>
      </c>
      <c r="AR18">
        <v>3</v>
      </c>
      <c r="AS18">
        <v>3</v>
      </c>
      <c r="AT18">
        <v>3</v>
      </c>
      <c r="AU18">
        <v>3</v>
      </c>
      <c r="AV18">
        <v>45</v>
      </c>
      <c r="AW18">
        <v>0</v>
      </c>
      <c r="AX18">
        <v>22</v>
      </c>
      <c r="AY18">
        <v>37</v>
      </c>
      <c r="AZ18" t="b">
        <v>1</v>
      </c>
      <c r="BA18" t="s">
        <v>6210</v>
      </c>
      <c r="BB18" t="s">
        <v>6210</v>
      </c>
      <c r="BC18" t="s">
        <v>6210</v>
      </c>
      <c r="BD18">
        <v>15</v>
      </c>
      <c r="BE18">
        <v>0</v>
      </c>
      <c r="BF18" t="b">
        <v>1</v>
      </c>
      <c r="BG18">
        <v>11</v>
      </c>
      <c r="BH18">
        <v>40</v>
      </c>
      <c r="BI18" t="s">
        <v>6211</v>
      </c>
      <c r="BJ18" t="s">
        <v>6088</v>
      </c>
      <c r="BK18" t="s">
        <v>6211</v>
      </c>
      <c r="BL18" t="b">
        <v>0</v>
      </c>
      <c r="BM18">
        <v>1</v>
      </c>
      <c r="BN18">
        <v>5</v>
      </c>
      <c r="BO18">
        <v>1</v>
      </c>
      <c r="BP18" t="s">
        <v>6214</v>
      </c>
      <c r="BQ18">
        <v>3</v>
      </c>
      <c r="BR18">
        <v>157</v>
      </c>
      <c r="BS18">
        <v>242</v>
      </c>
      <c r="BT18">
        <v>0</v>
      </c>
      <c r="BU18">
        <v>10</v>
      </c>
      <c r="BV18">
        <v>11</v>
      </c>
      <c r="BW18">
        <v>10</v>
      </c>
      <c r="BX18">
        <v>10</v>
      </c>
      <c r="BY18">
        <v>136</v>
      </c>
      <c r="BZ18">
        <v>3</v>
      </c>
      <c r="CA18">
        <v>3</v>
      </c>
      <c r="CB18">
        <v>3</v>
      </c>
      <c r="CC18">
        <v>3</v>
      </c>
      <c r="CD18">
        <v>3</v>
      </c>
      <c r="CE18">
        <v>3</v>
      </c>
      <c r="CF18">
        <v>45</v>
      </c>
    </row>
    <row r="19" spans="1:84">
      <c r="A19">
        <v>18</v>
      </c>
      <c r="B19" t="s">
        <v>6552</v>
      </c>
      <c r="C19">
        <v>3146</v>
      </c>
      <c r="D19">
        <v>3464</v>
      </c>
      <c r="E19">
        <v>6895</v>
      </c>
      <c r="F19">
        <v>2785</v>
      </c>
      <c r="G19">
        <v>195</v>
      </c>
      <c r="H19">
        <v>1085</v>
      </c>
      <c r="I19">
        <v>282</v>
      </c>
      <c r="J19">
        <v>421</v>
      </c>
      <c r="K19">
        <v>1523124670</v>
      </c>
      <c r="L19">
        <v>1523124426</v>
      </c>
      <c r="M19">
        <v>0</v>
      </c>
      <c r="N19">
        <v>16</v>
      </c>
      <c r="O19">
        <v>31</v>
      </c>
      <c r="P19" t="b">
        <v>1</v>
      </c>
      <c r="Q19" t="s">
        <v>6210</v>
      </c>
      <c r="R19" t="s">
        <v>6210</v>
      </c>
      <c r="S19" t="s">
        <v>6210</v>
      </c>
      <c r="T19">
        <v>15</v>
      </c>
      <c r="U19">
        <v>0</v>
      </c>
      <c r="V19" t="b">
        <v>1</v>
      </c>
      <c r="W19">
        <v>8</v>
      </c>
      <c r="X19">
        <v>65</v>
      </c>
      <c r="Y19" t="s">
        <v>6213</v>
      </c>
      <c r="Z19" t="s">
        <v>6211</v>
      </c>
      <c r="AA19" t="s">
        <v>6088</v>
      </c>
      <c r="AB19" t="b">
        <v>0</v>
      </c>
      <c r="AC19">
        <v>1</v>
      </c>
      <c r="AD19">
        <v>15</v>
      </c>
      <c r="AE19">
        <v>1</v>
      </c>
      <c r="AF19" t="s">
        <v>6215</v>
      </c>
      <c r="AG19">
        <v>0</v>
      </c>
      <c r="AH19">
        <v>146</v>
      </c>
      <c r="AI19">
        <v>236</v>
      </c>
      <c r="AJ19">
        <v>0</v>
      </c>
      <c r="AK19">
        <v>10</v>
      </c>
      <c r="AL19">
        <v>11</v>
      </c>
      <c r="AM19">
        <v>0</v>
      </c>
      <c r="AN19">
        <v>0</v>
      </c>
      <c r="AO19">
        <v>135</v>
      </c>
      <c r="AP19">
        <v>0</v>
      </c>
      <c r="AQ19">
        <v>0</v>
      </c>
      <c r="AR19">
        <v>2</v>
      </c>
      <c r="AS19">
        <v>2</v>
      </c>
      <c r="AT19">
        <v>3</v>
      </c>
      <c r="AU19">
        <v>3</v>
      </c>
      <c r="AV19">
        <v>25</v>
      </c>
      <c r="AW19">
        <v>0</v>
      </c>
      <c r="AX19">
        <v>8</v>
      </c>
      <c r="AY19">
        <v>23</v>
      </c>
      <c r="AZ19" t="b">
        <v>1</v>
      </c>
      <c r="BA19" t="s">
        <v>6210</v>
      </c>
      <c r="BB19" t="s">
        <v>6210</v>
      </c>
      <c r="BC19" t="s">
        <v>6210</v>
      </c>
      <c r="BD19">
        <v>15</v>
      </c>
      <c r="BE19">
        <v>0</v>
      </c>
      <c r="BF19" t="b">
        <v>1</v>
      </c>
      <c r="BG19">
        <v>4</v>
      </c>
      <c r="BH19">
        <v>90</v>
      </c>
      <c r="BI19" t="s">
        <v>6213</v>
      </c>
      <c r="BJ19" t="s">
        <v>6213</v>
      </c>
      <c r="BK19" t="s">
        <v>6088</v>
      </c>
      <c r="BL19" t="b">
        <v>1</v>
      </c>
      <c r="BM19">
        <v>3</v>
      </c>
      <c r="BN19">
        <v>5</v>
      </c>
      <c r="BO19">
        <v>4</v>
      </c>
      <c r="BP19" t="s">
        <v>6215</v>
      </c>
      <c r="BQ19">
        <v>0</v>
      </c>
      <c r="BR19">
        <v>268</v>
      </c>
      <c r="BS19">
        <v>393</v>
      </c>
      <c r="BT19">
        <v>10</v>
      </c>
      <c r="BU19">
        <v>0</v>
      </c>
      <c r="BV19">
        <v>112</v>
      </c>
      <c r="BW19">
        <v>10</v>
      </c>
      <c r="BX19">
        <v>0</v>
      </c>
      <c r="BY19">
        <v>136</v>
      </c>
      <c r="BZ19">
        <v>3</v>
      </c>
      <c r="CA19">
        <v>3</v>
      </c>
      <c r="CB19">
        <v>0</v>
      </c>
      <c r="CC19">
        <v>1</v>
      </c>
      <c r="CD19">
        <v>3</v>
      </c>
      <c r="CE19">
        <v>3</v>
      </c>
      <c r="CF19">
        <v>35</v>
      </c>
    </row>
    <row r="20" spans="1:84">
      <c r="A20">
        <v>19</v>
      </c>
      <c r="B20" t="s">
        <v>6553</v>
      </c>
      <c r="C20">
        <v>181</v>
      </c>
      <c r="D20">
        <v>1991</v>
      </c>
      <c r="E20">
        <v>6333</v>
      </c>
      <c r="F20">
        <v>173</v>
      </c>
      <c r="G20">
        <v>1740</v>
      </c>
      <c r="H20">
        <v>2836</v>
      </c>
      <c r="I20">
        <v>279</v>
      </c>
      <c r="J20">
        <v>357</v>
      </c>
      <c r="K20">
        <v>1523125080</v>
      </c>
      <c r="L20">
        <v>1523124903</v>
      </c>
      <c r="M20">
        <v>0</v>
      </c>
      <c r="N20">
        <v>16</v>
      </c>
      <c r="O20">
        <v>31</v>
      </c>
      <c r="P20" t="b">
        <v>0</v>
      </c>
      <c r="Q20" t="s">
        <v>6210</v>
      </c>
      <c r="R20" t="s">
        <v>6210</v>
      </c>
      <c r="S20" t="s">
        <v>6210</v>
      </c>
      <c r="T20">
        <v>15</v>
      </c>
      <c r="U20">
        <v>8</v>
      </c>
      <c r="V20" t="b">
        <v>0</v>
      </c>
      <c r="W20">
        <v>0</v>
      </c>
      <c r="X20">
        <v>65</v>
      </c>
      <c r="Y20" t="s">
        <v>6213</v>
      </c>
      <c r="Z20" t="s">
        <v>6211</v>
      </c>
      <c r="AA20" t="s">
        <v>6088</v>
      </c>
      <c r="AB20" t="b">
        <v>0</v>
      </c>
      <c r="AC20">
        <v>1</v>
      </c>
      <c r="AD20">
        <v>10</v>
      </c>
      <c r="AE20">
        <v>0</v>
      </c>
      <c r="AF20" t="s">
        <v>6215</v>
      </c>
      <c r="AG20">
        <v>0</v>
      </c>
      <c r="AH20">
        <v>148</v>
      </c>
      <c r="AI20">
        <v>238</v>
      </c>
      <c r="AJ20">
        <v>0</v>
      </c>
      <c r="AK20">
        <v>2</v>
      </c>
      <c r="AL20">
        <v>17</v>
      </c>
      <c r="AM20">
        <v>0</v>
      </c>
      <c r="AN20">
        <v>0</v>
      </c>
      <c r="AO20">
        <v>131</v>
      </c>
      <c r="AP20">
        <v>0</v>
      </c>
      <c r="AQ20">
        <v>0</v>
      </c>
      <c r="AR20">
        <v>2</v>
      </c>
      <c r="AS20">
        <v>2</v>
      </c>
      <c r="AT20">
        <v>3</v>
      </c>
      <c r="AU20">
        <v>3</v>
      </c>
      <c r="AV20">
        <v>25</v>
      </c>
      <c r="AW20">
        <v>0</v>
      </c>
      <c r="AX20">
        <v>14</v>
      </c>
      <c r="AY20">
        <v>29</v>
      </c>
      <c r="AZ20" t="b">
        <v>1</v>
      </c>
      <c r="BA20" t="s">
        <v>6210</v>
      </c>
      <c r="BB20" t="s">
        <v>6210</v>
      </c>
      <c r="BC20" t="s">
        <v>6210</v>
      </c>
      <c r="BD20">
        <v>15</v>
      </c>
      <c r="BE20">
        <v>0</v>
      </c>
      <c r="BF20" t="b">
        <v>1</v>
      </c>
      <c r="BG20">
        <v>7</v>
      </c>
      <c r="BH20">
        <v>40</v>
      </c>
      <c r="BI20" t="s">
        <v>6088</v>
      </c>
      <c r="BJ20" t="s">
        <v>6211</v>
      </c>
      <c r="BK20" t="s">
        <v>6211</v>
      </c>
      <c r="BL20" t="b">
        <v>0</v>
      </c>
      <c r="BM20">
        <v>2</v>
      </c>
      <c r="BN20">
        <v>5</v>
      </c>
      <c r="BO20">
        <v>3</v>
      </c>
      <c r="BP20" t="s">
        <v>6215</v>
      </c>
      <c r="BQ20">
        <v>0</v>
      </c>
      <c r="BR20">
        <v>253</v>
      </c>
      <c r="BS20">
        <v>323</v>
      </c>
      <c r="BT20">
        <v>9</v>
      </c>
      <c r="BU20">
        <v>0</v>
      </c>
      <c r="BV20">
        <v>101</v>
      </c>
      <c r="BW20">
        <v>10</v>
      </c>
      <c r="BX20">
        <v>0</v>
      </c>
      <c r="BY20">
        <v>133</v>
      </c>
      <c r="BZ20">
        <v>3</v>
      </c>
      <c r="CA20">
        <v>3</v>
      </c>
      <c r="CB20">
        <v>0</v>
      </c>
      <c r="CC20">
        <v>0</v>
      </c>
      <c r="CD20">
        <v>3</v>
      </c>
      <c r="CE20">
        <v>3</v>
      </c>
      <c r="CF20">
        <v>30</v>
      </c>
    </row>
    <row r="21" spans="1:84">
      <c r="A21">
        <v>20</v>
      </c>
      <c r="B21" t="s">
        <v>6554</v>
      </c>
      <c r="C21">
        <v>190</v>
      </c>
      <c r="D21">
        <v>1027</v>
      </c>
      <c r="E21">
        <v>2170</v>
      </c>
      <c r="F21">
        <v>5129</v>
      </c>
      <c r="G21">
        <v>6346</v>
      </c>
      <c r="H21">
        <v>7127</v>
      </c>
      <c r="I21">
        <v>367</v>
      </c>
      <c r="J21">
        <v>228</v>
      </c>
      <c r="K21">
        <v>1523125610</v>
      </c>
      <c r="L21">
        <v>1523125502</v>
      </c>
      <c r="M21">
        <v>0</v>
      </c>
      <c r="N21">
        <v>22</v>
      </c>
      <c r="O21">
        <v>32</v>
      </c>
      <c r="P21" t="b">
        <v>0</v>
      </c>
      <c r="Q21" t="s">
        <v>6210</v>
      </c>
      <c r="R21" t="s">
        <v>5911</v>
      </c>
      <c r="S21" t="s">
        <v>6210</v>
      </c>
      <c r="T21">
        <v>10</v>
      </c>
      <c r="U21">
        <v>0</v>
      </c>
      <c r="V21" t="b">
        <v>1</v>
      </c>
      <c r="W21">
        <v>11</v>
      </c>
      <c r="X21">
        <v>30</v>
      </c>
      <c r="Y21" t="s">
        <v>5911</v>
      </c>
      <c r="Z21" t="s">
        <v>6088</v>
      </c>
      <c r="AA21" t="s">
        <v>5911</v>
      </c>
      <c r="AB21" t="b">
        <v>0</v>
      </c>
      <c r="AC21">
        <v>2</v>
      </c>
      <c r="AD21">
        <v>15</v>
      </c>
      <c r="AE21">
        <v>2</v>
      </c>
      <c r="AF21" t="s">
        <v>6214</v>
      </c>
      <c r="AG21">
        <v>0</v>
      </c>
      <c r="AH21">
        <v>255</v>
      </c>
      <c r="AI21">
        <v>320</v>
      </c>
      <c r="AJ21">
        <v>10</v>
      </c>
      <c r="AK21">
        <v>0</v>
      </c>
      <c r="AL21">
        <v>99</v>
      </c>
      <c r="AM21">
        <v>10</v>
      </c>
      <c r="AN21">
        <v>0</v>
      </c>
      <c r="AO21">
        <v>136</v>
      </c>
      <c r="AP21">
        <v>3</v>
      </c>
      <c r="AQ21">
        <v>3</v>
      </c>
      <c r="AR21">
        <v>0</v>
      </c>
      <c r="AS21">
        <v>1</v>
      </c>
      <c r="AT21">
        <v>3</v>
      </c>
      <c r="AU21">
        <v>3</v>
      </c>
      <c r="AV21">
        <v>35</v>
      </c>
      <c r="AW21">
        <v>0</v>
      </c>
      <c r="AX21">
        <v>18</v>
      </c>
      <c r="AY21">
        <v>33</v>
      </c>
      <c r="AZ21" t="b">
        <v>1</v>
      </c>
      <c r="BA21" t="s">
        <v>6210</v>
      </c>
      <c r="BB21" t="s">
        <v>6210</v>
      </c>
      <c r="BC21" t="s">
        <v>6210</v>
      </c>
      <c r="BD21">
        <v>15</v>
      </c>
      <c r="BE21">
        <v>0</v>
      </c>
      <c r="BF21" t="b">
        <v>1</v>
      </c>
      <c r="BG21">
        <v>9</v>
      </c>
      <c r="BH21">
        <v>40</v>
      </c>
      <c r="BI21" t="s">
        <v>6211</v>
      </c>
      <c r="BJ21" t="s">
        <v>6211</v>
      </c>
      <c r="BK21" t="s">
        <v>6088</v>
      </c>
      <c r="BL21" t="b">
        <v>0</v>
      </c>
      <c r="BM21">
        <v>3</v>
      </c>
      <c r="BN21">
        <v>10</v>
      </c>
      <c r="BO21">
        <v>1</v>
      </c>
      <c r="BP21" t="s">
        <v>6214</v>
      </c>
      <c r="BQ21">
        <v>0</v>
      </c>
      <c r="BR21">
        <v>120</v>
      </c>
      <c r="BS21">
        <v>185</v>
      </c>
      <c r="BT21">
        <v>0</v>
      </c>
      <c r="BU21">
        <v>10</v>
      </c>
      <c r="BV21">
        <v>11</v>
      </c>
      <c r="BW21">
        <v>0</v>
      </c>
      <c r="BX21">
        <v>0</v>
      </c>
      <c r="BY21">
        <v>109</v>
      </c>
      <c r="BZ21">
        <v>0</v>
      </c>
      <c r="CA21">
        <v>0</v>
      </c>
      <c r="CB21">
        <v>2</v>
      </c>
      <c r="CC21">
        <v>2</v>
      </c>
      <c r="CD21">
        <v>3</v>
      </c>
      <c r="CE21">
        <v>3</v>
      </c>
      <c r="CF21">
        <v>25</v>
      </c>
    </row>
    <row r="22" spans="1:84">
      <c r="A22">
        <v>21</v>
      </c>
      <c r="B22" t="s">
        <v>6603</v>
      </c>
      <c r="C22">
        <v>1973</v>
      </c>
      <c r="D22">
        <v>6811</v>
      </c>
      <c r="E22">
        <v>2785</v>
      </c>
      <c r="F22">
        <v>6812</v>
      </c>
      <c r="G22">
        <v>175</v>
      </c>
      <c r="H22">
        <v>2064</v>
      </c>
      <c r="I22">
        <v>188</v>
      </c>
      <c r="J22">
        <v>416</v>
      </c>
      <c r="K22">
        <v>1523126043</v>
      </c>
      <c r="L22">
        <v>1523125863</v>
      </c>
      <c r="M22">
        <v>0</v>
      </c>
      <c r="N22">
        <v>0</v>
      </c>
      <c r="O22">
        <v>15</v>
      </c>
      <c r="P22" t="b">
        <v>0</v>
      </c>
      <c r="Q22" t="s">
        <v>6210</v>
      </c>
      <c r="R22" t="s">
        <v>6210</v>
      </c>
      <c r="S22" t="s">
        <v>6210</v>
      </c>
      <c r="T22">
        <v>15</v>
      </c>
      <c r="U22">
        <v>0</v>
      </c>
      <c r="V22" t="b">
        <v>0</v>
      </c>
      <c r="W22">
        <v>0</v>
      </c>
      <c r="X22">
        <v>10</v>
      </c>
      <c r="Y22" t="s">
        <v>5911</v>
      </c>
      <c r="Z22" t="s">
        <v>6211</v>
      </c>
      <c r="AA22" t="s">
        <v>6211</v>
      </c>
      <c r="AB22" t="b">
        <v>0</v>
      </c>
      <c r="AC22">
        <v>0</v>
      </c>
      <c r="AD22">
        <v>130</v>
      </c>
      <c r="AE22">
        <v>0</v>
      </c>
      <c r="AF22" t="s">
        <v>6215</v>
      </c>
      <c r="AG22">
        <v>0</v>
      </c>
      <c r="AH22">
        <v>23</v>
      </c>
      <c r="AI22">
        <v>43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23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2</v>
      </c>
      <c r="AV22">
        <v>10</v>
      </c>
      <c r="AW22">
        <v>0</v>
      </c>
      <c r="AX22">
        <v>18</v>
      </c>
      <c r="AY22">
        <v>33</v>
      </c>
      <c r="AZ22" t="b">
        <v>1</v>
      </c>
      <c r="BA22" t="s">
        <v>6210</v>
      </c>
      <c r="BB22" t="s">
        <v>6210</v>
      </c>
      <c r="BC22" t="s">
        <v>6210</v>
      </c>
      <c r="BD22">
        <v>15</v>
      </c>
      <c r="BE22">
        <v>0</v>
      </c>
      <c r="BF22" t="b">
        <v>1</v>
      </c>
      <c r="BG22">
        <v>9</v>
      </c>
      <c r="BH22">
        <v>65</v>
      </c>
      <c r="BI22" t="s">
        <v>6088</v>
      </c>
      <c r="BJ22" t="s">
        <v>6213</v>
      </c>
      <c r="BK22" t="s">
        <v>6211</v>
      </c>
      <c r="BL22" t="b">
        <v>0</v>
      </c>
      <c r="BM22">
        <v>21</v>
      </c>
      <c r="BN22">
        <v>0</v>
      </c>
      <c r="BO22">
        <v>3</v>
      </c>
      <c r="BP22" t="s">
        <v>6215</v>
      </c>
      <c r="BQ22">
        <v>1</v>
      </c>
      <c r="BR22">
        <v>273</v>
      </c>
      <c r="BS22">
        <v>383</v>
      </c>
      <c r="BT22">
        <v>10</v>
      </c>
      <c r="BU22">
        <v>10</v>
      </c>
      <c r="BV22">
        <v>117</v>
      </c>
      <c r="BW22">
        <v>10</v>
      </c>
      <c r="BX22">
        <v>10</v>
      </c>
      <c r="BY22">
        <v>136</v>
      </c>
      <c r="BZ22">
        <v>3</v>
      </c>
      <c r="CA22">
        <v>3</v>
      </c>
      <c r="CB22">
        <v>3</v>
      </c>
      <c r="CC22">
        <v>3</v>
      </c>
      <c r="CD22">
        <v>3</v>
      </c>
      <c r="CE22">
        <v>3</v>
      </c>
      <c r="CF22">
        <v>45</v>
      </c>
    </row>
    <row r="23" spans="1:84">
      <c r="A23">
        <v>22</v>
      </c>
      <c r="B23" t="s">
        <v>6604</v>
      </c>
      <c r="C23">
        <v>2836</v>
      </c>
      <c r="D23">
        <v>839</v>
      </c>
      <c r="E23">
        <v>1085</v>
      </c>
      <c r="F23">
        <v>230</v>
      </c>
      <c r="G23">
        <v>3634</v>
      </c>
      <c r="H23">
        <v>181</v>
      </c>
      <c r="I23">
        <v>217</v>
      </c>
      <c r="J23">
        <v>339</v>
      </c>
      <c r="K23">
        <v>1523126466</v>
      </c>
      <c r="L23">
        <v>1523126402</v>
      </c>
      <c r="M23">
        <v>0</v>
      </c>
      <c r="N23">
        <v>8</v>
      </c>
      <c r="O23">
        <v>23</v>
      </c>
      <c r="P23" t="b">
        <v>0</v>
      </c>
      <c r="Q23" t="s">
        <v>6210</v>
      </c>
      <c r="R23" t="s">
        <v>6210</v>
      </c>
      <c r="S23" t="s">
        <v>6210</v>
      </c>
      <c r="T23">
        <v>15</v>
      </c>
      <c r="U23">
        <v>4</v>
      </c>
      <c r="V23" t="b">
        <v>0</v>
      </c>
      <c r="W23">
        <v>0</v>
      </c>
      <c r="X23">
        <v>40</v>
      </c>
      <c r="Y23" t="s">
        <v>6211</v>
      </c>
      <c r="Z23" t="s">
        <v>6211</v>
      </c>
      <c r="AA23" t="s">
        <v>6088</v>
      </c>
      <c r="AB23" t="b">
        <v>0</v>
      </c>
      <c r="AC23">
        <v>0</v>
      </c>
      <c r="AD23">
        <v>5</v>
      </c>
      <c r="AE23">
        <v>0</v>
      </c>
      <c r="AF23" t="s">
        <v>6214</v>
      </c>
      <c r="AG23">
        <v>0</v>
      </c>
      <c r="AH23">
        <v>134</v>
      </c>
      <c r="AI23">
        <v>189</v>
      </c>
      <c r="AJ23">
        <v>0</v>
      </c>
      <c r="AK23">
        <v>0</v>
      </c>
      <c r="AL23">
        <v>6</v>
      </c>
      <c r="AM23">
        <v>0</v>
      </c>
      <c r="AN23">
        <v>0</v>
      </c>
      <c r="AO23">
        <v>128</v>
      </c>
      <c r="AP23">
        <v>0</v>
      </c>
      <c r="AQ23">
        <v>0</v>
      </c>
      <c r="AR23">
        <v>0</v>
      </c>
      <c r="AS23">
        <v>0</v>
      </c>
      <c r="AT23">
        <v>3</v>
      </c>
      <c r="AU23">
        <v>3</v>
      </c>
      <c r="AV23">
        <v>15</v>
      </c>
      <c r="AW23">
        <v>0</v>
      </c>
      <c r="AX23">
        <v>18</v>
      </c>
      <c r="AY23">
        <v>33</v>
      </c>
      <c r="AZ23" t="b">
        <v>1</v>
      </c>
      <c r="BA23" t="s">
        <v>6210</v>
      </c>
      <c r="BB23" t="s">
        <v>6210</v>
      </c>
      <c r="BC23" t="s">
        <v>6210</v>
      </c>
      <c r="BD23">
        <v>15</v>
      </c>
      <c r="BE23">
        <v>1</v>
      </c>
      <c r="BF23" t="b">
        <v>1</v>
      </c>
      <c r="BG23">
        <v>8</v>
      </c>
      <c r="BH23">
        <v>65</v>
      </c>
      <c r="BI23" t="s">
        <v>6213</v>
      </c>
      <c r="BJ23" t="s">
        <v>6088</v>
      </c>
      <c r="BK23" t="s">
        <v>6211</v>
      </c>
      <c r="BL23" t="b">
        <v>0</v>
      </c>
      <c r="BM23">
        <v>1</v>
      </c>
      <c r="BN23">
        <v>0</v>
      </c>
      <c r="BO23">
        <v>3</v>
      </c>
      <c r="BP23" t="s">
        <v>6214</v>
      </c>
      <c r="BQ23">
        <v>0</v>
      </c>
      <c r="BR23">
        <v>206</v>
      </c>
      <c r="BS23">
        <v>306</v>
      </c>
      <c r="BT23">
        <v>0</v>
      </c>
      <c r="BU23">
        <v>0</v>
      </c>
      <c r="BV23">
        <v>60</v>
      </c>
      <c r="BW23">
        <v>10</v>
      </c>
      <c r="BX23">
        <v>0</v>
      </c>
      <c r="BY23">
        <v>136</v>
      </c>
      <c r="BZ23">
        <v>3</v>
      </c>
      <c r="CA23">
        <v>3</v>
      </c>
      <c r="CB23">
        <v>0</v>
      </c>
      <c r="CC23">
        <v>1</v>
      </c>
      <c r="CD23">
        <v>3</v>
      </c>
      <c r="CE23">
        <v>3</v>
      </c>
      <c r="CF23">
        <v>35</v>
      </c>
    </row>
    <row r="24" spans="1:84">
      <c r="A24">
        <v>23</v>
      </c>
      <c r="B24" t="s">
        <v>6605</v>
      </c>
      <c r="C24">
        <v>5142</v>
      </c>
      <c r="D24">
        <v>571</v>
      </c>
      <c r="E24">
        <v>195</v>
      </c>
      <c r="F24">
        <v>1027</v>
      </c>
      <c r="G24">
        <v>3182</v>
      </c>
      <c r="H24">
        <v>7127</v>
      </c>
      <c r="I24">
        <v>431</v>
      </c>
      <c r="J24">
        <v>56</v>
      </c>
      <c r="K24">
        <v>1523126984</v>
      </c>
      <c r="L24">
        <v>1523126891</v>
      </c>
      <c r="M24">
        <v>0</v>
      </c>
      <c r="N24">
        <v>22</v>
      </c>
      <c r="O24">
        <v>37</v>
      </c>
      <c r="P24" t="b">
        <v>1</v>
      </c>
      <c r="Q24" t="s">
        <v>6210</v>
      </c>
      <c r="R24" t="s">
        <v>6210</v>
      </c>
      <c r="S24" t="s">
        <v>6210</v>
      </c>
      <c r="T24">
        <v>15</v>
      </c>
      <c r="U24">
        <v>0</v>
      </c>
      <c r="V24" t="b">
        <v>1</v>
      </c>
      <c r="W24">
        <v>11</v>
      </c>
      <c r="X24">
        <v>30</v>
      </c>
      <c r="Y24" t="s">
        <v>5911</v>
      </c>
      <c r="Z24" t="s">
        <v>6088</v>
      </c>
      <c r="AA24" t="s">
        <v>5911</v>
      </c>
      <c r="AB24" t="b">
        <v>0</v>
      </c>
      <c r="AC24">
        <v>0</v>
      </c>
      <c r="AD24">
        <v>50</v>
      </c>
      <c r="AE24">
        <v>3</v>
      </c>
      <c r="AF24" t="s">
        <v>6216</v>
      </c>
      <c r="AG24">
        <v>0</v>
      </c>
      <c r="AH24">
        <v>279</v>
      </c>
      <c r="AI24">
        <v>344</v>
      </c>
      <c r="AJ24">
        <v>10</v>
      </c>
      <c r="AK24">
        <v>0</v>
      </c>
      <c r="AL24">
        <v>123</v>
      </c>
      <c r="AM24">
        <v>10</v>
      </c>
      <c r="AN24">
        <v>0</v>
      </c>
      <c r="AO24">
        <v>136</v>
      </c>
      <c r="AP24">
        <v>3</v>
      </c>
      <c r="AQ24">
        <v>3</v>
      </c>
      <c r="AR24">
        <v>0</v>
      </c>
      <c r="AS24">
        <v>1</v>
      </c>
      <c r="AT24">
        <v>3</v>
      </c>
      <c r="AU24">
        <v>3</v>
      </c>
      <c r="AV24">
        <v>35</v>
      </c>
      <c r="AW24">
        <v>0</v>
      </c>
      <c r="AX24">
        <v>0</v>
      </c>
      <c r="AY24">
        <v>10</v>
      </c>
      <c r="AZ24" t="b">
        <v>0</v>
      </c>
      <c r="BA24" t="s">
        <v>5911</v>
      </c>
      <c r="BB24" t="s">
        <v>6210</v>
      </c>
      <c r="BC24" t="s">
        <v>6210</v>
      </c>
      <c r="BD24">
        <v>10</v>
      </c>
      <c r="BE24">
        <v>0</v>
      </c>
      <c r="BF24" t="b">
        <v>0</v>
      </c>
      <c r="BG24">
        <v>0</v>
      </c>
      <c r="BH24">
        <v>10</v>
      </c>
      <c r="BI24" t="s">
        <v>5911</v>
      </c>
      <c r="BJ24" t="s">
        <v>6211</v>
      </c>
      <c r="BK24" t="s">
        <v>6211</v>
      </c>
      <c r="BL24" t="b">
        <v>0</v>
      </c>
      <c r="BM24">
        <v>0</v>
      </c>
      <c r="BN24">
        <v>0</v>
      </c>
      <c r="BO24">
        <v>0</v>
      </c>
      <c r="BP24" t="s">
        <v>6216</v>
      </c>
      <c r="BQ24">
        <v>2</v>
      </c>
      <c r="BR24">
        <v>36</v>
      </c>
      <c r="BS24">
        <v>46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36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</row>
    <row r="25" spans="1:84">
      <c r="A25">
        <v>24</v>
      </c>
      <c r="B25" t="s">
        <v>6606</v>
      </c>
      <c r="C25">
        <v>236</v>
      </c>
      <c r="D25">
        <v>4987</v>
      </c>
      <c r="E25">
        <v>175</v>
      </c>
      <c r="F25">
        <v>190</v>
      </c>
      <c r="G25">
        <v>5129</v>
      </c>
      <c r="H25">
        <v>6812</v>
      </c>
      <c r="I25">
        <v>362</v>
      </c>
      <c r="J25">
        <v>185</v>
      </c>
      <c r="K25">
        <v>1523127530</v>
      </c>
      <c r="L25">
        <v>1523127362</v>
      </c>
      <c r="M25">
        <v>0</v>
      </c>
      <c r="N25">
        <v>18</v>
      </c>
      <c r="O25">
        <v>33</v>
      </c>
      <c r="P25" t="b">
        <v>1</v>
      </c>
      <c r="Q25" t="s">
        <v>6210</v>
      </c>
      <c r="R25" t="s">
        <v>6210</v>
      </c>
      <c r="S25" t="s">
        <v>6210</v>
      </c>
      <c r="T25">
        <v>15</v>
      </c>
      <c r="U25">
        <v>0</v>
      </c>
      <c r="V25" t="b">
        <v>1</v>
      </c>
      <c r="W25">
        <v>9</v>
      </c>
      <c r="X25">
        <v>65</v>
      </c>
      <c r="Y25" t="s">
        <v>6213</v>
      </c>
      <c r="Z25" t="s">
        <v>6211</v>
      </c>
      <c r="AA25" t="s">
        <v>6088</v>
      </c>
      <c r="AB25" t="b">
        <v>0</v>
      </c>
      <c r="AC25">
        <v>1</v>
      </c>
      <c r="AD25">
        <v>30</v>
      </c>
      <c r="AE25">
        <v>3</v>
      </c>
      <c r="AF25" t="s">
        <v>6216</v>
      </c>
      <c r="AG25">
        <v>0</v>
      </c>
      <c r="AH25">
        <v>214</v>
      </c>
      <c r="AI25">
        <v>299</v>
      </c>
      <c r="AJ25">
        <v>0</v>
      </c>
      <c r="AK25">
        <v>0</v>
      </c>
      <c r="AL25">
        <v>112</v>
      </c>
      <c r="AM25">
        <v>0</v>
      </c>
      <c r="AN25">
        <v>0</v>
      </c>
      <c r="AO25">
        <v>102</v>
      </c>
      <c r="AP25">
        <v>0</v>
      </c>
      <c r="AQ25">
        <v>1</v>
      </c>
      <c r="AR25">
        <v>0</v>
      </c>
      <c r="AS25">
        <v>0</v>
      </c>
      <c r="AT25">
        <v>3</v>
      </c>
      <c r="AU25">
        <v>3</v>
      </c>
      <c r="AV25">
        <v>20</v>
      </c>
      <c r="AW25">
        <v>0</v>
      </c>
      <c r="AX25">
        <v>8</v>
      </c>
      <c r="AY25">
        <v>18</v>
      </c>
      <c r="AZ25" t="b">
        <v>0</v>
      </c>
      <c r="BA25" t="s">
        <v>6210</v>
      </c>
      <c r="BB25" t="s">
        <v>6210</v>
      </c>
      <c r="BC25" t="s">
        <v>5911</v>
      </c>
      <c r="BD25">
        <v>10</v>
      </c>
      <c r="BE25">
        <v>4</v>
      </c>
      <c r="BF25" t="b">
        <v>0</v>
      </c>
      <c r="BG25">
        <v>0</v>
      </c>
      <c r="BH25">
        <v>35</v>
      </c>
      <c r="BI25" t="s">
        <v>5911</v>
      </c>
      <c r="BJ25" t="s">
        <v>6211</v>
      </c>
      <c r="BK25" t="s">
        <v>6088</v>
      </c>
      <c r="BL25" t="b">
        <v>0</v>
      </c>
      <c r="BM25">
        <v>1</v>
      </c>
      <c r="BN25">
        <v>5</v>
      </c>
      <c r="BO25">
        <v>0</v>
      </c>
      <c r="BP25" t="s">
        <v>6216</v>
      </c>
      <c r="BQ25">
        <v>1</v>
      </c>
      <c r="BR25">
        <v>107</v>
      </c>
      <c r="BS25">
        <v>162</v>
      </c>
      <c r="BT25">
        <v>0</v>
      </c>
      <c r="BU25">
        <v>0</v>
      </c>
      <c r="BV25">
        <v>21</v>
      </c>
      <c r="BW25">
        <v>0</v>
      </c>
      <c r="BX25">
        <v>0</v>
      </c>
      <c r="BY25">
        <v>86</v>
      </c>
      <c r="BZ25">
        <v>0</v>
      </c>
      <c r="CA25">
        <v>1</v>
      </c>
      <c r="CB25">
        <v>0</v>
      </c>
      <c r="CC25">
        <v>0</v>
      </c>
      <c r="CD25">
        <v>3</v>
      </c>
      <c r="CE25">
        <v>3</v>
      </c>
      <c r="CF25">
        <v>20</v>
      </c>
    </row>
    <row r="26" spans="1:84">
      <c r="A26">
        <v>25</v>
      </c>
      <c r="B26" t="s">
        <v>6607</v>
      </c>
      <c r="C26">
        <v>1740</v>
      </c>
      <c r="D26">
        <v>176</v>
      </c>
      <c r="E26">
        <v>6346</v>
      </c>
      <c r="F26">
        <v>5746</v>
      </c>
      <c r="G26">
        <v>155</v>
      </c>
      <c r="H26">
        <v>3146</v>
      </c>
      <c r="I26">
        <v>433</v>
      </c>
      <c r="J26">
        <v>234</v>
      </c>
      <c r="K26">
        <v>1523127987</v>
      </c>
      <c r="L26">
        <v>1523127842</v>
      </c>
      <c r="M26">
        <v>0</v>
      </c>
      <c r="N26">
        <v>22</v>
      </c>
      <c r="O26">
        <v>32</v>
      </c>
      <c r="P26" t="b">
        <v>0</v>
      </c>
      <c r="Q26" t="s">
        <v>6210</v>
      </c>
      <c r="R26" t="s">
        <v>6210</v>
      </c>
      <c r="S26" t="s">
        <v>5911</v>
      </c>
      <c r="T26">
        <v>10</v>
      </c>
      <c r="U26">
        <v>0</v>
      </c>
      <c r="V26" t="b">
        <v>1</v>
      </c>
      <c r="W26">
        <v>11</v>
      </c>
      <c r="X26">
        <v>90</v>
      </c>
      <c r="Y26" t="s">
        <v>6213</v>
      </c>
      <c r="Z26" t="s">
        <v>6213</v>
      </c>
      <c r="AA26" t="s">
        <v>6088</v>
      </c>
      <c r="AB26" t="b">
        <v>1</v>
      </c>
      <c r="AC26">
        <v>1</v>
      </c>
      <c r="AD26">
        <v>25</v>
      </c>
      <c r="AE26">
        <v>3</v>
      </c>
      <c r="AF26" t="s">
        <v>6212</v>
      </c>
      <c r="AG26">
        <v>2</v>
      </c>
      <c r="AH26">
        <v>261</v>
      </c>
      <c r="AI26">
        <v>376</v>
      </c>
      <c r="AJ26">
        <v>0</v>
      </c>
      <c r="AK26">
        <v>0</v>
      </c>
      <c r="AL26">
        <v>115</v>
      </c>
      <c r="AM26">
        <v>10</v>
      </c>
      <c r="AN26">
        <v>0</v>
      </c>
      <c r="AO26">
        <v>136</v>
      </c>
      <c r="AP26">
        <v>1</v>
      </c>
      <c r="AQ26">
        <v>2</v>
      </c>
      <c r="AR26">
        <v>0</v>
      </c>
      <c r="AS26">
        <v>0</v>
      </c>
      <c r="AT26">
        <v>3</v>
      </c>
      <c r="AU26">
        <v>3</v>
      </c>
      <c r="AV26">
        <v>25</v>
      </c>
      <c r="AW26">
        <v>0</v>
      </c>
      <c r="AX26">
        <v>16</v>
      </c>
      <c r="AY26">
        <v>31</v>
      </c>
      <c r="AZ26" t="b">
        <v>1</v>
      </c>
      <c r="BA26" t="s">
        <v>6210</v>
      </c>
      <c r="BB26" t="s">
        <v>6210</v>
      </c>
      <c r="BC26" t="s">
        <v>6210</v>
      </c>
      <c r="BD26">
        <v>15</v>
      </c>
      <c r="BE26">
        <v>0</v>
      </c>
      <c r="BF26" t="b">
        <v>1</v>
      </c>
      <c r="BG26">
        <v>8</v>
      </c>
      <c r="BH26">
        <v>10</v>
      </c>
      <c r="BI26" t="s">
        <v>5911</v>
      </c>
      <c r="BJ26" t="s">
        <v>6211</v>
      </c>
      <c r="BK26" t="s">
        <v>6211</v>
      </c>
      <c r="BL26" t="b">
        <v>0</v>
      </c>
      <c r="BM26">
        <v>0</v>
      </c>
      <c r="BN26">
        <v>55</v>
      </c>
      <c r="BO26">
        <v>1</v>
      </c>
      <c r="BP26" t="s">
        <v>6212</v>
      </c>
      <c r="BQ26">
        <v>1</v>
      </c>
      <c r="BR26">
        <v>113</v>
      </c>
      <c r="BS26">
        <v>148</v>
      </c>
      <c r="BT26">
        <v>0</v>
      </c>
      <c r="BU26">
        <v>10</v>
      </c>
      <c r="BV26">
        <v>11</v>
      </c>
      <c r="BW26">
        <v>10</v>
      </c>
      <c r="BX26">
        <v>10</v>
      </c>
      <c r="BY26">
        <v>92</v>
      </c>
      <c r="BZ26">
        <v>1</v>
      </c>
      <c r="CA26">
        <v>1</v>
      </c>
      <c r="CB26">
        <v>3</v>
      </c>
      <c r="CC26">
        <v>3</v>
      </c>
      <c r="CD26">
        <v>0</v>
      </c>
      <c r="CE26">
        <v>1</v>
      </c>
      <c r="CF26">
        <v>25</v>
      </c>
    </row>
    <row r="27" spans="1:84">
      <c r="A27">
        <v>26</v>
      </c>
      <c r="B27" t="s">
        <v>6608</v>
      </c>
      <c r="C27">
        <v>3654</v>
      </c>
      <c r="D27">
        <v>7153</v>
      </c>
      <c r="E27">
        <v>3464</v>
      </c>
      <c r="F27">
        <v>1991</v>
      </c>
      <c r="G27">
        <v>173</v>
      </c>
      <c r="H27">
        <v>558</v>
      </c>
      <c r="I27">
        <v>306</v>
      </c>
      <c r="J27">
        <v>382</v>
      </c>
      <c r="K27">
        <v>1523128432</v>
      </c>
      <c r="L27">
        <v>1523128321</v>
      </c>
      <c r="M27">
        <v>0</v>
      </c>
      <c r="N27">
        <v>8</v>
      </c>
      <c r="O27">
        <v>23</v>
      </c>
      <c r="P27" t="b">
        <v>1</v>
      </c>
      <c r="Q27" t="s">
        <v>6210</v>
      </c>
      <c r="R27" t="s">
        <v>6210</v>
      </c>
      <c r="S27" t="s">
        <v>6210</v>
      </c>
      <c r="T27">
        <v>15</v>
      </c>
      <c r="U27">
        <v>0</v>
      </c>
      <c r="V27" t="b">
        <v>1</v>
      </c>
      <c r="W27">
        <v>4</v>
      </c>
      <c r="X27">
        <v>65</v>
      </c>
      <c r="Y27" t="s">
        <v>6211</v>
      </c>
      <c r="Z27" t="s">
        <v>6088</v>
      </c>
      <c r="AA27" t="s">
        <v>6213</v>
      </c>
      <c r="AB27" t="b">
        <v>0</v>
      </c>
      <c r="AC27">
        <v>0</v>
      </c>
      <c r="AD27">
        <v>25</v>
      </c>
      <c r="AE27">
        <v>1</v>
      </c>
      <c r="AF27" t="s">
        <v>6212</v>
      </c>
      <c r="AG27">
        <v>0</v>
      </c>
      <c r="AH27">
        <v>148</v>
      </c>
      <c r="AI27">
        <v>258</v>
      </c>
      <c r="AJ27">
        <v>0</v>
      </c>
      <c r="AK27">
        <v>10</v>
      </c>
      <c r="AL27">
        <v>11</v>
      </c>
      <c r="AM27">
        <v>1</v>
      </c>
      <c r="AN27">
        <v>10</v>
      </c>
      <c r="AO27">
        <v>136</v>
      </c>
      <c r="AP27">
        <v>3</v>
      </c>
      <c r="AQ27">
        <v>3</v>
      </c>
      <c r="AR27">
        <v>3</v>
      </c>
      <c r="AS27">
        <v>3</v>
      </c>
      <c r="AT27">
        <v>3</v>
      </c>
      <c r="AU27">
        <v>3</v>
      </c>
      <c r="AV27">
        <v>45</v>
      </c>
      <c r="AW27">
        <v>0</v>
      </c>
      <c r="AX27">
        <v>20</v>
      </c>
      <c r="AY27">
        <v>35</v>
      </c>
      <c r="AZ27" t="b">
        <v>1</v>
      </c>
      <c r="BA27" t="s">
        <v>6210</v>
      </c>
      <c r="BB27" t="s">
        <v>6210</v>
      </c>
      <c r="BC27" t="s">
        <v>6210</v>
      </c>
      <c r="BD27">
        <v>15</v>
      </c>
      <c r="BE27">
        <v>0</v>
      </c>
      <c r="BF27" t="b">
        <v>1</v>
      </c>
      <c r="BG27">
        <v>10</v>
      </c>
      <c r="BH27">
        <v>60</v>
      </c>
      <c r="BI27" t="s">
        <v>5911</v>
      </c>
      <c r="BJ27" t="s">
        <v>6088</v>
      </c>
      <c r="BK27" t="s">
        <v>6213</v>
      </c>
      <c r="BL27" t="b">
        <v>0</v>
      </c>
      <c r="BM27">
        <v>0</v>
      </c>
      <c r="BN27">
        <v>0</v>
      </c>
      <c r="BO27">
        <v>3</v>
      </c>
      <c r="BP27" t="s">
        <v>6212</v>
      </c>
      <c r="BQ27">
        <v>1</v>
      </c>
      <c r="BR27">
        <v>242</v>
      </c>
      <c r="BS27">
        <v>347</v>
      </c>
      <c r="BT27">
        <v>0</v>
      </c>
      <c r="BU27">
        <v>10</v>
      </c>
      <c r="BV27">
        <v>106</v>
      </c>
      <c r="BW27">
        <v>0</v>
      </c>
      <c r="BX27">
        <v>10</v>
      </c>
      <c r="BY27">
        <v>136</v>
      </c>
      <c r="BZ27">
        <v>0</v>
      </c>
      <c r="CA27">
        <v>3</v>
      </c>
      <c r="CB27">
        <v>3</v>
      </c>
      <c r="CC27">
        <v>3</v>
      </c>
      <c r="CD27">
        <v>3</v>
      </c>
      <c r="CE27">
        <v>3</v>
      </c>
      <c r="CF27">
        <v>45</v>
      </c>
    </row>
    <row r="28" spans="1:84">
      <c r="A28">
        <v>27</v>
      </c>
      <c r="B28" t="s">
        <v>6609</v>
      </c>
      <c r="C28">
        <v>5686</v>
      </c>
      <c r="D28">
        <v>2067</v>
      </c>
      <c r="E28">
        <v>177</v>
      </c>
      <c r="F28">
        <v>999</v>
      </c>
      <c r="G28">
        <v>6333</v>
      </c>
      <c r="H28">
        <v>2170</v>
      </c>
      <c r="I28">
        <v>429</v>
      </c>
      <c r="J28">
        <v>238</v>
      </c>
      <c r="K28">
        <v>1523128839</v>
      </c>
      <c r="L28">
        <v>1523128677</v>
      </c>
      <c r="M28">
        <v>0</v>
      </c>
      <c r="N28">
        <v>16</v>
      </c>
      <c r="O28">
        <v>31</v>
      </c>
      <c r="P28" t="b">
        <v>1</v>
      </c>
      <c r="Q28" t="s">
        <v>6210</v>
      </c>
      <c r="R28" t="s">
        <v>6210</v>
      </c>
      <c r="S28" t="s">
        <v>6210</v>
      </c>
      <c r="T28">
        <v>15</v>
      </c>
      <c r="U28">
        <v>0</v>
      </c>
      <c r="V28" t="b">
        <v>1</v>
      </c>
      <c r="W28">
        <v>8</v>
      </c>
      <c r="X28">
        <v>65</v>
      </c>
      <c r="Y28" t="s">
        <v>6088</v>
      </c>
      <c r="Z28" t="s">
        <v>6211</v>
      </c>
      <c r="AA28" t="s">
        <v>6213</v>
      </c>
      <c r="AB28" t="b">
        <v>0</v>
      </c>
      <c r="AC28">
        <v>0</v>
      </c>
      <c r="AD28">
        <v>55</v>
      </c>
      <c r="AE28">
        <v>3</v>
      </c>
      <c r="AF28" t="s">
        <v>6216</v>
      </c>
      <c r="AG28">
        <v>0</v>
      </c>
      <c r="AH28">
        <v>248</v>
      </c>
      <c r="AI28">
        <v>343</v>
      </c>
      <c r="AJ28">
        <v>10</v>
      </c>
      <c r="AK28">
        <v>0</v>
      </c>
      <c r="AL28">
        <v>127</v>
      </c>
      <c r="AM28">
        <v>0</v>
      </c>
      <c r="AN28">
        <v>0</v>
      </c>
      <c r="AO28">
        <v>111</v>
      </c>
      <c r="AP28">
        <v>2</v>
      </c>
      <c r="AQ28">
        <v>3</v>
      </c>
      <c r="AR28">
        <v>0</v>
      </c>
      <c r="AS28">
        <v>0</v>
      </c>
      <c r="AT28">
        <v>3</v>
      </c>
      <c r="AU28">
        <v>3</v>
      </c>
      <c r="AV28">
        <v>30</v>
      </c>
      <c r="AW28">
        <v>0</v>
      </c>
      <c r="AX28">
        <v>22</v>
      </c>
      <c r="AY28">
        <v>37</v>
      </c>
      <c r="AZ28" t="b">
        <v>1</v>
      </c>
      <c r="BA28" t="s">
        <v>6210</v>
      </c>
      <c r="BB28" t="s">
        <v>6210</v>
      </c>
      <c r="BC28" t="s">
        <v>6210</v>
      </c>
      <c r="BD28">
        <v>15</v>
      </c>
      <c r="BE28">
        <v>0</v>
      </c>
      <c r="BF28" t="b">
        <v>1</v>
      </c>
      <c r="BG28">
        <v>11</v>
      </c>
      <c r="BH28">
        <v>40</v>
      </c>
      <c r="BI28" t="s">
        <v>6211</v>
      </c>
      <c r="BJ28" t="s">
        <v>6211</v>
      </c>
      <c r="BK28" t="s">
        <v>6088</v>
      </c>
      <c r="BL28" t="b">
        <v>0</v>
      </c>
      <c r="BM28">
        <v>1</v>
      </c>
      <c r="BN28">
        <v>0</v>
      </c>
      <c r="BO28">
        <v>1</v>
      </c>
      <c r="BP28" t="s">
        <v>6216</v>
      </c>
      <c r="BQ28">
        <v>2</v>
      </c>
      <c r="BR28">
        <v>136</v>
      </c>
      <c r="BS28">
        <v>201</v>
      </c>
      <c r="BT28">
        <v>0</v>
      </c>
      <c r="BU28">
        <v>0</v>
      </c>
      <c r="BV28">
        <v>0</v>
      </c>
      <c r="BW28">
        <v>10</v>
      </c>
      <c r="BX28">
        <v>0</v>
      </c>
      <c r="BY28">
        <v>126</v>
      </c>
      <c r="BZ28">
        <v>1</v>
      </c>
      <c r="CA28">
        <v>1</v>
      </c>
      <c r="CB28">
        <v>0</v>
      </c>
      <c r="CC28">
        <v>1</v>
      </c>
      <c r="CD28">
        <v>3</v>
      </c>
      <c r="CE28">
        <v>3</v>
      </c>
      <c r="CF28">
        <v>25</v>
      </c>
    </row>
    <row r="29" spans="1:84">
      <c r="A29">
        <v>28</v>
      </c>
      <c r="B29" t="s">
        <v>6610</v>
      </c>
      <c r="C29">
        <v>1973</v>
      </c>
      <c r="D29">
        <v>4987</v>
      </c>
      <c r="E29">
        <v>1027</v>
      </c>
      <c r="F29">
        <v>3182</v>
      </c>
      <c r="G29">
        <v>6811</v>
      </c>
      <c r="H29">
        <v>6895</v>
      </c>
      <c r="I29">
        <v>110</v>
      </c>
      <c r="J29">
        <v>199</v>
      </c>
      <c r="K29">
        <v>1523129327</v>
      </c>
      <c r="L29">
        <v>1523129222</v>
      </c>
      <c r="M29">
        <v>0</v>
      </c>
      <c r="N29">
        <v>0</v>
      </c>
      <c r="O29">
        <v>10</v>
      </c>
      <c r="P29" t="b">
        <v>0</v>
      </c>
      <c r="Q29" t="s">
        <v>6210</v>
      </c>
      <c r="R29" t="s">
        <v>6210</v>
      </c>
      <c r="S29" t="s">
        <v>5911</v>
      </c>
      <c r="T29">
        <v>10</v>
      </c>
      <c r="U29">
        <v>0</v>
      </c>
      <c r="V29" t="b">
        <v>0</v>
      </c>
      <c r="W29">
        <v>0</v>
      </c>
      <c r="X29">
        <v>60</v>
      </c>
      <c r="Y29" t="s">
        <v>6088</v>
      </c>
      <c r="Z29" t="s">
        <v>6213</v>
      </c>
      <c r="AA29" t="s">
        <v>5911</v>
      </c>
      <c r="AB29" t="b">
        <v>0</v>
      </c>
      <c r="AC29">
        <v>0</v>
      </c>
      <c r="AD29">
        <v>25</v>
      </c>
      <c r="AE29">
        <v>0</v>
      </c>
      <c r="AF29" t="s">
        <v>6215</v>
      </c>
      <c r="AG29">
        <v>0</v>
      </c>
      <c r="AH29">
        <v>0</v>
      </c>
      <c r="AI29">
        <v>75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3</v>
      </c>
      <c r="AU29">
        <v>3</v>
      </c>
      <c r="AV29">
        <v>15</v>
      </c>
      <c r="AW29">
        <v>0</v>
      </c>
      <c r="AX29">
        <v>0</v>
      </c>
      <c r="AY29">
        <v>15</v>
      </c>
      <c r="AZ29" t="b">
        <v>0</v>
      </c>
      <c r="BA29" t="s">
        <v>6210</v>
      </c>
      <c r="BB29" t="s">
        <v>6210</v>
      </c>
      <c r="BC29" t="s">
        <v>6210</v>
      </c>
      <c r="BD29">
        <v>15</v>
      </c>
      <c r="BE29">
        <v>0</v>
      </c>
      <c r="BF29" t="b">
        <v>0</v>
      </c>
      <c r="BG29">
        <v>0</v>
      </c>
      <c r="BH29">
        <v>40</v>
      </c>
      <c r="BI29" t="s">
        <v>6211</v>
      </c>
      <c r="BJ29" t="s">
        <v>6211</v>
      </c>
      <c r="BK29" t="s">
        <v>6088</v>
      </c>
      <c r="BL29" t="b">
        <v>0</v>
      </c>
      <c r="BM29">
        <v>0</v>
      </c>
      <c r="BN29">
        <v>0</v>
      </c>
      <c r="BO29">
        <v>2</v>
      </c>
      <c r="BP29" t="s">
        <v>6215</v>
      </c>
      <c r="BQ29">
        <v>1</v>
      </c>
      <c r="BR29">
        <v>129</v>
      </c>
      <c r="BS29">
        <v>184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129</v>
      </c>
      <c r="BZ29">
        <v>0</v>
      </c>
      <c r="CA29">
        <v>0</v>
      </c>
      <c r="CB29">
        <v>0</v>
      </c>
      <c r="CC29">
        <v>0</v>
      </c>
      <c r="CD29">
        <v>3</v>
      </c>
      <c r="CE29">
        <v>3</v>
      </c>
      <c r="CF29">
        <v>15</v>
      </c>
    </row>
    <row r="30" spans="1:84">
      <c r="A30">
        <v>29</v>
      </c>
      <c r="B30" t="s">
        <v>6611</v>
      </c>
      <c r="C30">
        <v>3464</v>
      </c>
      <c r="D30">
        <v>181</v>
      </c>
      <c r="E30">
        <v>2785</v>
      </c>
      <c r="F30">
        <v>558</v>
      </c>
      <c r="G30">
        <v>5746</v>
      </c>
      <c r="H30">
        <v>3634</v>
      </c>
      <c r="I30">
        <v>245</v>
      </c>
      <c r="J30">
        <v>426</v>
      </c>
      <c r="K30">
        <v>1523129721</v>
      </c>
      <c r="L30">
        <v>1523129529</v>
      </c>
      <c r="M30">
        <v>0</v>
      </c>
      <c r="N30">
        <v>14</v>
      </c>
      <c r="O30">
        <v>29</v>
      </c>
      <c r="P30" t="b">
        <v>1</v>
      </c>
      <c r="Q30" t="s">
        <v>6210</v>
      </c>
      <c r="R30" t="s">
        <v>6210</v>
      </c>
      <c r="S30" t="s">
        <v>6210</v>
      </c>
      <c r="T30">
        <v>15</v>
      </c>
      <c r="U30">
        <v>0</v>
      </c>
      <c r="V30" t="b">
        <v>1</v>
      </c>
      <c r="W30">
        <v>7</v>
      </c>
      <c r="X30">
        <v>65</v>
      </c>
      <c r="Y30" t="s">
        <v>6213</v>
      </c>
      <c r="Z30" t="s">
        <v>6211</v>
      </c>
      <c r="AA30" t="s">
        <v>6088</v>
      </c>
      <c r="AB30" t="b">
        <v>0</v>
      </c>
      <c r="AC30">
        <v>0</v>
      </c>
      <c r="AD30">
        <v>0</v>
      </c>
      <c r="AE30">
        <v>1</v>
      </c>
      <c r="AF30" t="s">
        <v>6216</v>
      </c>
      <c r="AG30">
        <v>1</v>
      </c>
      <c r="AH30">
        <v>136</v>
      </c>
      <c r="AI30">
        <v>216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136</v>
      </c>
      <c r="AP30">
        <v>0</v>
      </c>
      <c r="AQ30">
        <v>0</v>
      </c>
      <c r="AR30">
        <v>0</v>
      </c>
      <c r="AS30">
        <v>0</v>
      </c>
      <c r="AT30">
        <v>3</v>
      </c>
      <c r="AU30">
        <v>3</v>
      </c>
      <c r="AV30">
        <v>15</v>
      </c>
      <c r="AW30">
        <v>0</v>
      </c>
      <c r="AX30">
        <v>20</v>
      </c>
      <c r="AY30">
        <v>35</v>
      </c>
      <c r="AZ30" t="b">
        <v>1</v>
      </c>
      <c r="BA30" t="s">
        <v>6210</v>
      </c>
      <c r="BB30" t="s">
        <v>6210</v>
      </c>
      <c r="BC30" t="s">
        <v>6210</v>
      </c>
      <c r="BD30">
        <v>15</v>
      </c>
      <c r="BE30">
        <v>0</v>
      </c>
      <c r="BF30" t="b">
        <v>1</v>
      </c>
      <c r="BG30">
        <v>10</v>
      </c>
      <c r="BH30">
        <v>65</v>
      </c>
      <c r="BI30" t="s">
        <v>6213</v>
      </c>
      <c r="BJ30" t="s">
        <v>6088</v>
      </c>
      <c r="BK30" t="s">
        <v>6211</v>
      </c>
      <c r="BL30" t="b">
        <v>0</v>
      </c>
      <c r="BM30">
        <v>0</v>
      </c>
      <c r="BN30">
        <v>25</v>
      </c>
      <c r="BO30">
        <v>3</v>
      </c>
      <c r="BP30" t="s">
        <v>6216</v>
      </c>
      <c r="BQ30">
        <v>0</v>
      </c>
      <c r="BR30">
        <v>266</v>
      </c>
      <c r="BS30">
        <v>366</v>
      </c>
      <c r="BT30">
        <v>10</v>
      </c>
      <c r="BU30">
        <v>0</v>
      </c>
      <c r="BV30">
        <v>110</v>
      </c>
      <c r="BW30">
        <v>10</v>
      </c>
      <c r="BX30">
        <v>0</v>
      </c>
      <c r="BY30">
        <v>136</v>
      </c>
      <c r="BZ30">
        <v>3</v>
      </c>
      <c r="CA30">
        <v>3</v>
      </c>
      <c r="CB30">
        <v>1</v>
      </c>
      <c r="CC30">
        <v>1</v>
      </c>
      <c r="CD30">
        <v>3</v>
      </c>
      <c r="CE30">
        <v>3</v>
      </c>
      <c r="CF30">
        <v>35</v>
      </c>
    </row>
    <row r="31" spans="1:84">
      <c r="A31">
        <v>30</v>
      </c>
      <c r="B31" t="s">
        <v>6612</v>
      </c>
      <c r="C31">
        <v>230</v>
      </c>
      <c r="D31">
        <v>5142</v>
      </c>
      <c r="E31">
        <v>5686</v>
      </c>
      <c r="F31">
        <v>6812</v>
      </c>
      <c r="G31">
        <v>177</v>
      </c>
      <c r="H31">
        <v>1740</v>
      </c>
      <c r="I31">
        <v>287</v>
      </c>
      <c r="J31">
        <v>346</v>
      </c>
      <c r="K31">
        <v>1523130153</v>
      </c>
      <c r="L31">
        <v>1523130002</v>
      </c>
      <c r="M31">
        <v>0</v>
      </c>
      <c r="N31">
        <v>20</v>
      </c>
      <c r="O31">
        <v>35</v>
      </c>
      <c r="P31" t="b">
        <v>1</v>
      </c>
      <c r="Q31" t="s">
        <v>6210</v>
      </c>
      <c r="R31" t="s">
        <v>6210</v>
      </c>
      <c r="S31" t="s">
        <v>6210</v>
      </c>
      <c r="T31">
        <v>15</v>
      </c>
      <c r="U31">
        <v>2</v>
      </c>
      <c r="V31" t="b">
        <v>1</v>
      </c>
      <c r="W31">
        <v>8</v>
      </c>
      <c r="X31">
        <v>35</v>
      </c>
      <c r="Y31" t="s">
        <v>6213</v>
      </c>
      <c r="Z31" t="s">
        <v>6211</v>
      </c>
      <c r="AA31" t="s">
        <v>5911</v>
      </c>
      <c r="AB31" t="b">
        <v>0</v>
      </c>
      <c r="AC31">
        <v>2</v>
      </c>
      <c r="AD31">
        <v>5</v>
      </c>
      <c r="AE31">
        <v>1</v>
      </c>
      <c r="AF31" t="s">
        <v>6212</v>
      </c>
      <c r="AG31">
        <v>0</v>
      </c>
      <c r="AH31">
        <v>187</v>
      </c>
      <c r="AI31">
        <v>247</v>
      </c>
      <c r="AJ31">
        <v>0</v>
      </c>
      <c r="AK31">
        <v>0</v>
      </c>
      <c r="AL31">
        <v>41</v>
      </c>
      <c r="AM31">
        <v>10</v>
      </c>
      <c r="AN31">
        <v>0</v>
      </c>
      <c r="AO31">
        <v>136</v>
      </c>
      <c r="AP31">
        <v>3</v>
      </c>
      <c r="AQ31">
        <v>3</v>
      </c>
      <c r="AR31">
        <v>0</v>
      </c>
      <c r="AS31">
        <v>0</v>
      </c>
      <c r="AT31">
        <v>0</v>
      </c>
      <c r="AU31">
        <v>2</v>
      </c>
      <c r="AV31">
        <v>25</v>
      </c>
      <c r="AW31">
        <v>0</v>
      </c>
      <c r="AX31">
        <v>20</v>
      </c>
      <c r="AY31">
        <v>35</v>
      </c>
      <c r="AZ31" t="b">
        <v>1</v>
      </c>
      <c r="BA31" t="s">
        <v>6210</v>
      </c>
      <c r="BB31" t="s">
        <v>6210</v>
      </c>
      <c r="BC31" t="s">
        <v>6210</v>
      </c>
      <c r="BD31">
        <v>15</v>
      </c>
      <c r="BE31">
        <v>0</v>
      </c>
      <c r="BF31" t="b">
        <v>1</v>
      </c>
      <c r="BG31">
        <v>10</v>
      </c>
      <c r="BH31">
        <v>65</v>
      </c>
      <c r="BI31" t="s">
        <v>6088</v>
      </c>
      <c r="BJ31" t="s">
        <v>6211</v>
      </c>
      <c r="BK31" t="s">
        <v>6213</v>
      </c>
      <c r="BL31" t="b">
        <v>0</v>
      </c>
      <c r="BM31">
        <v>1</v>
      </c>
      <c r="BN31">
        <v>10</v>
      </c>
      <c r="BO31">
        <v>3</v>
      </c>
      <c r="BP31" t="s">
        <v>6212</v>
      </c>
      <c r="BQ31">
        <v>0</v>
      </c>
      <c r="BR31">
        <v>221</v>
      </c>
      <c r="BS31">
        <v>301</v>
      </c>
      <c r="BT31">
        <v>0</v>
      </c>
      <c r="BU31">
        <v>0</v>
      </c>
      <c r="BV31">
        <v>85</v>
      </c>
      <c r="BW31">
        <v>0</v>
      </c>
      <c r="BX31">
        <v>0</v>
      </c>
      <c r="BY31">
        <v>136</v>
      </c>
      <c r="BZ31">
        <v>0</v>
      </c>
      <c r="CA31">
        <v>0</v>
      </c>
      <c r="CB31">
        <v>0</v>
      </c>
      <c r="CC31">
        <v>0</v>
      </c>
      <c r="CD31">
        <v>3</v>
      </c>
      <c r="CE31">
        <v>3</v>
      </c>
      <c r="CF31">
        <v>15</v>
      </c>
    </row>
    <row r="32" spans="1:84">
      <c r="A32">
        <v>31</v>
      </c>
      <c r="B32" t="s">
        <v>6613</v>
      </c>
      <c r="C32">
        <v>236</v>
      </c>
      <c r="D32">
        <v>2170</v>
      </c>
      <c r="E32">
        <v>155</v>
      </c>
      <c r="F32">
        <v>1085</v>
      </c>
      <c r="G32">
        <v>175</v>
      </c>
      <c r="H32">
        <v>3654</v>
      </c>
      <c r="I32">
        <v>554</v>
      </c>
      <c r="J32">
        <v>317</v>
      </c>
      <c r="K32">
        <v>1523130577</v>
      </c>
      <c r="L32">
        <v>1523130422</v>
      </c>
      <c r="M32">
        <v>0</v>
      </c>
      <c r="N32">
        <v>22</v>
      </c>
      <c r="O32">
        <v>37</v>
      </c>
      <c r="P32" t="b">
        <v>1</v>
      </c>
      <c r="Q32" t="s">
        <v>6210</v>
      </c>
      <c r="R32" t="s">
        <v>6210</v>
      </c>
      <c r="S32" t="s">
        <v>6210</v>
      </c>
      <c r="T32">
        <v>15</v>
      </c>
      <c r="U32">
        <v>0</v>
      </c>
      <c r="V32" t="b">
        <v>1</v>
      </c>
      <c r="W32">
        <v>11</v>
      </c>
      <c r="X32">
        <v>40</v>
      </c>
      <c r="Y32" t="s">
        <v>6211</v>
      </c>
      <c r="Z32" t="s">
        <v>6088</v>
      </c>
      <c r="AA32" t="s">
        <v>6211</v>
      </c>
      <c r="AB32" t="b">
        <v>0</v>
      </c>
      <c r="AC32">
        <v>0</v>
      </c>
      <c r="AD32">
        <v>285</v>
      </c>
      <c r="AE32">
        <v>3</v>
      </c>
      <c r="AF32" t="s">
        <v>6214</v>
      </c>
      <c r="AG32">
        <v>0</v>
      </c>
      <c r="AH32">
        <v>157</v>
      </c>
      <c r="AI32">
        <v>232</v>
      </c>
      <c r="AJ32">
        <v>0</v>
      </c>
      <c r="AK32">
        <v>10</v>
      </c>
      <c r="AL32">
        <v>11</v>
      </c>
      <c r="AM32">
        <v>10</v>
      </c>
      <c r="AN32">
        <v>0</v>
      </c>
      <c r="AO32">
        <v>136</v>
      </c>
      <c r="AP32">
        <v>1</v>
      </c>
      <c r="AQ32">
        <v>2</v>
      </c>
      <c r="AR32">
        <v>2</v>
      </c>
      <c r="AS32">
        <v>2</v>
      </c>
      <c r="AT32">
        <v>3</v>
      </c>
      <c r="AU32">
        <v>3</v>
      </c>
      <c r="AV32">
        <v>35</v>
      </c>
      <c r="AW32">
        <v>0</v>
      </c>
      <c r="AX32">
        <v>18</v>
      </c>
      <c r="AY32">
        <v>33</v>
      </c>
      <c r="AZ32" t="b">
        <v>1</v>
      </c>
      <c r="BA32" t="s">
        <v>6210</v>
      </c>
      <c r="BB32" t="s">
        <v>6210</v>
      </c>
      <c r="BC32" t="s">
        <v>6210</v>
      </c>
      <c r="BD32">
        <v>15</v>
      </c>
      <c r="BE32">
        <v>0</v>
      </c>
      <c r="BF32" t="b">
        <v>1</v>
      </c>
      <c r="BG32">
        <v>9</v>
      </c>
      <c r="BH32">
        <v>40</v>
      </c>
      <c r="BI32" t="s">
        <v>6088</v>
      </c>
      <c r="BJ32" t="s">
        <v>6211</v>
      </c>
      <c r="BK32" t="s">
        <v>6211</v>
      </c>
      <c r="BL32" t="b">
        <v>0</v>
      </c>
      <c r="BM32">
        <v>2</v>
      </c>
      <c r="BN32">
        <v>0</v>
      </c>
      <c r="BO32">
        <v>1</v>
      </c>
      <c r="BP32" t="s">
        <v>6214</v>
      </c>
      <c r="BQ32">
        <v>11</v>
      </c>
      <c r="BR32">
        <v>229</v>
      </c>
      <c r="BS32">
        <v>284</v>
      </c>
      <c r="BT32">
        <v>0</v>
      </c>
      <c r="BU32">
        <v>0</v>
      </c>
      <c r="BV32">
        <v>114</v>
      </c>
      <c r="BW32">
        <v>0</v>
      </c>
      <c r="BX32">
        <v>0</v>
      </c>
      <c r="BY32">
        <v>115</v>
      </c>
      <c r="BZ32">
        <v>0</v>
      </c>
      <c r="CA32">
        <v>0</v>
      </c>
      <c r="CB32">
        <v>0</v>
      </c>
      <c r="CC32">
        <v>0</v>
      </c>
      <c r="CD32">
        <v>3</v>
      </c>
      <c r="CE32">
        <v>3</v>
      </c>
      <c r="CF32">
        <v>15</v>
      </c>
    </row>
    <row r="33" spans="1:84">
      <c r="A33">
        <v>32</v>
      </c>
      <c r="B33" t="s">
        <v>6614</v>
      </c>
      <c r="C33">
        <v>190</v>
      </c>
      <c r="D33">
        <v>1991</v>
      </c>
      <c r="E33">
        <v>999</v>
      </c>
      <c r="F33">
        <v>6333</v>
      </c>
      <c r="G33">
        <v>3146</v>
      </c>
      <c r="H33">
        <v>1973</v>
      </c>
      <c r="I33">
        <v>393</v>
      </c>
      <c r="J33">
        <v>142</v>
      </c>
      <c r="K33">
        <v>1523131032</v>
      </c>
      <c r="L33">
        <v>1523130842</v>
      </c>
      <c r="M33">
        <v>0</v>
      </c>
      <c r="N33">
        <v>4</v>
      </c>
      <c r="O33">
        <v>19</v>
      </c>
      <c r="P33" t="b">
        <v>0</v>
      </c>
      <c r="Q33" t="s">
        <v>6210</v>
      </c>
      <c r="R33" t="s">
        <v>6210</v>
      </c>
      <c r="S33" t="s">
        <v>6210</v>
      </c>
      <c r="T33">
        <v>15</v>
      </c>
      <c r="U33">
        <v>2</v>
      </c>
      <c r="V33" t="b">
        <v>0</v>
      </c>
      <c r="W33">
        <v>0</v>
      </c>
      <c r="X33">
        <v>40</v>
      </c>
      <c r="Y33" t="s">
        <v>6088</v>
      </c>
      <c r="Z33" t="s">
        <v>6211</v>
      </c>
      <c r="AA33" t="s">
        <v>6211</v>
      </c>
      <c r="AB33" t="b">
        <v>0</v>
      </c>
      <c r="AC33">
        <v>0</v>
      </c>
      <c r="AD33">
        <v>25</v>
      </c>
      <c r="AE33">
        <v>2</v>
      </c>
      <c r="AF33" t="s">
        <v>6216</v>
      </c>
      <c r="AG33">
        <v>0</v>
      </c>
      <c r="AH33">
        <v>264</v>
      </c>
      <c r="AI33">
        <v>349</v>
      </c>
      <c r="AJ33">
        <v>10</v>
      </c>
      <c r="AK33">
        <v>4</v>
      </c>
      <c r="AL33">
        <v>116</v>
      </c>
      <c r="AM33">
        <v>10</v>
      </c>
      <c r="AN33">
        <v>4</v>
      </c>
      <c r="AO33">
        <v>128</v>
      </c>
      <c r="AP33">
        <v>3</v>
      </c>
      <c r="AQ33">
        <v>3</v>
      </c>
      <c r="AR33">
        <v>3</v>
      </c>
      <c r="AS33">
        <v>3</v>
      </c>
      <c r="AT33">
        <v>3</v>
      </c>
      <c r="AU33">
        <v>3</v>
      </c>
      <c r="AV33">
        <v>45</v>
      </c>
      <c r="AW33">
        <v>0</v>
      </c>
      <c r="AX33">
        <v>0</v>
      </c>
      <c r="AY33">
        <v>15</v>
      </c>
      <c r="AZ33" t="b">
        <v>0</v>
      </c>
      <c r="BA33" t="s">
        <v>6210</v>
      </c>
      <c r="BB33" t="s">
        <v>6210</v>
      </c>
      <c r="BC33" t="s">
        <v>6210</v>
      </c>
      <c r="BD33">
        <v>15</v>
      </c>
      <c r="BE33">
        <v>0</v>
      </c>
      <c r="BF33" t="b">
        <v>0</v>
      </c>
      <c r="BG33">
        <v>0</v>
      </c>
      <c r="BH33">
        <v>35</v>
      </c>
      <c r="BI33" t="s">
        <v>5911</v>
      </c>
      <c r="BJ33" t="s">
        <v>6211</v>
      </c>
      <c r="BK33" t="s">
        <v>6088</v>
      </c>
      <c r="BL33" t="b">
        <v>0</v>
      </c>
      <c r="BM33">
        <v>0</v>
      </c>
      <c r="BN33">
        <v>0</v>
      </c>
      <c r="BO33">
        <v>0</v>
      </c>
      <c r="BP33" t="s">
        <v>6216</v>
      </c>
      <c r="BQ33">
        <v>1</v>
      </c>
      <c r="BR33">
        <v>57</v>
      </c>
      <c r="BS33">
        <v>127</v>
      </c>
      <c r="BT33">
        <v>0</v>
      </c>
      <c r="BU33">
        <v>10</v>
      </c>
      <c r="BV33">
        <v>11</v>
      </c>
      <c r="BW33">
        <v>0</v>
      </c>
      <c r="BX33">
        <v>10</v>
      </c>
      <c r="BY33">
        <v>46</v>
      </c>
      <c r="BZ33">
        <v>1</v>
      </c>
      <c r="CA33">
        <v>1</v>
      </c>
      <c r="CB33">
        <v>3</v>
      </c>
      <c r="CC33">
        <v>3</v>
      </c>
      <c r="CD33">
        <v>3</v>
      </c>
      <c r="CE33">
        <v>3</v>
      </c>
      <c r="CF33">
        <v>35</v>
      </c>
    </row>
    <row r="34" spans="1:84">
      <c r="A34">
        <v>33</v>
      </c>
      <c r="B34" t="s">
        <v>6615</v>
      </c>
      <c r="C34">
        <v>7153</v>
      </c>
      <c r="D34">
        <v>2836</v>
      </c>
      <c r="E34">
        <v>195</v>
      </c>
      <c r="F34">
        <v>6346</v>
      </c>
      <c r="G34">
        <v>2067</v>
      </c>
      <c r="H34">
        <v>571</v>
      </c>
      <c r="I34">
        <v>420</v>
      </c>
      <c r="J34">
        <v>196</v>
      </c>
      <c r="K34">
        <v>1523131482</v>
      </c>
      <c r="L34">
        <v>1523131322</v>
      </c>
      <c r="M34">
        <v>0</v>
      </c>
      <c r="N34">
        <v>22</v>
      </c>
      <c r="O34">
        <v>37</v>
      </c>
      <c r="P34" t="b">
        <v>1</v>
      </c>
      <c r="Q34" t="s">
        <v>6210</v>
      </c>
      <c r="R34" t="s">
        <v>6210</v>
      </c>
      <c r="S34" t="s">
        <v>6210</v>
      </c>
      <c r="T34">
        <v>15</v>
      </c>
      <c r="U34">
        <v>0</v>
      </c>
      <c r="V34" t="b">
        <v>1</v>
      </c>
      <c r="W34">
        <v>11</v>
      </c>
      <c r="X34">
        <v>90</v>
      </c>
      <c r="Y34" t="s">
        <v>6213</v>
      </c>
      <c r="Z34" t="s">
        <v>6088</v>
      </c>
      <c r="AA34" t="s">
        <v>6213</v>
      </c>
      <c r="AB34" t="b">
        <v>1</v>
      </c>
      <c r="AC34">
        <v>1</v>
      </c>
      <c r="AD34">
        <v>0</v>
      </c>
      <c r="AE34">
        <v>4</v>
      </c>
      <c r="AF34" t="s">
        <v>6212</v>
      </c>
      <c r="AG34">
        <v>1</v>
      </c>
      <c r="AH34">
        <v>258</v>
      </c>
      <c r="AI34">
        <v>383</v>
      </c>
      <c r="AJ34">
        <v>10</v>
      </c>
      <c r="AK34">
        <v>0</v>
      </c>
      <c r="AL34">
        <v>102</v>
      </c>
      <c r="AM34">
        <v>10</v>
      </c>
      <c r="AN34">
        <v>0</v>
      </c>
      <c r="AO34">
        <v>136</v>
      </c>
      <c r="AP34">
        <v>3</v>
      </c>
      <c r="AQ34">
        <v>3</v>
      </c>
      <c r="AR34">
        <v>0</v>
      </c>
      <c r="AS34">
        <v>1</v>
      </c>
      <c r="AT34">
        <v>3</v>
      </c>
      <c r="AU34">
        <v>3</v>
      </c>
      <c r="AV34">
        <v>35</v>
      </c>
      <c r="AW34">
        <v>0</v>
      </c>
      <c r="AX34">
        <v>38</v>
      </c>
      <c r="AY34">
        <v>53</v>
      </c>
      <c r="AZ34" t="b">
        <v>1</v>
      </c>
      <c r="BA34" t="s">
        <v>6210</v>
      </c>
      <c r="BB34" t="s">
        <v>6210</v>
      </c>
      <c r="BC34" t="s">
        <v>6210</v>
      </c>
      <c r="BD34">
        <v>15</v>
      </c>
      <c r="BE34">
        <v>8</v>
      </c>
      <c r="BF34" t="b">
        <v>1</v>
      </c>
      <c r="BG34">
        <v>11</v>
      </c>
      <c r="BH34">
        <v>40</v>
      </c>
      <c r="BI34" t="s">
        <v>6211</v>
      </c>
      <c r="BJ34" t="s">
        <v>6213</v>
      </c>
      <c r="BK34" t="s">
        <v>6211</v>
      </c>
      <c r="BL34" t="b">
        <v>0</v>
      </c>
      <c r="BM34">
        <v>0</v>
      </c>
      <c r="BN34">
        <v>30</v>
      </c>
      <c r="BO34">
        <v>1</v>
      </c>
      <c r="BP34" t="s">
        <v>6212</v>
      </c>
      <c r="BQ34">
        <v>0</v>
      </c>
      <c r="BR34">
        <v>63</v>
      </c>
      <c r="BS34">
        <v>113</v>
      </c>
      <c r="BT34">
        <v>0</v>
      </c>
      <c r="BU34">
        <v>0</v>
      </c>
      <c r="BV34">
        <v>28</v>
      </c>
      <c r="BW34">
        <v>0</v>
      </c>
      <c r="BX34">
        <v>0</v>
      </c>
      <c r="BY34">
        <v>35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2</v>
      </c>
      <c r="CF34">
        <v>10</v>
      </c>
    </row>
    <row r="35" spans="1:84">
      <c r="A35">
        <v>34</v>
      </c>
      <c r="B35" t="s">
        <v>6616</v>
      </c>
      <c r="C35">
        <v>6895</v>
      </c>
      <c r="D35">
        <v>173</v>
      </c>
      <c r="E35">
        <v>5129</v>
      </c>
      <c r="F35">
        <v>2064</v>
      </c>
      <c r="G35">
        <v>839</v>
      </c>
      <c r="H35">
        <v>176</v>
      </c>
      <c r="I35">
        <v>210</v>
      </c>
      <c r="J35">
        <v>383</v>
      </c>
      <c r="K35">
        <v>1523131913</v>
      </c>
      <c r="L35">
        <v>1523131741</v>
      </c>
      <c r="M35">
        <v>0</v>
      </c>
      <c r="N35">
        <v>12</v>
      </c>
      <c r="O35">
        <v>22</v>
      </c>
      <c r="P35" t="b">
        <v>0</v>
      </c>
      <c r="Q35" t="s">
        <v>6210</v>
      </c>
      <c r="R35" t="s">
        <v>6210</v>
      </c>
      <c r="S35" t="s">
        <v>5911</v>
      </c>
      <c r="T35">
        <v>10</v>
      </c>
      <c r="U35">
        <v>0</v>
      </c>
      <c r="V35" t="b">
        <v>1</v>
      </c>
      <c r="W35">
        <v>6</v>
      </c>
      <c r="X35">
        <v>30</v>
      </c>
      <c r="Y35" t="s">
        <v>5911</v>
      </c>
      <c r="Z35" t="s">
        <v>5911</v>
      </c>
      <c r="AA35" t="s">
        <v>6213</v>
      </c>
      <c r="AB35" t="b">
        <v>0</v>
      </c>
      <c r="AC35">
        <v>2</v>
      </c>
      <c r="AD35">
        <v>5</v>
      </c>
      <c r="AE35">
        <v>0</v>
      </c>
      <c r="AF35" t="s">
        <v>6216</v>
      </c>
      <c r="AG35">
        <v>1</v>
      </c>
      <c r="AH35">
        <v>143</v>
      </c>
      <c r="AI35">
        <v>183</v>
      </c>
      <c r="AJ35">
        <v>0</v>
      </c>
      <c r="AK35">
        <v>0</v>
      </c>
      <c r="AL35">
        <v>21</v>
      </c>
      <c r="AM35">
        <v>0</v>
      </c>
      <c r="AN35">
        <v>0</v>
      </c>
      <c r="AO35">
        <v>122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2</v>
      </c>
      <c r="AV35">
        <v>10</v>
      </c>
      <c r="AW35">
        <v>0</v>
      </c>
      <c r="AX35">
        <v>22</v>
      </c>
      <c r="AY35">
        <v>37</v>
      </c>
      <c r="AZ35" t="b">
        <v>1</v>
      </c>
      <c r="BA35" t="s">
        <v>6210</v>
      </c>
      <c r="BB35" t="s">
        <v>6210</v>
      </c>
      <c r="BC35" t="s">
        <v>6210</v>
      </c>
      <c r="BD35">
        <v>15</v>
      </c>
      <c r="BE35">
        <v>0</v>
      </c>
      <c r="BF35" t="b">
        <v>1</v>
      </c>
      <c r="BG35">
        <v>11</v>
      </c>
      <c r="BH35">
        <v>40</v>
      </c>
      <c r="BI35" t="s">
        <v>6211</v>
      </c>
      <c r="BJ35" t="s">
        <v>6088</v>
      </c>
      <c r="BK35" t="s">
        <v>6211</v>
      </c>
      <c r="BL35" t="b">
        <v>0</v>
      </c>
      <c r="BM35">
        <v>1</v>
      </c>
      <c r="BN35">
        <v>35</v>
      </c>
      <c r="BO35">
        <v>3</v>
      </c>
      <c r="BP35" t="s">
        <v>6216</v>
      </c>
      <c r="BQ35">
        <v>0</v>
      </c>
      <c r="BR35">
        <v>226</v>
      </c>
      <c r="BS35">
        <v>311</v>
      </c>
      <c r="BT35">
        <v>2</v>
      </c>
      <c r="BU35">
        <v>10</v>
      </c>
      <c r="BV35">
        <v>78</v>
      </c>
      <c r="BW35">
        <v>10</v>
      </c>
      <c r="BX35">
        <v>10</v>
      </c>
      <c r="BY35">
        <v>136</v>
      </c>
      <c r="BZ35">
        <v>3</v>
      </c>
      <c r="CA35">
        <v>3</v>
      </c>
      <c r="CB35">
        <v>3</v>
      </c>
      <c r="CC35">
        <v>3</v>
      </c>
      <c r="CD35">
        <v>3</v>
      </c>
      <c r="CE35">
        <v>3</v>
      </c>
      <c r="CF35">
        <v>45</v>
      </c>
    </row>
    <row r="36" spans="1:84">
      <c r="A36">
        <v>35</v>
      </c>
      <c r="B36" t="s">
        <v>6617</v>
      </c>
      <c r="C36">
        <v>1740</v>
      </c>
      <c r="D36">
        <v>558</v>
      </c>
      <c r="E36">
        <v>3182</v>
      </c>
      <c r="F36">
        <v>7127</v>
      </c>
      <c r="G36">
        <v>6333</v>
      </c>
      <c r="H36">
        <v>175</v>
      </c>
      <c r="I36">
        <v>353</v>
      </c>
      <c r="J36">
        <v>289</v>
      </c>
      <c r="K36">
        <v>1523132356</v>
      </c>
      <c r="L36">
        <v>1523132222</v>
      </c>
      <c r="M36">
        <v>0</v>
      </c>
      <c r="N36">
        <v>20</v>
      </c>
      <c r="O36">
        <v>35</v>
      </c>
      <c r="P36" t="b">
        <v>1</v>
      </c>
      <c r="Q36" t="s">
        <v>6210</v>
      </c>
      <c r="R36" t="s">
        <v>6210</v>
      </c>
      <c r="S36" t="s">
        <v>6210</v>
      </c>
      <c r="T36">
        <v>15</v>
      </c>
      <c r="U36">
        <v>0</v>
      </c>
      <c r="V36" t="b">
        <v>1</v>
      </c>
      <c r="W36">
        <v>10</v>
      </c>
      <c r="X36">
        <v>90</v>
      </c>
      <c r="Y36" t="s">
        <v>6213</v>
      </c>
      <c r="Z36" t="s">
        <v>6213</v>
      </c>
      <c r="AA36" t="s">
        <v>6088</v>
      </c>
      <c r="AB36" t="b">
        <v>1</v>
      </c>
      <c r="AC36">
        <v>3</v>
      </c>
      <c r="AD36">
        <v>0</v>
      </c>
      <c r="AE36">
        <v>4</v>
      </c>
      <c r="AF36" t="s">
        <v>6212</v>
      </c>
      <c r="AG36">
        <v>0</v>
      </c>
      <c r="AH36">
        <v>198</v>
      </c>
      <c r="AI36">
        <v>318</v>
      </c>
      <c r="AJ36">
        <v>0</v>
      </c>
      <c r="AK36">
        <v>10</v>
      </c>
      <c r="AL36">
        <v>52</v>
      </c>
      <c r="AM36">
        <v>10</v>
      </c>
      <c r="AN36">
        <v>0</v>
      </c>
      <c r="AO36">
        <v>136</v>
      </c>
      <c r="AP36">
        <v>1</v>
      </c>
      <c r="AQ36">
        <v>1</v>
      </c>
      <c r="AR36">
        <v>2</v>
      </c>
      <c r="AS36">
        <v>2</v>
      </c>
      <c r="AT36">
        <v>3</v>
      </c>
      <c r="AU36">
        <v>3</v>
      </c>
      <c r="AV36">
        <v>30</v>
      </c>
      <c r="AW36">
        <v>0</v>
      </c>
      <c r="AX36">
        <v>18</v>
      </c>
      <c r="AY36">
        <v>28</v>
      </c>
      <c r="AZ36" t="b">
        <v>0</v>
      </c>
      <c r="BA36" t="s">
        <v>5911</v>
      </c>
      <c r="BB36" t="s">
        <v>6210</v>
      </c>
      <c r="BC36" t="s">
        <v>6210</v>
      </c>
      <c r="BD36">
        <v>10</v>
      </c>
      <c r="BE36">
        <v>0</v>
      </c>
      <c r="BF36" t="b">
        <v>1</v>
      </c>
      <c r="BG36">
        <v>9</v>
      </c>
      <c r="BH36">
        <v>35</v>
      </c>
      <c r="BI36" t="s">
        <v>5911</v>
      </c>
      <c r="BJ36" t="s">
        <v>6088</v>
      </c>
      <c r="BK36" t="s">
        <v>6211</v>
      </c>
      <c r="BL36" t="b">
        <v>0</v>
      </c>
      <c r="BM36">
        <v>0</v>
      </c>
      <c r="BN36">
        <v>15</v>
      </c>
      <c r="BO36">
        <v>0</v>
      </c>
      <c r="BP36" t="s">
        <v>6212</v>
      </c>
      <c r="BQ36">
        <v>0</v>
      </c>
      <c r="BR36">
        <v>191</v>
      </c>
      <c r="BS36">
        <v>246</v>
      </c>
      <c r="BT36">
        <v>0</v>
      </c>
      <c r="BU36">
        <v>0</v>
      </c>
      <c r="BV36">
        <v>55</v>
      </c>
      <c r="BW36">
        <v>0</v>
      </c>
      <c r="BX36">
        <v>2</v>
      </c>
      <c r="BY36">
        <v>136</v>
      </c>
      <c r="BZ36">
        <v>0</v>
      </c>
      <c r="CA36">
        <v>0</v>
      </c>
      <c r="CB36">
        <v>1</v>
      </c>
      <c r="CC36">
        <v>1</v>
      </c>
      <c r="CD36">
        <v>3</v>
      </c>
      <c r="CE36">
        <v>3</v>
      </c>
      <c r="CF36">
        <v>20</v>
      </c>
    </row>
    <row r="37" spans="1:84">
      <c r="A37">
        <v>36</v>
      </c>
      <c r="B37" t="s">
        <v>6665</v>
      </c>
      <c r="C37">
        <v>5686</v>
      </c>
      <c r="D37">
        <v>3464</v>
      </c>
      <c r="E37">
        <v>6346</v>
      </c>
      <c r="F37">
        <v>571</v>
      </c>
      <c r="G37">
        <v>6812</v>
      </c>
      <c r="H37">
        <v>2785</v>
      </c>
      <c r="I37">
        <v>318</v>
      </c>
      <c r="J37">
        <v>205</v>
      </c>
      <c r="K37">
        <v>1523132812</v>
      </c>
      <c r="L37">
        <v>1523132642</v>
      </c>
      <c r="M37">
        <v>0</v>
      </c>
      <c r="N37">
        <v>16</v>
      </c>
      <c r="O37">
        <v>31</v>
      </c>
      <c r="P37" t="b">
        <v>1</v>
      </c>
      <c r="Q37" t="s">
        <v>6210</v>
      </c>
      <c r="R37" t="s">
        <v>6210</v>
      </c>
      <c r="S37" t="s">
        <v>6210</v>
      </c>
      <c r="T37">
        <v>15</v>
      </c>
      <c r="U37">
        <v>0</v>
      </c>
      <c r="V37" t="b">
        <v>1</v>
      </c>
      <c r="W37">
        <v>8</v>
      </c>
      <c r="X37">
        <v>60</v>
      </c>
      <c r="Y37" t="s">
        <v>5911</v>
      </c>
      <c r="Z37" t="s">
        <v>6213</v>
      </c>
      <c r="AA37" t="s">
        <v>6088</v>
      </c>
      <c r="AB37" t="b">
        <v>0</v>
      </c>
      <c r="AC37">
        <v>0</v>
      </c>
      <c r="AD37">
        <v>25</v>
      </c>
      <c r="AE37">
        <v>3</v>
      </c>
      <c r="AF37" t="s">
        <v>6216</v>
      </c>
      <c r="AG37">
        <v>2</v>
      </c>
      <c r="AH37">
        <v>157</v>
      </c>
      <c r="AI37">
        <v>262</v>
      </c>
      <c r="AJ37">
        <v>0</v>
      </c>
      <c r="AK37">
        <v>10</v>
      </c>
      <c r="AL37">
        <v>11</v>
      </c>
      <c r="AM37">
        <v>10</v>
      </c>
      <c r="AN37">
        <v>10</v>
      </c>
      <c r="AO37">
        <v>136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45</v>
      </c>
      <c r="AW37">
        <v>0</v>
      </c>
      <c r="AX37">
        <v>0</v>
      </c>
      <c r="AY37">
        <v>10</v>
      </c>
      <c r="AZ37" t="b">
        <v>0</v>
      </c>
      <c r="BA37" t="s">
        <v>6210</v>
      </c>
      <c r="BB37" t="s">
        <v>5911</v>
      </c>
      <c r="BC37" t="s">
        <v>6210</v>
      </c>
      <c r="BD37">
        <v>10</v>
      </c>
      <c r="BE37">
        <v>0</v>
      </c>
      <c r="BF37" t="b">
        <v>0</v>
      </c>
      <c r="BG37">
        <v>0</v>
      </c>
      <c r="BH37">
        <v>10</v>
      </c>
      <c r="BI37" t="s">
        <v>6211</v>
      </c>
      <c r="BJ37" t="s">
        <v>6211</v>
      </c>
      <c r="BK37" t="s">
        <v>5911</v>
      </c>
      <c r="BL37" t="b">
        <v>0</v>
      </c>
      <c r="BM37">
        <v>0</v>
      </c>
      <c r="BN37">
        <v>50</v>
      </c>
      <c r="BO37">
        <v>0</v>
      </c>
      <c r="BP37" t="s">
        <v>6216</v>
      </c>
      <c r="BQ37">
        <v>1</v>
      </c>
      <c r="BR37">
        <v>125</v>
      </c>
      <c r="BS37">
        <v>145</v>
      </c>
      <c r="BT37">
        <v>0</v>
      </c>
      <c r="BU37">
        <v>0</v>
      </c>
      <c r="BV37">
        <v>112</v>
      </c>
      <c r="BW37">
        <v>0</v>
      </c>
      <c r="BX37">
        <v>0</v>
      </c>
      <c r="BY37">
        <v>13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2</v>
      </c>
      <c r="CF37">
        <v>10</v>
      </c>
    </row>
    <row r="38" spans="1:84">
      <c r="A38">
        <v>37</v>
      </c>
      <c r="B38" t="s">
        <v>6666</v>
      </c>
      <c r="C38">
        <v>7153</v>
      </c>
      <c r="D38">
        <v>1991</v>
      </c>
      <c r="E38">
        <v>839</v>
      </c>
      <c r="F38">
        <v>3146</v>
      </c>
      <c r="G38">
        <v>2064</v>
      </c>
      <c r="H38">
        <v>195</v>
      </c>
      <c r="I38">
        <v>264</v>
      </c>
      <c r="J38">
        <v>481</v>
      </c>
      <c r="K38">
        <v>1523133198</v>
      </c>
      <c r="L38">
        <v>1523133121</v>
      </c>
      <c r="M38">
        <v>0</v>
      </c>
      <c r="N38">
        <v>18</v>
      </c>
      <c r="O38">
        <v>33</v>
      </c>
      <c r="P38" t="b">
        <v>1</v>
      </c>
      <c r="Q38" t="s">
        <v>6210</v>
      </c>
      <c r="R38" t="s">
        <v>6210</v>
      </c>
      <c r="S38" t="s">
        <v>6210</v>
      </c>
      <c r="T38">
        <v>15</v>
      </c>
      <c r="U38">
        <v>0</v>
      </c>
      <c r="V38" t="b">
        <v>1</v>
      </c>
      <c r="W38">
        <v>9</v>
      </c>
      <c r="X38">
        <v>65</v>
      </c>
      <c r="Y38" t="s">
        <v>6088</v>
      </c>
      <c r="Z38" t="s">
        <v>6211</v>
      </c>
      <c r="AA38" t="s">
        <v>6213</v>
      </c>
      <c r="AB38" t="b">
        <v>0</v>
      </c>
      <c r="AC38">
        <v>1</v>
      </c>
      <c r="AD38">
        <v>5</v>
      </c>
      <c r="AE38">
        <v>1</v>
      </c>
      <c r="AF38" t="s">
        <v>6214</v>
      </c>
      <c r="AG38">
        <v>1</v>
      </c>
      <c r="AH38">
        <v>142</v>
      </c>
      <c r="AI38">
        <v>227</v>
      </c>
      <c r="AJ38">
        <v>0</v>
      </c>
      <c r="AK38">
        <v>0</v>
      </c>
      <c r="AL38">
        <v>1</v>
      </c>
      <c r="AM38">
        <v>5</v>
      </c>
      <c r="AN38">
        <v>0</v>
      </c>
      <c r="AO38">
        <v>136</v>
      </c>
      <c r="AP38">
        <v>1</v>
      </c>
      <c r="AQ38">
        <v>1</v>
      </c>
      <c r="AR38">
        <v>0</v>
      </c>
      <c r="AS38">
        <v>0</v>
      </c>
      <c r="AT38">
        <v>3</v>
      </c>
      <c r="AU38">
        <v>3</v>
      </c>
      <c r="AV38">
        <v>20</v>
      </c>
      <c r="AW38">
        <v>0</v>
      </c>
      <c r="AX38">
        <v>22</v>
      </c>
      <c r="AY38">
        <v>37</v>
      </c>
      <c r="AZ38" t="b">
        <v>1</v>
      </c>
      <c r="BA38" t="s">
        <v>6210</v>
      </c>
      <c r="BB38" t="s">
        <v>6210</v>
      </c>
      <c r="BC38" t="s">
        <v>6210</v>
      </c>
      <c r="BD38">
        <v>15</v>
      </c>
      <c r="BE38">
        <v>0</v>
      </c>
      <c r="BF38" t="b">
        <v>1</v>
      </c>
      <c r="BG38">
        <v>11</v>
      </c>
      <c r="BH38">
        <v>90</v>
      </c>
      <c r="BI38" t="s">
        <v>6213</v>
      </c>
      <c r="BJ38" t="s">
        <v>6088</v>
      </c>
      <c r="BK38" t="s">
        <v>6213</v>
      </c>
      <c r="BL38" t="b">
        <v>1</v>
      </c>
      <c r="BM38">
        <v>1</v>
      </c>
      <c r="BN38">
        <v>30</v>
      </c>
      <c r="BO38">
        <v>4</v>
      </c>
      <c r="BP38" t="s">
        <v>6214</v>
      </c>
      <c r="BQ38">
        <v>0</v>
      </c>
      <c r="BR38">
        <v>279</v>
      </c>
      <c r="BS38">
        <v>414</v>
      </c>
      <c r="BT38">
        <v>10</v>
      </c>
      <c r="BU38">
        <v>10</v>
      </c>
      <c r="BV38">
        <v>123</v>
      </c>
      <c r="BW38">
        <v>10</v>
      </c>
      <c r="BX38">
        <v>10</v>
      </c>
      <c r="BY38">
        <v>136</v>
      </c>
      <c r="BZ38">
        <v>3</v>
      </c>
      <c r="CA38">
        <v>3</v>
      </c>
      <c r="CB38">
        <v>3</v>
      </c>
      <c r="CC38">
        <v>3</v>
      </c>
      <c r="CD38">
        <v>3</v>
      </c>
      <c r="CE38">
        <v>3</v>
      </c>
      <c r="CF38">
        <v>45</v>
      </c>
    </row>
    <row r="39" spans="1:84">
      <c r="A39">
        <v>38</v>
      </c>
      <c r="B39" t="s">
        <v>6667</v>
      </c>
      <c r="C39">
        <v>173</v>
      </c>
      <c r="D39">
        <v>999</v>
      </c>
      <c r="E39">
        <v>6811</v>
      </c>
      <c r="F39">
        <v>1027</v>
      </c>
      <c r="G39">
        <v>5746</v>
      </c>
      <c r="H39">
        <v>3654</v>
      </c>
      <c r="I39">
        <v>342</v>
      </c>
      <c r="J39">
        <v>90</v>
      </c>
      <c r="K39">
        <v>1523133592</v>
      </c>
      <c r="L39">
        <v>1523133436</v>
      </c>
      <c r="M39">
        <v>0</v>
      </c>
      <c r="N39">
        <v>12</v>
      </c>
      <c r="O39">
        <v>27</v>
      </c>
      <c r="P39" t="b">
        <v>1</v>
      </c>
      <c r="Q39" t="s">
        <v>6210</v>
      </c>
      <c r="R39" t="s">
        <v>6210</v>
      </c>
      <c r="S39" t="s">
        <v>6210</v>
      </c>
      <c r="T39">
        <v>15</v>
      </c>
      <c r="U39">
        <v>0</v>
      </c>
      <c r="V39" t="b">
        <v>1</v>
      </c>
      <c r="W39">
        <v>6</v>
      </c>
      <c r="X39">
        <v>40</v>
      </c>
      <c r="Y39" t="s">
        <v>6211</v>
      </c>
      <c r="Z39" t="s">
        <v>6088</v>
      </c>
      <c r="AA39" t="s">
        <v>6211</v>
      </c>
      <c r="AB39" t="b">
        <v>0</v>
      </c>
      <c r="AC39">
        <v>1</v>
      </c>
      <c r="AD39">
        <v>0</v>
      </c>
      <c r="AE39">
        <v>3</v>
      </c>
      <c r="AF39" t="s">
        <v>6216</v>
      </c>
      <c r="AG39">
        <v>0</v>
      </c>
      <c r="AH39">
        <v>230</v>
      </c>
      <c r="AI39">
        <v>315</v>
      </c>
      <c r="AJ39">
        <v>3</v>
      </c>
      <c r="AK39">
        <v>0</v>
      </c>
      <c r="AL39">
        <v>84</v>
      </c>
      <c r="AM39">
        <v>7</v>
      </c>
      <c r="AN39">
        <v>0</v>
      </c>
      <c r="AO39">
        <v>136</v>
      </c>
      <c r="AP39">
        <v>3</v>
      </c>
      <c r="AQ39">
        <v>3</v>
      </c>
      <c r="AR39">
        <v>0</v>
      </c>
      <c r="AS39">
        <v>3</v>
      </c>
      <c r="AT39">
        <v>3</v>
      </c>
      <c r="AU39">
        <v>3</v>
      </c>
      <c r="AV39">
        <v>45</v>
      </c>
      <c r="AW39">
        <v>0</v>
      </c>
      <c r="AX39">
        <v>0</v>
      </c>
      <c r="AY39">
        <v>15</v>
      </c>
      <c r="AZ39" t="b">
        <v>0</v>
      </c>
      <c r="BA39" t="s">
        <v>6210</v>
      </c>
      <c r="BB39" t="s">
        <v>6210</v>
      </c>
      <c r="BC39" t="s">
        <v>6210</v>
      </c>
      <c r="BD39">
        <v>15</v>
      </c>
      <c r="BE39">
        <v>0</v>
      </c>
      <c r="BF39" t="b">
        <v>0</v>
      </c>
      <c r="BG39">
        <v>0</v>
      </c>
      <c r="BH39">
        <v>10</v>
      </c>
      <c r="BI39" t="s">
        <v>5911</v>
      </c>
      <c r="BJ39" t="s">
        <v>6211</v>
      </c>
      <c r="BK39" t="s">
        <v>6211</v>
      </c>
      <c r="BL39" t="b">
        <v>0</v>
      </c>
      <c r="BM39">
        <v>0</v>
      </c>
      <c r="BN39">
        <v>5</v>
      </c>
      <c r="BO39">
        <v>0</v>
      </c>
      <c r="BP39" t="s">
        <v>6216</v>
      </c>
      <c r="BQ39">
        <v>0</v>
      </c>
      <c r="BR39">
        <v>40</v>
      </c>
      <c r="BS39">
        <v>70</v>
      </c>
      <c r="BT39">
        <v>0</v>
      </c>
      <c r="BU39">
        <v>10</v>
      </c>
      <c r="BV39">
        <v>21</v>
      </c>
      <c r="BW39">
        <v>0</v>
      </c>
      <c r="BX39">
        <v>10</v>
      </c>
      <c r="BY39">
        <v>19</v>
      </c>
      <c r="BZ39">
        <v>0</v>
      </c>
      <c r="CA39">
        <v>1</v>
      </c>
      <c r="CB39">
        <v>3</v>
      </c>
      <c r="CC39">
        <v>3</v>
      </c>
      <c r="CD39">
        <v>0</v>
      </c>
      <c r="CE39">
        <v>0</v>
      </c>
      <c r="CF39">
        <v>20</v>
      </c>
    </row>
    <row r="40" spans="1:84">
      <c r="A40">
        <v>39</v>
      </c>
      <c r="B40" t="s">
        <v>6668</v>
      </c>
      <c r="C40">
        <v>2067</v>
      </c>
      <c r="D40">
        <v>230</v>
      </c>
      <c r="E40">
        <v>155</v>
      </c>
      <c r="F40">
        <v>6895</v>
      </c>
      <c r="G40">
        <v>7127</v>
      </c>
      <c r="H40">
        <v>236</v>
      </c>
      <c r="I40">
        <v>475</v>
      </c>
      <c r="J40">
        <v>278</v>
      </c>
      <c r="K40">
        <v>1523134546</v>
      </c>
      <c r="L40">
        <v>1523134442</v>
      </c>
      <c r="M40">
        <v>0</v>
      </c>
      <c r="N40">
        <v>18</v>
      </c>
      <c r="O40">
        <v>33</v>
      </c>
      <c r="P40" t="b">
        <v>0</v>
      </c>
      <c r="Q40" t="s">
        <v>6210</v>
      </c>
      <c r="R40" t="s">
        <v>6210</v>
      </c>
      <c r="S40" t="s">
        <v>6210</v>
      </c>
      <c r="T40">
        <v>15</v>
      </c>
      <c r="U40">
        <v>9</v>
      </c>
      <c r="V40" t="b">
        <v>0</v>
      </c>
      <c r="W40">
        <v>0</v>
      </c>
      <c r="X40">
        <v>90</v>
      </c>
      <c r="Y40" t="s">
        <v>6088</v>
      </c>
      <c r="Z40" t="s">
        <v>6213</v>
      </c>
      <c r="AA40" t="s">
        <v>6213</v>
      </c>
      <c r="AB40" t="b">
        <v>1</v>
      </c>
      <c r="AC40">
        <v>0</v>
      </c>
      <c r="AD40">
        <v>85</v>
      </c>
      <c r="AE40">
        <v>3</v>
      </c>
      <c r="AF40" t="s">
        <v>6216</v>
      </c>
      <c r="AG40">
        <v>0</v>
      </c>
      <c r="AH40">
        <v>222</v>
      </c>
      <c r="AI40">
        <v>357</v>
      </c>
      <c r="AJ40">
        <v>10</v>
      </c>
      <c r="AK40">
        <v>10</v>
      </c>
      <c r="AL40">
        <v>127</v>
      </c>
      <c r="AM40">
        <v>10</v>
      </c>
      <c r="AN40">
        <v>10</v>
      </c>
      <c r="AO40">
        <v>75</v>
      </c>
      <c r="AP40">
        <v>3</v>
      </c>
      <c r="AQ40">
        <v>3</v>
      </c>
      <c r="AR40">
        <v>3</v>
      </c>
      <c r="AS40">
        <v>3</v>
      </c>
      <c r="AT40">
        <v>3</v>
      </c>
      <c r="AU40">
        <v>3</v>
      </c>
      <c r="AV40">
        <v>45</v>
      </c>
      <c r="AW40">
        <v>0</v>
      </c>
      <c r="AX40">
        <v>6</v>
      </c>
      <c r="AY40">
        <v>16</v>
      </c>
      <c r="AZ40" t="b">
        <v>0</v>
      </c>
      <c r="BA40" t="s">
        <v>6210</v>
      </c>
      <c r="BB40" t="s">
        <v>6210</v>
      </c>
      <c r="BC40" t="s">
        <v>5911</v>
      </c>
      <c r="BD40">
        <v>10</v>
      </c>
      <c r="BE40">
        <v>0</v>
      </c>
      <c r="BF40" t="b">
        <v>1</v>
      </c>
      <c r="BG40">
        <v>3</v>
      </c>
      <c r="BH40">
        <v>90</v>
      </c>
      <c r="BI40" t="s">
        <v>6213</v>
      </c>
      <c r="BJ40" t="s">
        <v>6088</v>
      </c>
      <c r="BK40" t="s">
        <v>6213</v>
      </c>
      <c r="BL40" t="b">
        <v>1</v>
      </c>
      <c r="BM40">
        <v>7</v>
      </c>
      <c r="BN40">
        <v>0</v>
      </c>
      <c r="BO40">
        <v>1</v>
      </c>
      <c r="BP40" t="s">
        <v>6216</v>
      </c>
      <c r="BQ40">
        <v>2</v>
      </c>
      <c r="BR40">
        <v>147</v>
      </c>
      <c r="BS40">
        <v>262</v>
      </c>
      <c r="BT40">
        <v>0</v>
      </c>
      <c r="BU40">
        <v>10</v>
      </c>
      <c r="BV40">
        <v>11</v>
      </c>
      <c r="BW40">
        <v>0</v>
      </c>
      <c r="BX40">
        <v>0</v>
      </c>
      <c r="BY40">
        <v>136</v>
      </c>
      <c r="BZ40">
        <v>0</v>
      </c>
      <c r="CA40">
        <v>0</v>
      </c>
      <c r="CB40">
        <v>2</v>
      </c>
      <c r="CC40">
        <v>2</v>
      </c>
      <c r="CD40">
        <v>3</v>
      </c>
      <c r="CE40">
        <v>3</v>
      </c>
      <c r="CF40">
        <v>25</v>
      </c>
    </row>
    <row r="41" spans="1:84">
      <c r="A41">
        <v>40</v>
      </c>
      <c r="B41" t="s">
        <v>6669</v>
      </c>
      <c r="C41">
        <v>1085</v>
      </c>
      <c r="D41">
        <v>176</v>
      </c>
      <c r="E41">
        <v>177</v>
      </c>
      <c r="F41">
        <v>2170</v>
      </c>
      <c r="G41">
        <v>181</v>
      </c>
      <c r="H41">
        <v>1973</v>
      </c>
      <c r="I41">
        <v>403</v>
      </c>
      <c r="J41">
        <v>356</v>
      </c>
      <c r="K41">
        <v>1523134973</v>
      </c>
      <c r="L41">
        <v>1523134862</v>
      </c>
      <c r="M41">
        <v>0</v>
      </c>
      <c r="N41">
        <v>18</v>
      </c>
      <c r="O41">
        <v>33</v>
      </c>
      <c r="P41" t="b">
        <v>1</v>
      </c>
      <c r="Q41" t="s">
        <v>6210</v>
      </c>
      <c r="R41" t="s">
        <v>6210</v>
      </c>
      <c r="S41" t="s">
        <v>6210</v>
      </c>
      <c r="T41">
        <v>15</v>
      </c>
      <c r="U41">
        <v>0</v>
      </c>
      <c r="V41" t="b">
        <v>1</v>
      </c>
      <c r="W41">
        <v>9</v>
      </c>
      <c r="X41">
        <v>60</v>
      </c>
      <c r="Y41" t="s">
        <v>6088</v>
      </c>
      <c r="Z41" t="s">
        <v>5911</v>
      </c>
      <c r="AA41" t="s">
        <v>6213</v>
      </c>
      <c r="AB41" t="b">
        <v>0</v>
      </c>
      <c r="AC41">
        <v>0</v>
      </c>
      <c r="AD41">
        <v>40</v>
      </c>
      <c r="AE41">
        <v>3</v>
      </c>
      <c r="AF41" t="s">
        <v>6212</v>
      </c>
      <c r="AG41">
        <v>1</v>
      </c>
      <c r="AH41">
        <v>240</v>
      </c>
      <c r="AI41">
        <v>330</v>
      </c>
      <c r="AJ41">
        <v>3</v>
      </c>
      <c r="AK41">
        <v>0</v>
      </c>
      <c r="AL41">
        <v>91</v>
      </c>
      <c r="AM41">
        <v>10</v>
      </c>
      <c r="AN41">
        <v>0</v>
      </c>
      <c r="AO41">
        <v>136</v>
      </c>
      <c r="AP41">
        <v>3</v>
      </c>
      <c r="AQ41">
        <v>3</v>
      </c>
      <c r="AR41">
        <v>0</v>
      </c>
      <c r="AS41">
        <v>0</v>
      </c>
      <c r="AT41">
        <v>3</v>
      </c>
      <c r="AU41">
        <v>3</v>
      </c>
      <c r="AV41">
        <v>30</v>
      </c>
      <c r="AW41">
        <v>0</v>
      </c>
      <c r="AX41">
        <v>26</v>
      </c>
      <c r="AY41">
        <v>41</v>
      </c>
      <c r="AZ41" t="b">
        <v>1</v>
      </c>
      <c r="BA41" t="s">
        <v>6210</v>
      </c>
      <c r="BB41" t="s">
        <v>6210</v>
      </c>
      <c r="BC41" t="s">
        <v>6210</v>
      </c>
      <c r="BD41">
        <v>15</v>
      </c>
      <c r="BE41">
        <v>2</v>
      </c>
      <c r="BF41" t="b">
        <v>1</v>
      </c>
      <c r="BG41">
        <v>11</v>
      </c>
      <c r="BH41">
        <v>65</v>
      </c>
      <c r="BI41" t="s">
        <v>6088</v>
      </c>
      <c r="BJ41" t="s">
        <v>6213</v>
      </c>
      <c r="BK41" t="s">
        <v>6211</v>
      </c>
      <c r="BL41" t="b">
        <v>0</v>
      </c>
      <c r="BM41">
        <v>3</v>
      </c>
      <c r="BN41">
        <v>25</v>
      </c>
      <c r="BO41">
        <v>1</v>
      </c>
      <c r="BP41" t="s">
        <v>6212</v>
      </c>
      <c r="BQ41">
        <v>1</v>
      </c>
      <c r="BR41">
        <v>185</v>
      </c>
      <c r="BS41">
        <v>290</v>
      </c>
      <c r="BT41">
        <v>10</v>
      </c>
      <c r="BU41">
        <v>10</v>
      </c>
      <c r="BV41">
        <v>29</v>
      </c>
      <c r="BW41">
        <v>10</v>
      </c>
      <c r="BX41">
        <v>0</v>
      </c>
      <c r="BY41">
        <v>136</v>
      </c>
      <c r="BZ41">
        <v>3</v>
      </c>
      <c r="CA41">
        <v>3</v>
      </c>
      <c r="CB41">
        <v>2</v>
      </c>
      <c r="CC41">
        <v>2</v>
      </c>
      <c r="CD41">
        <v>3</v>
      </c>
      <c r="CE41">
        <v>3</v>
      </c>
      <c r="CF41">
        <v>40</v>
      </c>
    </row>
    <row r="42" spans="1:84">
      <c r="A42">
        <v>41</v>
      </c>
      <c r="B42" t="s">
        <v>6670</v>
      </c>
      <c r="C42">
        <v>2836</v>
      </c>
      <c r="D42">
        <v>3634</v>
      </c>
      <c r="E42">
        <v>5129</v>
      </c>
      <c r="F42">
        <v>5142</v>
      </c>
      <c r="G42">
        <v>4987</v>
      </c>
      <c r="H42">
        <v>190</v>
      </c>
      <c r="I42">
        <v>246</v>
      </c>
      <c r="J42">
        <v>349</v>
      </c>
      <c r="K42">
        <v>1523135392</v>
      </c>
      <c r="L42">
        <v>1523135281</v>
      </c>
      <c r="M42">
        <v>0</v>
      </c>
      <c r="N42">
        <v>18</v>
      </c>
      <c r="O42">
        <v>33</v>
      </c>
      <c r="P42" t="b">
        <v>1</v>
      </c>
      <c r="Q42" t="s">
        <v>6210</v>
      </c>
      <c r="R42" t="s">
        <v>6210</v>
      </c>
      <c r="S42" t="s">
        <v>6210</v>
      </c>
      <c r="T42">
        <v>15</v>
      </c>
      <c r="U42">
        <v>0</v>
      </c>
      <c r="V42" t="b">
        <v>1</v>
      </c>
      <c r="W42">
        <v>9</v>
      </c>
      <c r="X42">
        <v>40</v>
      </c>
      <c r="Y42" t="s">
        <v>6211</v>
      </c>
      <c r="Z42" t="s">
        <v>6211</v>
      </c>
      <c r="AA42" t="s">
        <v>6088</v>
      </c>
      <c r="AB42" t="b">
        <v>0</v>
      </c>
      <c r="AC42">
        <v>1</v>
      </c>
      <c r="AD42">
        <v>0</v>
      </c>
      <c r="AE42">
        <v>1</v>
      </c>
      <c r="AF42" t="s">
        <v>6212</v>
      </c>
      <c r="AG42">
        <v>0</v>
      </c>
      <c r="AH42">
        <v>143</v>
      </c>
      <c r="AI42">
        <v>213</v>
      </c>
      <c r="AJ42">
        <v>0</v>
      </c>
      <c r="AK42">
        <v>0</v>
      </c>
      <c r="AL42">
        <v>0</v>
      </c>
      <c r="AM42">
        <v>7</v>
      </c>
      <c r="AN42">
        <v>0</v>
      </c>
      <c r="AO42">
        <v>136</v>
      </c>
      <c r="AP42">
        <v>3</v>
      </c>
      <c r="AQ42">
        <v>3</v>
      </c>
      <c r="AR42">
        <v>0</v>
      </c>
      <c r="AS42">
        <v>0</v>
      </c>
      <c r="AT42">
        <v>3</v>
      </c>
      <c r="AU42">
        <v>3</v>
      </c>
      <c r="AV42">
        <v>30</v>
      </c>
      <c r="AW42">
        <v>0</v>
      </c>
      <c r="AX42">
        <v>2</v>
      </c>
      <c r="AY42">
        <v>17</v>
      </c>
      <c r="AZ42" t="b">
        <v>0</v>
      </c>
      <c r="BA42" t="s">
        <v>6210</v>
      </c>
      <c r="BB42" t="s">
        <v>6210</v>
      </c>
      <c r="BC42" t="s">
        <v>6210</v>
      </c>
      <c r="BD42">
        <v>15</v>
      </c>
      <c r="BE42">
        <v>1</v>
      </c>
      <c r="BF42" t="b">
        <v>0</v>
      </c>
      <c r="BG42">
        <v>0</v>
      </c>
      <c r="BH42">
        <v>40</v>
      </c>
      <c r="BI42" t="s">
        <v>6211</v>
      </c>
      <c r="BJ42" t="s">
        <v>6211</v>
      </c>
      <c r="BK42" t="s">
        <v>6088</v>
      </c>
      <c r="BL42" t="b">
        <v>0</v>
      </c>
      <c r="BM42">
        <v>0</v>
      </c>
      <c r="BN42">
        <v>5</v>
      </c>
      <c r="BO42">
        <v>2</v>
      </c>
      <c r="BP42" t="s">
        <v>6212</v>
      </c>
      <c r="BQ42">
        <v>0</v>
      </c>
      <c r="BR42">
        <v>257</v>
      </c>
      <c r="BS42">
        <v>327</v>
      </c>
      <c r="BT42">
        <v>10</v>
      </c>
      <c r="BU42">
        <v>0</v>
      </c>
      <c r="BV42">
        <v>124</v>
      </c>
      <c r="BW42">
        <v>10</v>
      </c>
      <c r="BX42">
        <v>0</v>
      </c>
      <c r="BY42">
        <v>113</v>
      </c>
      <c r="BZ42">
        <v>3</v>
      </c>
      <c r="CA42">
        <v>3</v>
      </c>
      <c r="CB42">
        <v>0</v>
      </c>
      <c r="CC42">
        <v>0</v>
      </c>
      <c r="CD42">
        <v>3</v>
      </c>
      <c r="CE42">
        <v>3</v>
      </c>
      <c r="CF42">
        <v>30</v>
      </c>
    </row>
    <row r="43" spans="1:84">
      <c r="A43">
        <v>42</v>
      </c>
      <c r="B43" t="s">
        <v>6671</v>
      </c>
      <c r="C43">
        <v>6811</v>
      </c>
      <c r="D43">
        <v>6333</v>
      </c>
      <c r="E43">
        <v>2067</v>
      </c>
      <c r="F43">
        <v>195</v>
      </c>
      <c r="G43">
        <v>5686</v>
      </c>
      <c r="H43">
        <v>839</v>
      </c>
      <c r="I43">
        <v>204</v>
      </c>
      <c r="J43">
        <v>429</v>
      </c>
      <c r="K43">
        <v>1523135742</v>
      </c>
      <c r="L43">
        <v>1523135582</v>
      </c>
      <c r="M43">
        <v>0</v>
      </c>
      <c r="N43">
        <v>20</v>
      </c>
      <c r="O43">
        <v>35</v>
      </c>
      <c r="P43" t="b">
        <v>1</v>
      </c>
      <c r="Q43" t="s">
        <v>6210</v>
      </c>
      <c r="R43" t="s">
        <v>6210</v>
      </c>
      <c r="S43" t="s">
        <v>6210</v>
      </c>
      <c r="T43">
        <v>15</v>
      </c>
      <c r="U43">
        <v>0</v>
      </c>
      <c r="V43" t="b">
        <v>1</v>
      </c>
      <c r="W43">
        <v>10</v>
      </c>
      <c r="X43">
        <v>65</v>
      </c>
      <c r="Y43" t="s">
        <v>6211</v>
      </c>
      <c r="Z43" t="s">
        <v>6088</v>
      </c>
      <c r="AA43" t="s">
        <v>6213</v>
      </c>
      <c r="AB43" t="b">
        <v>0</v>
      </c>
      <c r="AC43">
        <v>0</v>
      </c>
      <c r="AD43">
        <v>0</v>
      </c>
      <c r="AE43">
        <v>1</v>
      </c>
      <c r="AF43" t="s">
        <v>6216</v>
      </c>
      <c r="AG43">
        <v>1</v>
      </c>
      <c r="AH43">
        <v>79</v>
      </c>
      <c r="AI43">
        <v>169</v>
      </c>
      <c r="AJ43">
        <v>0</v>
      </c>
      <c r="AK43">
        <v>0</v>
      </c>
      <c r="AL43">
        <v>0</v>
      </c>
      <c r="AM43">
        <v>0</v>
      </c>
      <c r="AN43">
        <v>10</v>
      </c>
      <c r="AO43">
        <v>79</v>
      </c>
      <c r="AP43">
        <v>0</v>
      </c>
      <c r="AQ43">
        <v>1</v>
      </c>
      <c r="AR43">
        <v>1</v>
      </c>
      <c r="AS43">
        <v>1</v>
      </c>
      <c r="AT43">
        <v>3</v>
      </c>
      <c r="AU43">
        <v>3</v>
      </c>
      <c r="AV43">
        <v>25</v>
      </c>
      <c r="AW43">
        <v>0</v>
      </c>
      <c r="AX43">
        <v>22</v>
      </c>
      <c r="AY43">
        <v>37</v>
      </c>
      <c r="AZ43" t="b">
        <v>1</v>
      </c>
      <c r="BA43" t="s">
        <v>6210</v>
      </c>
      <c r="BB43" t="s">
        <v>6210</v>
      </c>
      <c r="BC43" t="s">
        <v>6210</v>
      </c>
      <c r="BD43">
        <v>15</v>
      </c>
      <c r="BE43">
        <v>0</v>
      </c>
      <c r="BF43" t="b">
        <v>1</v>
      </c>
      <c r="BG43">
        <v>11</v>
      </c>
      <c r="BH43">
        <v>40</v>
      </c>
      <c r="BI43" t="s">
        <v>6088</v>
      </c>
      <c r="BJ43" t="s">
        <v>6211</v>
      </c>
      <c r="BK43" t="s">
        <v>6211</v>
      </c>
      <c r="BL43" t="b">
        <v>0</v>
      </c>
      <c r="BM43">
        <v>0</v>
      </c>
      <c r="BN43">
        <v>25</v>
      </c>
      <c r="BO43">
        <v>3</v>
      </c>
      <c r="BP43" t="s">
        <v>6216</v>
      </c>
      <c r="BQ43">
        <v>0</v>
      </c>
      <c r="BR43">
        <v>282</v>
      </c>
      <c r="BS43">
        <v>367</v>
      </c>
      <c r="BT43">
        <v>10</v>
      </c>
      <c r="BU43">
        <v>10</v>
      </c>
      <c r="BV43">
        <v>126</v>
      </c>
      <c r="BW43">
        <v>10</v>
      </c>
      <c r="BX43">
        <v>10</v>
      </c>
      <c r="BY43">
        <v>136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45</v>
      </c>
    </row>
    <row r="44" spans="1:84">
      <c r="A44">
        <v>43</v>
      </c>
      <c r="B44" t="s">
        <v>6672</v>
      </c>
      <c r="C44">
        <v>1991</v>
      </c>
      <c r="D44">
        <v>155</v>
      </c>
      <c r="E44">
        <v>3654</v>
      </c>
      <c r="F44">
        <v>5746</v>
      </c>
      <c r="G44">
        <v>177</v>
      </c>
      <c r="H44">
        <v>181</v>
      </c>
      <c r="I44">
        <v>252</v>
      </c>
      <c r="J44">
        <v>409</v>
      </c>
      <c r="K44">
        <v>1523136206</v>
      </c>
      <c r="L44">
        <v>1523136063</v>
      </c>
      <c r="M44">
        <v>0</v>
      </c>
      <c r="N44">
        <v>32</v>
      </c>
      <c r="O44">
        <v>47</v>
      </c>
      <c r="P44" t="b">
        <v>1</v>
      </c>
      <c r="Q44" t="s">
        <v>6210</v>
      </c>
      <c r="R44" t="s">
        <v>6210</v>
      </c>
      <c r="S44" t="s">
        <v>6210</v>
      </c>
      <c r="T44">
        <v>15</v>
      </c>
      <c r="U44">
        <v>5</v>
      </c>
      <c r="V44" t="b">
        <v>1</v>
      </c>
      <c r="W44">
        <v>11</v>
      </c>
      <c r="X44">
        <v>65</v>
      </c>
      <c r="Y44" t="s">
        <v>6088</v>
      </c>
      <c r="Z44" t="s">
        <v>6213</v>
      </c>
      <c r="AA44" t="s">
        <v>6211</v>
      </c>
      <c r="AB44" t="b">
        <v>0</v>
      </c>
      <c r="AC44">
        <v>1</v>
      </c>
      <c r="AD44">
        <v>30</v>
      </c>
      <c r="AE44">
        <v>1</v>
      </c>
      <c r="AF44" t="s">
        <v>6215</v>
      </c>
      <c r="AG44">
        <v>0</v>
      </c>
      <c r="AH44">
        <v>65</v>
      </c>
      <c r="AI44">
        <v>175</v>
      </c>
      <c r="AJ44">
        <v>0</v>
      </c>
      <c r="AK44">
        <v>10</v>
      </c>
      <c r="AL44">
        <v>21</v>
      </c>
      <c r="AM44">
        <v>0</v>
      </c>
      <c r="AN44">
        <v>10</v>
      </c>
      <c r="AO44">
        <v>44</v>
      </c>
      <c r="AP44">
        <v>3</v>
      </c>
      <c r="AQ44">
        <v>3</v>
      </c>
      <c r="AR44">
        <v>3</v>
      </c>
      <c r="AS44">
        <v>3</v>
      </c>
      <c r="AT44">
        <v>3</v>
      </c>
      <c r="AU44">
        <v>3</v>
      </c>
      <c r="AV44">
        <v>45</v>
      </c>
      <c r="AW44">
        <v>0</v>
      </c>
      <c r="AX44">
        <v>2</v>
      </c>
      <c r="AY44">
        <v>17</v>
      </c>
      <c r="AZ44" t="b">
        <v>0</v>
      </c>
      <c r="BA44" t="s">
        <v>6210</v>
      </c>
      <c r="BB44" t="s">
        <v>6210</v>
      </c>
      <c r="BC44" t="s">
        <v>6210</v>
      </c>
      <c r="BD44">
        <v>15</v>
      </c>
      <c r="BE44">
        <v>1</v>
      </c>
      <c r="BF44" t="b">
        <v>0</v>
      </c>
      <c r="BG44">
        <v>0</v>
      </c>
      <c r="BH44">
        <v>90</v>
      </c>
      <c r="BI44" t="s">
        <v>6088</v>
      </c>
      <c r="BJ44" t="s">
        <v>6213</v>
      </c>
      <c r="BK44" t="s">
        <v>6213</v>
      </c>
      <c r="BL44" t="b">
        <v>1</v>
      </c>
      <c r="BM44">
        <v>1</v>
      </c>
      <c r="BN44">
        <v>5</v>
      </c>
      <c r="BO44">
        <v>3</v>
      </c>
      <c r="BP44" t="s">
        <v>6215</v>
      </c>
      <c r="BQ44">
        <v>1</v>
      </c>
      <c r="BR44">
        <v>252</v>
      </c>
      <c r="BS44">
        <v>387</v>
      </c>
      <c r="BT44">
        <v>10</v>
      </c>
      <c r="BU44">
        <v>10</v>
      </c>
      <c r="BV44">
        <v>112</v>
      </c>
      <c r="BW44">
        <v>10</v>
      </c>
      <c r="BX44">
        <v>10</v>
      </c>
      <c r="BY44">
        <v>120</v>
      </c>
      <c r="BZ44">
        <v>3</v>
      </c>
      <c r="CA44">
        <v>3</v>
      </c>
      <c r="CB44">
        <v>3</v>
      </c>
      <c r="CC44">
        <v>3</v>
      </c>
      <c r="CD44">
        <v>3</v>
      </c>
      <c r="CE44">
        <v>3</v>
      </c>
      <c r="CF44">
        <v>45</v>
      </c>
    </row>
    <row r="45" spans="1:84">
      <c r="A45">
        <v>44</v>
      </c>
      <c r="B45" t="s">
        <v>6673</v>
      </c>
      <c r="C45">
        <v>2170</v>
      </c>
      <c r="D45">
        <v>175</v>
      </c>
      <c r="E45">
        <v>5129</v>
      </c>
      <c r="F45">
        <v>4987</v>
      </c>
      <c r="G45">
        <v>1085</v>
      </c>
      <c r="H45">
        <v>173</v>
      </c>
      <c r="I45">
        <v>336</v>
      </c>
      <c r="J45">
        <v>213</v>
      </c>
      <c r="K45">
        <v>1523136575</v>
      </c>
      <c r="L45">
        <v>1523136398</v>
      </c>
      <c r="M45">
        <v>0</v>
      </c>
      <c r="N45">
        <v>22</v>
      </c>
      <c r="O45">
        <v>37</v>
      </c>
      <c r="P45" t="b">
        <v>1</v>
      </c>
      <c r="Q45" t="s">
        <v>6210</v>
      </c>
      <c r="R45" t="s">
        <v>6210</v>
      </c>
      <c r="S45" t="s">
        <v>6210</v>
      </c>
      <c r="T45">
        <v>15</v>
      </c>
      <c r="U45">
        <v>0</v>
      </c>
      <c r="V45" t="b">
        <v>1</v>
      </c>
      <c r="W45">
        <v>11</v>
      </c>
      <c r="X45">
        <v>65</v>
      </c>
      <c r="Y45" t="s">
        <v>6211</v>
      </c>
      <c r="Z45" t="s">
        <v>6213</v>
      </c>
      <c r="AA45" t="s">
        <v>6088</v>
      </c>
      <c r="AB45" t="b">
        <v>0</v>
      </c>
      <c r="AC45">
        <v>1</v>
      </c>
      <c r="AD45">
        <v>0</v>
      </c>
      <c r="AE45">
        <v>3</v>
      </c>
      <c r="AF45" t="s">
        <v>6216</v>
      </c>
      <c r="AG45">
        <v>0</v>
      </c>
      <c r="AH45">
        <v>189</v>
      </c>
      <c r="AI45">
        <v>299</v>
      </c>
      <c r="AJ45">
        <v>4</v>
      </c>
      <c r="AK45">
        <v>10</v>
      </c>
      <c r="AL45">
        <v>39</v>
      </c>
      <c r="AM45">
        <v>10</v>
      </c>
      <c r="AN45">
        <v>10</v>
      </c>
      <c r="AO45">
        <v>136</v>
      </c>
      <c r="AP45">
        <v>3</v>
      </c>
      <c r="AQ45">
        <v>3</v>
      </c>
      <c r="AR45">
        <v>3</v>
      </c>
      <c r="AS45">
        <v>3</v>
      </c>
      <c r="AT45">
        <v>3</v>
      </c>
      <c r="AU45">
        <v>3</v>
      </c>
      <c r="AV45">
        <v>45</v>
      </c>
      <c r="AW45">
        <v>0</v>
      </c>
      <c r="AX45">
        <v>12</v>
      </c>
      <c r="AY45">
        <v>27</v>
      </c>
      <c r="AZ45" t="b">
        <v>1</v>
      </c>
      <c r="BA45" t="s">
        <v>6210</v>
      </c>
      <c r="BB45" t="s">
        <v>6210</v>
      </c>
      <c r="BC45" t="s">
        <v>6210</v>
      </c>
      <c r="BD45">
        <v>15</v>
      </c>
      <c r="BE45">
        <v>0</v>
      </c>
      <c r="BF45" t="b">
        <v>1</v>
      </c>
      <c r="BG45">
        <v>6</v>
      </c>
      <c r="BH45">
        <v>10</v>
      </c>
      <c r="BI45" t="s">
        <v>6211</v>
      </c>
      <c r="BJ45" t="s">
        <v>5911</v>
      </c>
      <c r="BK45" t="s">
        <v>6211</v>
      </c>
      <c r="BL45" t="b">
        <v>0</v>
      </c>
      <c r="BM45">
        <v>0</v>
      </c>
      <c r="BN45">
        <v>5</v>
      </c>
      <c r="BO45">
        <v>1</v>
      </c>
      <c r="BP45" t="s">
        <v>6216</v>
      </c>
      <c r="BQ45">
        <v>0</v>
      </c>
      <c r="BR45">
        <v>166</v>
      </c>
      <c r="BS45">
        <v>181</v>
      </c>
      <c r="BT45">
        <v>0</v>
      </c>
      <c r="BU45">
        <v>0</v>
      </c>
      <c r="BV45">
        <v>50</v>
      </c>
      <c r="BW45">
        <v>0</v>
      </c>
      <c r="BX45">
        <v>0</v>
      </c>
      <c r="BY45">
        <v>116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1</v>
      </c>
      <c r="CF45">
        <v>5</v>
      </c>
    </row>
    <row r="46" spans="1:84">
      <c r="A46">
        <v>45</v>
      </c>
      <c r="B46" t="s">
        <v>6674</v>
      </c>
      <c r="C46">
        <v>1027</v>
      </c>
      <c r="D46">
        <v>5142</v>
      </c>
      <c r="E46">
        <v>176</v>
      </c>
      <c r="F46">
        <v>230</v>
      </c>
      <c r="G46">
        <v>2785</v>
      </c>
      <c r="H46">
        <v>999</v>
      </c>
      <c r="I46">
        <v>213</v>
      </c>
      <c r="J46">
        <v>496</v>
      </c>
      <c r="K46">
        <v>1523137122</v>
      </c>
      <c r="L46">
        <v>1523137024</v>
      </c>
      <c r="M46">
        <v>0</v>
      </c>
      <c r="N46">
        <v>22</v>
      </c>
      <c r="O46">
        <v>37</v>
      </c>
      <c r="P46" t="b">
        <v>1</v>
      </c>
      <c r="Q46" t="s">
        <v>6210</v>
      </c>
      <c r="R46" t="s">
        <v>6210</v>
      </c>
      <c r="S46" t="s">
        <v>6210</v>
      </c>
      <c r="T46">
        <v>15</v>
      </c>
      <c r="U46">
        <v>0</v>
      </c>
      <c r="V46" t="b">
        <v>1</v>
      </c>
      <c r="W46">
        <v>11</v>
      </c>
      <c r="X46">
        <v>35</v>
      </c>
      <c r="Y46" t="s">
        <v>6211</v>
      </c>
      <c r="Z46" t="s">
        <v>5911</v>
      </c>
      <c r="AA46" t="s">
        <v>6088</v>
      </c>
      <c r="AB46" t="b">
        <v>0</v>
      </c>
      <c r="AC46">
        <v>0</v>
      </c>
      <c r="AD46">
        <v>50</v>
      </c>
      <c r="AE46">
        <v>1</v>
      </c>
      <c r="AF46" t="s">
        <v>6214</v>
      </c>
      <c r="AG46">
        <v>3</v>
      </c>
      <c r="AH46">
        <v>66</v>
      </c>
      <c r="AI46">
        <v>126</v>
      </c>
      <c r="AJ46">
        <v>0</v>
      </c>
      <c r="AK46">
        <v>10</v>
      </c>
      <c r="AL46">
        <v>11</v>
      </c>
      <c r="AM46">
        <v>0</v>
      </c>
      <c r="AN46">
        <v>0</v>
      </c>
      <c r="AO46">
        <v>55</v>
      </c>
      <c r="AP46">
        <v>0</v>
      </c>
      <c r="AQ46">
        <v>0</v>
      </c>
      <c r="AR46">
        <v>2</v>
      </c>
      <c r="AS46">
        <v>2</v>
      </c>
      <c r="AT46">
        <v>3</v>
      </c>
      <c r="AU46">
        <v>3</v>
      </c>
      <c r="AV46">
        <v>25</v>
      </c>
      <c r="AW46">
        <v>0</v>
      </c>
      <c r="AX46">
        <v>18</v>
      </c>
      <c r="AY46">
        <v>33</v>
      </c>
      <c r="AZ46" t="b">
        <v>0</v>
      </c>
      <c r="BA46" t="s">
        <v>6210</v>
      </c>
      <c r="BB46" t="s">
        <v>6210</v>
      </c>
      <c r="BC46" t="s">
        <v>6210</v>
      </c>
      <c r="BD46">
        <v>15</v>
      </c>
      <c r="BE46">
        <v>9</v>
      </c>
      <c r="BF46" t="b">
        <v>0</v>
      </c>
      <c r="BG46">
        <v>0</v>
      </c>
      <c r="BH46">
        <v>65</v>
      </c>
      <c r="BI46" t="s">
        <v>6213</v>
      </c>
      <c r="BJ46" t="s">
        <v>6211</v>
      </c>
      <c r="BK46" t="s">
        <v>6088</v>
      </c>
      <c r="BL46" t="b">
        <v>0</v>
      </c>
      <c r="BM46">
        <v>0</v>
      </c>
      <c r="BN46">
        <v>75</v>
      </c>
      <c r="BO46">
        <v>2</v>
      </c>
      <c r="BP46" t="s">
        <v>6214</v>
      </c>
      <c r="BQ46">
        <v>2</v>
      </c>
      <c r="BR46">
        <v>283</v>
      </c>
      <c r="BS46">
        <v>388</v>
      </c>
      <c r="BT46">
        <v>10</v>
      </c>
      <c r="BU46">
        <v>5</v>
      </c>
      <c r="BV46">
        <v>127</v>
      </c>
      <c r="BW46">
        <v>10</v>
      </c>
      <c r="BX46">
        <v>0</v>
      </c>
      <c r="BY46">
        <v>136</v>
      </c>
      <c r="BZ46">
        <v>3</v>
      </c>
      <c r="CA46">
        <v>3</v>
      </c>
      <c r="CB46">
        <v>2</v>
      </c>
      <c r="CC46">
        <v>2</v>
      </c>
      <c r="CD46">
        <v>3</v>
      </c>
      <c r="CE46">
        <v>3</v>
      </c>
      <c r="CF46">
        <v>40</v>
      </c>
    </row>
    <row r="47" spans="1:84">
      <c r="A47">
        <v>46</v>
      </c>
      <c r="B47" t="s">
        <v>6675</v>
      </c>
      <c r="C47">
        <v>571</v>
      </c>
      <c r="D47">
        <v>7127</v>
      </c>
      <c r="E47">
        <v>3146</v>
      </c>
      <c r="F47">
        <v>236</v>
      </c>
      <c r="G47">
        <v>3634</v>
      </c>
      <c r="H47">
        <v>6812</v>
      </c>
      <c r="I47">
        <v>375</v>
      </c>
      <c r="J47">
        <v>35</v>
      </c>
      <c r="K47">
        <v>1523137649</v>
      </c>
      <c r="L47">
        <v>1523137502</v>
      </c>
      <c r="M47">
        <v>0</v>
      </c>
      <c r="N47">
        <v>16</v>
      </c>
      <c r="O47">
        <v>31</v>
      </c>
      <c r="P47" t="b">
        <v>1</v>
      </c>
      <c r="Q47" t="s">
        <v>6210</v>
      </c>
      <c r="R47" t="s">
        <v>6210</v>
      </c>
      <c r="S47" t="s">
        <v>6210</v>
      </c>
      <c r="T47">
        <v>15</v>
      </c>
      <c r="U47">
        <v>0</v>
      </c>
      <c r="V47" t="b">
        <v>1</v>
      </c>
      <c r="W47">
        <v>8</v>
      </c>
      <c r="X47">
        <v>40</v>
      </c>
      <c r="Y47" t="s">
        <v>6211</v>
      </c>
      <c r="Z47" t="s">
        <v>6088</v>
      </c>
      <c r="AA47" t="s">
        <v>6211</v>
      </c>
      <c r="AB47" t="b">
        <v>0</v>
      </c>
      <c r="AC47">
        <v>2</v>
      </c>
      <c r="AD47">
        <v>0</v>
      </c>
      <c r="AE47">
        <v>3</v>
      </c>
      <c r="AF47" t="s">
        <v>6216</v>
      </c>
      <c r="AG47">
        <v>0</v>
      </c>
      <c r="AH47">
        <v>259</v>
      </c>
      <c r="AI47">
        <v>344</v>
      </c>
      <c r="AJ47">
        <v>3</v>
      </c>
      <c r="AK47">
        <v>10</v>
      </c>
      <c r="AL47">
        <v>110</v>
      </c>
      <c r="AM47">
        <v>10</v>
      </c>
      <c r="AN47">
        <v>10</v>
      </c>
      <c r="AO47">
        <v>136</v>
      </c>
      <c r="AP47">
        <v>3</v>
      </c>
      <c r="AQ47">
        <v>3</v>
      </c>
      <c r="AR47">
        <v>3</v>
      </c>
      <c r="AS47">
        <v>3</v>
      </c>
      <c r="AT47">
        <v>3</v>
      </c>
      <c r="AU47">
        <v>3</v>
      </c>
      <c r="AV47">
        <v>45</v>
      </c>
      <c r="AW47">
        <v>0</v>
      </c>
      <c r="AX47">
        <v>0</v>
      </c>
      <c r="AY47">
        <v>15</v>
      </c>
      <c r="AZ47" t="b">
        <v>0</v>
      </c>
      <c r="BA47" t="s">
        <v>6210</v>
      </c>
      <c r="BB47" t="s">
        <v>6210</v>
      </c>
      <c r="BC47" t="s">
        <v>6210</v>
      </c>
      <c r="BD47">
        <v>15</v>
      </c>
      <c r="BE47">
        <v>0</v>
      </c>
      <c r="BF47" t="b">
        <v>0</v>
      </c>
      <c r="BG47">
        <v>0</v>
      </c>
      <c r="BH47">
        <v>0</v>
      </c>
      <c r="BI47" t="s">
        <v>5911</v>
      </c>
      <c r="BJ47" t="s">
        <v>5911</v>
      </c>
      <c r="BK47" t="s">
        <v>5911</v>
      </c>
      <c r="BL47" t="b">
        <v>0</v>
      </c>
      <c r="BM47">
        <v>0</v>
      </c>
      <c r="BN47">
        <v>10</v>
      </c>
      <c r="BO47">
        <v>0</v>
      </c>
      <c r="BP47" t="s">
        <v>6216</v>
      </c>
      <c r="BQ47">
        <v>0</v>
      </c>
      <c r="BR47">
        <v>10</v>
      </c>
      <c r="BS47">
        <v>10</v>
      </c>
      <c r="BT47">
        <v>0</v>
      </c>
      <c r="BU47">
        <v>0</v>
      </c>
      <c r="BV47">
        <v>10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</row>
    <row r="48" spans="1:84">
      <c r="A48">
        <v>47</v>
      </c>
      <c r="B48" t="s">
        <v>6676</v>
      </c>
      <c r="C48">
        <v>7153</v>
      </c>
      <c r="D48">
        <v>6895</v>
      </c>
      <c r="E48">
        <v>1740</v>
      </c>
      <c r="F48">
        <v>6346</v>
      </c>
      <c r="G48">
        <v>190</v>
      </c>
      <c r="H48">
        <v>3182</v>
      </c>
      <c r="I48">
        <v>178</v>
      </c>
      <c r="J48">
        <v>428</v>
      </c>
      <c r="K48">
        <v>1523138452</v>
      </c>
      <c r="L48">
        <v>1523138342</v>
      </c>
      <c r="M48">
        <v>0</v>
      </c>
      <c r="N48">
        <v>0</v>
      </c>
      <c r="O48">
        <v>10</v>
      </c>
      <c r="P48" t="b">
        <v>0</v>
      </c>
      <c r="Q48" t="s">
        <v>6210</v>
      </c>
      <c r="R48" t="s">
        <v>6210</v>
      </c>
      <c r="S48" t="s">
        <v>5911</v>
      </c>
      <c r="T48">
        <v>10</v>
      </c>
      <c r="U48">
        <v>0</v>
      </c>
      <c r="V48" t="b">
        <v>0</v>
      </c>
      <c r="W48">
        <v>0</v>
      </c>
      <c r="X48">
        <v>30</v>
      </c>
      <c r="Y48" t="s">
        <v>5911</v>
      </c>
      <c r="Z48" t="s">
        <v>6213</v>
      </c>
      <c r="AA48" t="s">
        <v>5911</v>
      </c>
      <c r="AB48" t="b">
        <v>0</v>
      </c>
      <c r="AC48">
        <v>0</v>
      </c>
      <c r="AD48">
        <v>50</v>
      </c>
      <c r="AE48">
        <v>0</v>
      </c>
      <c r="AF48" t="s">
        <v>6215</v>
      </c>
      <c r="AG48">
        <v>2</v>
      </c>
      <c r="AH48">
        <v>78</v>
      </c>
      <c r="AI48">
        <v>118</v>
      </c>
      <c r="AJ48">
        <v>0</v>
      </c>
      <c r="AK48">
        <v>9</v>
      </c>
      <c r="AL48">
        <v>10</v>
      </c>
      <c r="AM48">
        <v>0</v>
      </c>
      <c r="AN48">
        <v>0</v>
      </c>
      <c r="AO48">
        <v>68</v>
      </c>
      <c r="AP48">
        <v>0</v>
      </c>
      <c r="AQ48">
        <v>0</v>
      </c>
      <c r="AR48">
        <v>2</v>
      </c>
      <c r="AS48">
        <v>2</v>
      </c>
      <c r="AT48">
        <v>0</v>
      </c>
      <c r="AU48">
        <v>0</v>
      </c>
      <c r="AV48">
        <v>10</v>
      </c>
      <c r="AW48">
        <v>0</v>
      </c>
      <c r="AX48">
        <v>16</v>
      </c>
      <c r="AY48">
        <v>31</v>
      </c>
      <c r="AZ48" t="b">
        <v>0</v>
      </c>
      <c r="BA48" t="s">
        <v>6210</v>
      </c>
      <c r="BB48" t="s">
        <v>6210</v>
      </c>
      <c r="BC48" t="s">
        <v>6210</v>
      </c>
      <c r="BD48">
        <v>15</v>
      </c>
      <c r="BE48">
        <v>8</v>
      </c>
      <c r="BF48" t="b">
        <v>0</v>
      </c>
      <c r="BG48">
        <v>0</v>
      </c>
      <c r="BH48">
        <v>40</v>
      </c>
      <c r="BI48" t="s">
        <v>6211</v>
      </c>
      <c r="BJ48" t="s">
        <v>6088</v>
      </c>
      <c r="BK48" t="s">
        <v>6211</v>
      </c>
      <c r="BL48" t="b">
        <v>0</v>
      </c>
      <c r="BM48">
        <v>5</v>
      </c>
      <c r="BN48">
        <v>50</v>
      </c>
      <c r="BO48">
        <v>2</v>
      </c>
      <c r="BP48" t="s">
        <v>6215</v>
      </c>
      <c r="BQ48">
        <v>1</v>
      </c>
      <c r="BR48">
        <v>277</v>
      </c>
      <c r="BS48">
        <v>347</v>
      </c>
      <c r="BT48">
        <v>10</v>
      </c>
      <c r="BU48">
        <v>0</v>
      </c>
      <c r="BV48">
        <v>126</v>
      </c>
      <c r="BW48">
        <v>10</v>
      </c>
      <c r="BX48">
        <v>0</v>
      </c>
      <c r="BY48">
        <v>131</v>
      </c>
      <c r="BZ48">
        <v>3</v>
      </c>
      <c r="CA48">
        <v>3</v>
      </c>
      <c r="CB48">
        <v>0</v>
      </c>
      <c r="CC48">
        <v>0</v>
      </c>
      <c r="CD48">
        <v>3</v>
      </c>
      <c r="CE48">
        <v>3</v>
      </c>
      <c r="CF48">
        <v>30</v>
      </c>
    </row>
    <row r="49" spans="1:84">
      <c r="A49">
        <v>48</v>
      </c>
      <c r="B49" t="s">
        <v>6677</v>
      </c>
      <c r="C49">
        <v>1973</v>
      </c>
      <c r="D49">
        <v>2064</v>
      </c>
      <c r="E49">
        <v>2836</v>
      </c>
      <c r="F49">
        <v>3464</v>
      </c>
      <c r="G49">
        <v>558</v>
      </c>
      <c r="H49">
        <v>155</v>
      </c>
      <c r="I49">
        <v>365</v>
      </c>
      <c r="J49">
        <v>304</v>
      </c>
      <c r="K49">
        <v>1523138926</v>
      </c>
      <c r="L49">
        <v>1523138821</v>
      </c>
      <c r="M49">
        <v>0</v>
      </c>
      <c r="N49">
        <v>18</v>
      </c>
      <c r="O49">
        <v>33</v>
      </c>
      <c r="P49" t="b">
        <v>1</v>
      </c>
      <c r="Q49" t="s">
        <v>6210</v>
      </c>
      <c r="R49" t="s">
        <v>6210</v>
      </c>
      <c r="S49" t="s">
        <v>6210</v>
      </c>
      <c r="T49">
        <v>15</v>
      </c>
      <c r="U49">
        <v>0</v>
      </c>
      <c r="V49" t="b">
        <v>1</v>
      </c>
      <c r="W49">
        <v>9</v>
      </c>
      <c r="X49">
        <v>65</v>
      </c>
      <c r="Y49" t="s">
        <v>6211</v>
      </c>
      <c r="Z49" t="s">
        <v>6088</v>
      </c>
      <c r="AA49" t="s">
        <v>6213</v>
      </c>
      <c r="AB49" t="b">
        <v>0</v>
      </c>
      <c r="AC49">
        <v>1</v>
      </c>
      <c r="AD49">
        <v>5</v>
      </c>
      <c r="AE49">
        <v>3</v>
      </c>
      <c r="AF49" t="s">
        <v>6216</v>
      </c>
      <c r="AG49">
        <v>0</v>
      </c>
      <c r="AH49">
        <v>237</v>
      </c>
      <c r="AI49">
        <v>327</v>
      </c>
      <c r="AJ49">
        <v>0</v>
      </c>
      <c r="AK49">
        <v>0</v>
      </c>
      <c r="AL49">
        <v>105</v>
      </c>
      <c r="AM49">
        <v>9</v>
      </c>
      <c r="AN49">
        <v>4</v>
      </c>
      <c r="AO49">
        <v>123</v>
      </c>
      <c r="AP49">
        <v>1</v>
      </c>
      <c r="AQ49">
        <v>1</v>
      </c>
      <c r="AR49">
        <v>1</v>
      </c>
      <c r="AS49">
        <v>1</v>
      </c>
      <c r="AT49">
        <v>3</v>
      </c>
      <c r="AU49">
        <v>3</v>
      </c>
      <c r="AV49">
        <v>25</v>
      </c>
      <c r="AW49">
        <v>0</v>
      </c>
      <c r="AX49">
        <v>12</v>
      </c>
      <c r="AY49">
        <v>27</v>
      </c>
      <c r="AZ49" t="b">
        <v>1</v>
      </c>
      <c r="BA49" t="s">
        <v>6210</v>
      </c>
      <c r="BB49" t="s">
        <v>6210</v>
      </c>
      <c r="BC49" t="s">
        <v>6210</v>
      </c>
      <c r="BD49">
        <v>15</v>
      </c>
      <c r="BE49">
        <v>0</v>
      </c>
      <c r="BF49" t="b">
        <v>1</v>
      </c>
      <c r="BG49">
        <v>6</v>
      </c>
      <c r="BH49">
        <v>65</v>
      </c>
      <c r="BI49" t="s">
        <v>6211</v>
      </c>
      <c r="BJ49" t="s">
        <v>6088</v>
      </c>
      <c r="BK49" t="s">
        <v>6213</v>
      </c>
      <c r="BL49" t="b">
        <v>0</v>
      </c>
      <c r="BM49">
        <v>1</v>
      </c>
      <c r="BN49">
        <v>5</v>
      </c>
      <c r="BO49">
        <v>1</v>
      </c>
      <c r="BP49" t="s">
        <v>6216</v>
      </c>
      <c r="BQ49">
        <v>0</v>
      </c>
      <c r="BR49">
        <v>162</v>
      </c>
      <c r="BS49">
        <v>272</v>
      </c>
      <c r="BT49">
        <v>0</v>
      </c>
      <c r="BU49">
        <v>10</v>
      </c>
      <c r="BV49">
        <v>16</v>
      </c>
      <c r="BW49">
        <v>10</v>
      </c>
      <c r="BX49">
        <v>10</v>
      </c>
      <c r="BY49">
        <v>136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45</v>
      </c>
    </row>
    <row r="50" spans="1:84">
      <c r="A50">
        <v>49</v>
      </c>
      <c r="B50" t="s">
        <v>6678</v>
      </c>
      <c r="C50">
        <v>3146</v>
      </c>
      <c r="D50">
        <v>5686</v>
      </c>
      <c r="E50">
        <v>2785</v>
      </c>
      <c r="F50">
        <v>5129</v>
      </c>
      <c r="G50">
        <v>839</v>
      </c>
      <c r="H50">
        <v>3654</v>
      </c>
      <c r="I50">
        <v>324</v>
      </c>
      <c r="J50">
        <v>321</v>
      </c>
      <c r="K50">
        <v>1523139242</v>
      </c>
      <c r="L50">
        <v>1523139122</v>
      </c>
      <c r="M50">
        <v>0</v>
      </c>
      <c r="N50">
        <v>22</v>
      </c>
      <c r="O50">
        <v>32</v>
      </c>
      <c r="P50" t="b">
        <v>0</v>
      </c>
      <c r="Q50" t="s">
        <v>5911</v>
      </c>
      <c r="R50" t="s">
        <v>6210</v>
      </c>
      <c r="S50" t="s">
        <v>6210</v>
      </c>
      <c r="T50">
        <v>10</v>
      </c>
      <c r="U50">
        <v>0</v>
      </c>
      <c r="V50" t="b">
        <v>1</v>
      </c>
      <c r="W50">
        <v>11</v>
      </c>
      <c r="X50">
        <v>65</v>
      </c>
      <c r="Y50" t="s">
        <v>6213</v>
      </c>
      <c r="Z50" t="s">
        <v>6088</v>
      </c>
      <c r="AA50" t="s">
        <v>6211</v>
      </c>
      <c r="AB50" t="b">
        <v>0</v>
      </c>
      <c r="AC50">
        <v>0</v>
      </c>
      <c r="AD50">
        <v>25</v>
      </c>
      <c r="AE50">
        <v>2</v>
      </c>
      <c r="AF50" t="s">
        <v>6215</v>
      </c>
      <c r="AG50">
        <v>2</v>
      </c>
      <c r="AH50">
        <v>157</v>
      </c>
      <c r="AI50">
        <v>267</v>
      </c>
      <c r="AJ50">
        <v>0</v>
      </c>
      <c r="AK50">
        <v>10</v>
      </c>
      <c r="AL50">
        <v>11</v>
      </c>
      <c r="AM50">
        <v>10</v>
      </c>
      <c r="AN50">
        <v>0</v>
      </c>
      <c r="AO50">
        <v>136</v>
      </c>
      <c r="AP50">
        <v>3</v>
      </c>
      <c r="AQ50">
        <v>3</v>
      </c>
      <c r="AR50">
        <v>2</v>
      </c>
      <c r="AS50">
        <v>3</v>
      </c>
      <c r="AT50">
        <v>3</v>
      </c>
      <c r="AU50">
        <v>3</v>
      </c>
      <c r="AV50">
        <v>45</v>
      </c>
      <c r="AW50">
        <v>0</v>
      </c>
      <c r="AX50">
        <v>0</v>
      </c>
      <c r="AY50">
        <v>10</v>
      </c>
      <c r="AZ50" t="b">
        <v>0</v>
      </c>
      <c r="BA50" t="s">
        <v>6210</v>
      </c>
      <c r="BB50" t="s">
        <v>5911</v>
      </c>
      <c r="BC50" t="s">
        <v>6210</v>
      </c>
      <c r="BD50">
        <v>10</v>
      </c>
      <c r="BE50">
        <v>0</v>
      </c>
      <c r="BF50" t="b">
        <v>0</v>
      </c>
      <c r="BG50">
        <v>0</v>
      </c>
      <c r="BH50">
        <v>65</v>
      </c>
      <c r="BI50" t="s">
        <v>6088</v>
      </c>
      <c r="BJ50" t="s">
        <v>6213</v>
      </c>
      <c r="BK50" t="s">
        <v>6211</v>
      </c>
      <c r="BL50" t="b">
        <v>0</v>
      </c>
      <c r="BM50">
        <v>0</v>
      </c>
      <c r="BN50">
        <v>50</v>
      </c>
      <c r="BO50">
        <v>0</v>
      </c>
      <c r="BP50" t="s">
        <v>6215</v>
      </c>
      <c r="BQ50">
        <v>1</v>
      </c>
      <c r="BR50">
        <v>161</v>
      </c>
      <c r="BS50">
        <v>261</v>
      </c>
      <c r="BT50">
        <v>0</v>
      </c>
      <c r="BU50">
        <v>3</v>
      </c>
      <c r="BV50">
        <v>116</v>
      </c>
      <c r="BW50">
        <v>10</v>
      </c>
      <c r="BX50">
        <v>0</v>
      </c>
      <c r="BY50">
        <v>35</v>
      </c>
      <c r="BZ50">
        <v>1</v>
      </c>
      <c r="CA50">
        <v>1</v>
      </c>
      <c r="CB50">
        <v>2</v>
      </c>
      <c r="CC50">
        <v>3</v>
      </c>
      <c r="CD50">
        <v>3</v>
      </c>
      <c r="CE50">
        <v>3</v>
      </c>
      <c r="CF50">
        <v>35</v>
      </c>
    </row>
    <row r="51" spans="1:84">
      <c r="A51">
        <v>50</v>
      </c>
      <c r="B51" t="s">
        <v>6679</v>
      </c>
      <c r="C51">
        <v>176</v>
      </c>
      <c r="D51">
        <v>175</v>
      </c>
      <c r="E51">
        <v>5746</v>
      </c>
      <c r="F51">
        <v>177</v>
      </c>
      <c r="G51">
        <v>190</v>
      </c>
      <c r="H51">
        <v>195</v>
      </c>
      <c r="I51">
        <v>293</v>
      </c>
      <c r="J51">
        <v>417</v>
      </c>
      <c r="K51">
        <v>1523139711</v>
      </c>
      <c r="L51">
        <v>1523139482</v>
      </c>
      <c r="M51">
        <v>0</v>
      </c>
      <c r="N51">
        <v>30</v>
      </c>
      <c r="O51">
        <v>45</v>
      </c>
      <c r="P51" t="b">
        <v>1</v>
      </c>
      <c r="Q51" t="s">
        <v>6210</v>
      </c>
      <c r="R51" t="s">
        <v>6210</v>
      </c>
      <c r="S51" t="s">
        <v>6210</v>
      </c>
      <c r="T51">
        <v>15</v>
      </c>
      <c r="U51">
        <v>5</v>
      </c>
      <c r="V51" t="b">
        <v>1</v>
      </c>
      <c r="W51">
        <v>10</v>
      </c>
      <c r="X51">
        <v>40</v>
      </c>
      <c r="Y51" t="s">
        <v>6211</v>
      </c>
      <c r="Z51" t="s">
        <v>6211</v>
      </c>
      <c r="AA51" t="s">
        <v>6088</v>
      </c>
      <c r="AB51" t="b">
        <v>0</v>
      </c>
      <c r="AC51">
        <v>1</v>
      </c>
      <c r="AD51">
        <v>5</v>
      </c>
      <c r="AE51">
        <v>1</v>
      </c>
      <c r="AF51" t="s">
        <v>6215</v>
      </c>
      <c r="AG51">
        <v>1</v>
      </c>
      <c r="AH51">
        <v>178</v>
      </c>
      <c r="AI51">
        <v>243</v>
      </c>
      <c r="AJ51">
        <v>0</v>
      </c>
      <c r="AK51">
        <v>8</v>
      </c>
      <c r="AL51">
        <v>42</v>
      </c>
      <c r="AM51">
        <v>0</v>
      </c>
      <c r="AN51">
        <v>0</v>
      </c>
      <c r="AO51">
        <v>136</v>
      </c>
      <c r="AP51">
        <v>0</v>
      </c>
      <c r="AQ51">
        <v>0</v>
      </c>
      <c r="AR51">
        <v>2</v>
      </c>
      <c r="AS51">
        <v>2</v>
      </c>
      <c r="AT51">
        <v>3</v>
      </c>
      <c r="AU51">
        <v>3</v>
      </c>
      <c r="AV51">
        <v>25</v>
      </c>
      <c r="AW51">
        <v>0</v>
      </c>
      <c r="AX51">
        <v>26</v>
      </c>
      <c r="AY51">
        <v>41</v>
      </c>
      <c r="AZ51" t="b">
        <v>1</v>
      </c>
      <c r="BA51" t="s">
        <v>6210</v>
      </c>
      <c r="BB51" t="s">
        <v>6210</v>
      </c>
      <c r="BC51" t="s">
        <v>6210</v>
      </c>
      <c r="BD51">
        <v>15</v>
      </c>
      <c r="BE51">
        <v>2</v>
      </c>
      <c r="BF51" t="b">
        <v>1</v>
      </c>
      <c r="BG51">
        <v>11</v>
      </c>
      <c r="BH51">
        <v>90</v>
      </c>
      <c r="BI51" t="s">
        <v>6213</v>
      </c>
      <c r="BJ51" t="s">
        <v>6088</v>
      </c>
      <c r="BK51" t="s">
        <v>6213</v>
      </c>
      <c r="BL51" t="b">
        <v>1</v>
      </c>
      <c r="BM51">
        <v>1</v>
      </c>
      <c r="BN51">
        <v>30</v>
      </c>
      <c r="BO51">
        <v>4</v>
      </c>
      <c r="BP51" t="s">
        <v>6215</v>
      </c>
      <c r="BQ51">
        <v>0</v>
      </c>
      <c r="BR51">
        <v>211</v>
      </c>
      <c r="BS51">
        <v>346</v>
      </c>
      <c r="BT51">
        <v>10</v>
      </c>
      <c r="BU51">
        <v>0</v>
      </c>
      <c r="BV51">
        <v>89</v>
      </c>
      <c r="BW51">
        <v>3</v>
      </c>
      <c r="BX51">
        <v>10</v>
      </c>
      <c r="BY51">
        <v>109</v>
      </c>
      <c r="BZ51">
        <v>3</v>
      </c>
      <c r="CA51">
        <v>3</v>
      </c>
      <c r="CB51">
        <v>1</v>
      </c>
      <c r="CC51">
        <v>3</v>
      </c>
      <c r="CD51">
        <v>3</v>
      </c>
      <c r="CE51">
        <v>3</v>
      </c>
      <c r="CF51">
        <v>45</v>
      </c>
    </row>
    <row r="52" spans="1:84">
      <c r="A52">
        <v>51</v>
      </c>
      <c r="B52" t="s">
        <v>6695</v>
      </c>
      <c r="C52">
        <v>999</v>
      </c>
      <c r="D52">
        <v>1027</v>
      </c>
      <c r="E52">
        <v>3634</v>
      </c>
      <c r="F52">
        <v>2170</v>
      </c>
      <c r="G52">
        <v>558</v>
      </c>
      <c r="H52">
        <v>7153</v>
      </c>
      <c r="I52">
        <v>205</v>
      </c>
      <c r="J52">
        <v>416</v>
      </c>
      <c r="K52">
        <v>1523140103</v>
      </c>
      <c r="L52">
        <v>1523139961</v>
      </c>
      <c r="M52">
        <v>0</v>
      </c>
      <c r="N52">
        <v>0</v>
      </c>
      <c r="O52">
        <v>15</v>
      </c>
      <c r="P52" t="b">
        <v>0</v>
      </c>
      <c r="Q52" t="s">
        <v>6210</v>
      </c>
      <c r="R52" t="s">
        <v>6210</v>
      </c>
      <c r="S52" t="s">
        <v>6210</v>
      </c>
      <c r="T52">
        <v>15</v>
      </c>
      <c r="U52">
        <v>0</v>
      </c>
      <c r="V52" t="b">
        <v>0</v>
      </c>
      <c r="W52">
        <v>0</v>
      </c>
      <c r="X52">
        <v>5</v>
      </c>
      <c r="Y52" t="s">
        <v>6211</v>
      </c>
      <c r="Z52" t="s">
        <v>5911</v>
      </c>
      <c r="AA52" t="s">
        <v>5911</v>
      </c>
      <c r="AB52" t="b">
        <v>0</v>
      </c>
      <c r="AC52">
        <v>0</v>
      </c>
      <c r="AD52">
        <v>75</v>
      </c>
      <c r="AE52">
        <v>0</v>
      </c>
      <c r="AF52" t="s">
        <v>6212</v>
      </c>
      <c r="AG52">
        <v>1</v>
      </c>
      <c r="AH52">
        <v>90</v>
      </c>
      <c r="AI52">
        <v>115</v>
      </c>
      <c r="AJ52">
        <v>0</v>
      </c>
      <c r="AK52">
        <v>10</v>
      </c>
      <c r="AL52">
        <v>11</v>
      </c>
      <c r="AM52">
        <v>0</v>
      </c>
      <c r="AN52">
        <v>10</v>
      </c>
      <c r="AO52">
        <v>79</v>
      </c>
      <c r="AP52">
        <v>0</v>
      </c>
      <c r="AQ52">
        <v>1</v>
      </c>
      <c r="AR52">
        <v>3</v>
      </c>
      <c r="AS52">
        <v>3</v>
      </c>
      <c r="AT52">
        <v>0</v>
      </c>
      <c r="AU52">
        <v>0</v>
      </c>
      <c r="AV52">
        <v>20</v>
      </c>
      <c r="AW52">
        <v>0</v>
      </c>
      <c r="AX52">
        <v>22</v>
      </c>
      <c r="AY52">
        <v>37</v>
      </c>
      <c r="AZ52" t="b">
        <v>1</v>
      </c>
      <c r="BA52" t="s">
        <v>6210</v>
      </c>
      <c r="BB52" t="s">
        <v>6210</v>
      </c>
      <c r="BC52" t="s">
        <v>6210</v>
      </c>
      <c r="BD52">
        <v>15</v>
      </c>
      <c r="BE52">
        <v>0</v>
      </c>
      <c r="BF52" t="b">
        <v>1</v>
      </c>
      <c r="BG52">
        <v>11</v>
      </c>
      <c r="BH52">
        <v>35</v>
      </c>
      <c r="BI52" t="s">
        <v>5911</v>
      </c>
      <c r="BJ52" t="s">
        <v>6211</v>
      </c>
      <c r="BK52" t="s">
        <v>6088</v>
      </c>
      <c r="BL52" t="b">
        <v>0</v>
      </c>
      <c r="BM52">
        <v>0</v>
      </c>
      <c r="BN52">
        <v>25</v>
      </c>
      <c r="BO52">
        <v>3</v>
      </c>
      <c r="BP52" t="s">
        <v>6212</v>
      </c>
      <c r="BQ52">
        <v>3</v>
      </c>
      <c r="BR52">
        <v>274</v>
      </c>
      <c r="BS52">
        <v>354</v>
      </c>
      <c r="BT52">
        <v>10</v>
      </c>
      <c r="BU52">
        <v>0</v>
      </c>
      <c r="BV52">
        <v>118</v>
      </c>
      <c r="BW52">
        <v>10</v>
      </c>
      <c r="BX52">
        <v>0</v>
      </c>
      <c r="BY52">
        <v>136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45</v>
      </c>
    </row>
    <row r="53" spans="1:84">
      <c r="A53">
        <v>52</v>
      </c>
      <c r="B53" t="s">
        <v>6696</v>
      </c>
      <c r="C53">
        <v>173</v>
      </c>
      <c r="D53">
        <v>1973</v>
      </c>
      <c r="E53">
        <v>5142</v>
      </c>
      <c r="F53">
        <v>236</v>
      </c>
      <c r="G53">
        <v>6346</v>
      </c>
      <c r="H53">
        <v>230</v>
      </c>
      <c r="I53">
        <v>313</v>
      </c>
      <c r="J53">
        <v>356</v>
      </c>
      <c r="K53">
        <v>1523140615</v>
      </c>
      <c r="L53">
        <v>1523140502</v>
      </c>
      <c r="M53">
        <v>0</v>
      </c>
      <c r="N53">
        <v>14</v>
      </c>
      <c r="O53">
        <v>29</v>
      </c>
      <c r="P53" t="b">
        <v>1</v>
      </c>
      <c r="Q53" t="s">
        <v>6210</v>
      </c>
      <c r="R53" t="s">
        <v>6210</v>
      </c>
      <c r="S53" t="s">
        <v>6210</v>
      </c>
      <c r="T53">
        <v>15</v>
      </c>
      <c r="U53">
        <v>0</v>
      </c>
      <c r="V53" t="b">
        <v>1</v>
      </c>
      <c r="W53">
        <v>7</v>
      </c>
      <c r="X53">
        <v>35</v>
      </c>
      <c r="Y53" t="s">
        <v>6088</v>
      </c>
      <c r="Z53" t="s">
        <v>5911</v>
      </c>
      <c r="AA53" t="s">
        <v>6211</v>
      </c>
      <c r="AB53" t="b">
        <v>0</v>
      </c>
      <c r="AC53">
        <v>0</v>
      </c>
      <c r="AD53">
        <v>75</v>
      </c>
      <c r="AE53">
        <v>1</v>
      </c>
      <c r="AF53" t="s">
        <v>6214</v>
      </c>
      <c r="AG53">
        <v>0</v>
      </c>
      <c r="AH53">
        <v>159</v>
      </c>
      <c r="AI53">
        <v>209</v>
      </c>
      <c r="AJ53">
        <v>0</v>
      </c>
      <c r="AK53">
        <v>0</v>
      </c>
      <c r="AL53">
        <v>23</v>
      </c>
      <c r="AM53">
        <v>0</v>
      </c>
      <c r="AN53">
        <v>0</v>
      </c>
      <c r="AO53">
        <v>136</v>
      </c>
      <c r="AP53">
        <v>0</v>
      </c>
      <c r="AQ53">
        <v>0</v>
      </c>
      <c r="AR53">
        <v>0</v>
      </c>
      <c r="AS53">
        <v>0</v>
      </c>
      <c r="AT53">
        <v>3</v>
      </c>
      <c r="AU53">
        <v>3</v>
      </c>
      <c r="AV53">
        <v>15</v>
      </c>
      <c r="AW53">
        <v>0</v>
      </c>
      <c r="AX53">
        <v>38</v>
      </c>
      <c r="AY53">
        <v>53</v>
      </c>
      <c r="AZ53" t="b">
        <v>1</v>
      </c>
      <c r="BA53" t="s">
        <v>6210</v>
      </c>
      <c r="BB53" t="s">
        <v>6210</v>
      </c>
      <c r="BC53" t="s">
        <v>6210</v>
      </c>
      <c r="BD53">
        <v>15</v>
      </c>
      <c r="BE53">
        <v>8</v>
      </c>
      <c r="BF53" t="b">
        <v>1</v>
      </c>
      <c r="BG53">
        <v>11</v>
      </c>
      <c r="BH53">
        <v>40</v>
      </c>
      <c r="BI53" t="s">
        <v>6211</v>
      </c>
      <c r="BJ53" t="s">
        <v>6088</v>
      </c>
      <c r="BK53" t="s">
        <v>6211</v>
      </c>
      <c r="BL53" t="b">
        <v>0</v>
      </c>
      <c r="BM53">
        <v>0</v>
      </c>
      <c r="BN53">
        <v>0</v>
      </c>
      <c r="BO53">
        <v>3</v>
      </c>
      <c r="BP53" t="s">
        <v>6214</v>
      </c>
      <c r="BQ53">
        <v>3</v>
      </c>
      <c r="BR53">
        <v>238</v>
      </c>
      <c r="BS53">
        <v>303</v>
      </c>
      <c r="BT53">
        <v>0</v>
      </c>
      <c r="BU53">
        <v>0</v>
      </c>
      <c r="BV53">
        <v>92</v>
      </c>
      <c r="BW53">
        <v>10</v>
      </c>
      <c r="BX53">
        <v>10</v>
      </c>
      <c r="BY53">
        <v>136</v>
      </c>
      <c r="BZ53">
        <v>1</v>
      </c>
      <c r="CA53">
        <v>1</v>
      </c>
      <c r="CB53">
        <v>1</v>
      </c>
      <c r="CC53">
        <v>1</v>
      </c>
      <c r="CD53">
        <v>3</v>
      </c>
      <c r="CE53">
        <v>3</v>
      </c>
      <c r="CF53">
        <v>25</v>
      </c>
    </row>
    <row r="54" spans="1:84">
      <c r="A54">
        <v>53</v>
      </c>
      <c r="B54" t="s">
        <v>6697</v>
      </c>
      <c r="C54">
        <v>2064</v>
      </c>
      <c r="D54">
        <v>1740</v>
      </c>
      <c r="E54">
        <v>7127</v>
      </c>
      <c r="F54">
        <v>4987</v>
      </c>
      <c r="G54">
        <v>181</v>
      </c>
      <c r="H54">
        <v>2836</v>
      </c>
      <c r="I54">
        <v>346</v>
      </c>
      <c r="J54">
        <v>302</v>
      </c>
      <c r="K54">
        <v>1523141059</v>
      </c>
      <c r="L54">
        <v>1523140873</v>
      </c>
      <c r="M54">
        <v>0</v>
      </c>
      <c r="N54">
        <v>12</v>
      </c>
      <c r="O54">
        <v>27</v>
      </c>
      <c r="P54" t="b">
        <v>1</v>
      </c>
      <c r="Q54" t="s">
        <v>6210</v>
      </c>
      <c r="R54" t="s">
        <v>6210</v>
      </c>
      <c r="S54" t="s">
        <v>6210</v>
      </c>
      <c r="T54">
        <v>15</v>
      </c>
      <c r="U54">
        <v>0</v>
      </c>
      <c r="V54" t="b">
        <v>1</v>
      </c>
      <c r="W54">
        <v>6</v>
      </c>
      <c r="X54">
        <v>65</v>
      </c>
      <c r="Y54" t="s">
        <v>6211</v>
      </c>
      <c r="Z54" t="s">
        <v>6213</v>
      </c>
      <c r="AA54" t="s">
        <v>6088</v>
      </c>
      <c r="AB54" t="b">
        <v>0</v>
      </c>
      <c r="AC54">
        <v>1</v>
      </c>
      <c r="AD54">
        <v>0</v>
      </c>
      <c r="AE54">
        <v>3</v>
      </c>
      <c r="AF54" t="s">
        <v>6212</v>
      </c>
      <c r="AG54">
        <v>0</v>
      </c>
      <c r="AH54">
        <v>224</v>
      </c>
      <c r="AI54">
        <v>319</v>
      </c>
      <c r="AJ54">
        <v>10</v>
      </c>
      <c r="AK54">
        <v>0</v>
      </c>
      <c r="AL54">
        <v>78</v>
      </c>
      <c r="AM54">
        <v>0</v>
      </c>
      <c r="AN54">
        <v>6</v>
      </c>
      <c r="AO54">
        <v>136</v>
      </c>
      <c r="AP54">
        <v>2</v>
      </c>
      <c r="AQ54">
        <v>2</v>
      </c>
      <c r="AR54">
        <v>1</v>
      </c>
      <c r="AS54">
        <v>1</v>
      </c>
      <c r="AT54">
        <v>3</v>
      </c>
      <c r="AU54">
        <v>3</v>
      </c>
      <c r="AV54">
        <v>30</v>
      </c>
      <c r="AW54">
        <v>0</v>
      </c>
      <c r="AX54">
        <v>18</v>
      </c>
      <c r="AY54">
        <v>33</v>
      </c>
      <c r="AZ54" t="b">
        <v>1</v>
      </c>
      <c r="BA54" t="s">
        <v>6210</v>
      </c>
      <c r="BB54" t="s">
        <v>6210</v>
      </c>
      <c r="BC54" t="s">
        <v>6210</v>
      </c>
      <c r="BD54">
        <v>15</v>
      </c>
      <c r="BE54">
        <v>0</v>
      </c>
      <c r="BF54" t="b">
        <v>1</v>
      </c>
      <c r="BG54">
        <v>9</v>
      </c>
      <c r="BH54">
        <v>40</v>
      </c>
      <c r="BI54" t="s">
        <v>6211</v>
      </c>
      <c r="BJ54" t="s">
        <v>6211</v>
      </c>
      <c r="BK54" t="s">
        <v>6088</v>
      </c>
      <c r="BL54" t="b">
        <v>0</v>
      </c>
      <c r="BM54">
        <v>0</v>
      </c>
      <c r="BN54">
        <v>5</v>
      </c>
      <c r="BO54">
        <v>1</v>
      </c>
      <c r="BP54" t="s">
        <v>6212</v>
      </c>
      <c r="BQ54">
        <v>0</v>
      </c>
      <c r="BR54">
        <v>184</v>
      </c>
      <c r="BS54">
        <v>264</v>
      </c>
      <c r="BT54">
        <v>0</v>
      </c>
      <c r="BU54">
        <v>0</v>
      </c>
      <c r="BV54">
        <v>48</v>
      </c>
      <c r="BW54">
        <v>0</v>
      </c>
      <c r="BX54">
        <v>0</v>
      </c>
      <c r="BY54">
        <v>136</v>
      </c>
      <c r="BZ54">
        <v>2</v>
      </c>
      <c r="CA54">
        <v>3</v>
      </c>
      <c r="CB54">
        <v>0</v>
      </c>
      <c r="CC54">
        <v>2</v>
      </c>
      <c r="CD54">
        <v>3</v>
      </c>
      <c r="CE54">
        <v>3</v>
      </c>
      <c r="CF54">
        <v>40</v>
      </c>
    </row>
    <row r="55" spans="1:84">
      <c r="A55">
        <v>54</v>
      </c>
      <c r="B55" t="s">
        <v>6698</v>
      </c>
      <c r="C55">
        <v>6811</v>
      </c>
      <c r="D55">
        <v>6812</v>
      </c>
      <c r="E55">
        <v>1085</v>
      </c>
      <c r="F55">
        <v>1991</v>
      </c>
      <c r="G55">
        <v>3182</v>
      </c>
      <c r="H55">
        <v>2067</v>
      </c>
      <c r="I55">
        <v>155</v>
      </c>
      <c r="J55">
        <v>416</v>
      </c>
      <c r="K55">
        <v>1523141654</v>
      </c>
      <c r="L55">
        <v>1523141469</v>
      </c>
      <c r="M55">
        <v>0</v>
      </c>
      <c r="N55">
        <v>0</v>
      </c>
      <c r="O55">
        <v>15</v>
      </c>
      <c r="P55" t="b">
        <v>0</v>
      </c>
      <c r="Q55" t="s">
        <v>6210</v>
      </c>
      <c r="R55" t="s">
        <v>6210</v>
      </c>
      <c r="S55" t="s">
        <v>6210</v>
      </c>
      <c r="T55">
        <v>15</v>
      </c>
      <c r="U55">
        <v>0</v>
      </c>
      <c r="V55" t="b">
        <v>0</v>
      </c>
      <c r="W55">
        <v>0</v>
      </c>
      <c r="X55">
        <v>35</v>
      </c>
      <c r="Y55" t="s">
        <v>6088</v>
      </c>
      <c r="Z55" t="s">
        <v>5911</v>
      </c>
      <c r="AA55" t="s">
        <v>6211</v>
      </c>
      <c r="AB55" t="b">
        <v>0</v>
      </c>
      <c r="AC55">
        <v>4</v>
      </c>
      <c r="AD55">
        <v>75</v>
      </c>
      <c r="AE55">
        <v>0</v>
      </c>
      <c r="AF55" t="s">
        <v>6216</v>
      </c>
      <c r="AG55">
        <v>1</v>
      </c>
      <c r="AH55">
        <v>10</v>
      </c>
      <c r="AI55">
        <v>65</v>
      </c>
      <c r="AJ55">
        <v>0</v>
      </c>
      <c r="AK55">
        <v>0</v>
      </c>
      <c r="AL55">
        <v>0</v>
      </c>
      <c r="AM55">
        <v>0</v>
      </c>
      <c r="AN55">
        <v>9</v>
      </c>
      <c r="AO55">
        <v>10</v>
      </c>
      <c r="AP55">
        <v>0</v>
      </c>
      <c r="AQ55">
        <v>0</v>
      </c>
      <c r="AR55">
        <v>1</v>
      </c>
      <c r="AS55">
        <v>1</v>
      </c>
      <c r="AT55">
        <v>3</v>
      </c>
      <c r="AU55">
        <v>3</v>
      </c>
      <c r="AV55">
        <v>20</v>
      </c>
      <c r="AW55">
        <v>0</v>
      </c>
      <c r="AX55">
        <v>20</v>
      </c>
      <c r="AY55">
        <v>35</v>
      </c>
      <c r="AZ55" t="b">
        <v>1</v>
      </c>
      <c r="BA55" t="s">
        <v>6210</v>
      </c>
      <c r="BB55" t="s">
        <v>6210</v>
      </c>
      <c r="BC55" t="s">
        <v>6210</v>
      </c>
      <c r="BD55">
        <v>15</v>
      </c>
      <c r="BE55">
        <v>0</v>
      </c>
      <c r="BF55" t="b">
        <v>1</v>
      </c>
      <c r="BG55">
        <v>10</v>
      </c>
      <c r="BH55">
        <v>65</v>
      </c>
      <c r="BI55" t="s">
        <v>6211</v>
      </c>
      <c r="BJ55" t="s">
        <v>6213</v>
      </c>
      <c r="BK55" t="s">
        <v>6088</v>
      </c>
      <c r="BL55" t="b">
        <v>0</v>
      </c>
      <c r="BM55">
        <v>0</v>
      </c>
      <c r="BN55">
        <v>45</v>
      </c>
      <c r="BO55">
        <v>3</v>
      </c>
      <c r="BP55" t="s">
        <v>6216</v>
      </c>
      <c r="BQ55">
        <v>3</v>
      </c>
      <c r="BR55">
        <v>251</v>
      </c>
      <c r="BS55">
        <v>336</v>
      </c>
      <c r="BT55">
        <v>0</v>
      </c>
      <c r="BU55">
        <v>0</v>
      </c>
      <c r="BV55">
        <v>105</v>
      </c>
      <c r="BW55">
        <v>10</v>
      </c>
      <c r="BX55">
        <v>0</v>
      </c>
      <c r="BY55">
        <v>136</v>
      </c>
      <c r="BZ55">
        <v>1</v>
      </c>
      <c r="CA55">
        <v>1</v>
      </c>
      <c r="CB55">
        <v>0</v>
      </c>
      <c r="CC55">
        <v>0</v>
      </c>
      <c r="CD55">
        <v>3</v>
      </c>
      <c r="CE55">
        <v>3</v>
      </c>
      <c r="CF55">
        <v>20</v>
      </c>
    </row>
    <row r="56" spans="1:84">
      <c r="A56">
        <v>55</v>
      </c>
      <c r="B56" t="s">
        <v>6700</v>
      </c>
      <c r="C56">
        <v>6895</v>
      </c>
      <c r="D56">
        <v>6333</v>
      </c>
      <c r="E56">
        <v>155</v>
      </c>
      <c r="F56">
        <v>3464</v>
      </c>
      <c r="G56">
        <v>571</v>
      </c>
      <c r="H56">
        <v>5746</v>
      </c>
      <c r="I56">
        <v>190</v>
      </c>
      <c r="J56">
        <v>401</v>
      </c>
      <c r="K56">
        <v>1523142062</v>
      </c>
      <c r="L56">
        <v>1523141903</v>
      </c>
      <c r="M56">
        <v>0</v>
      </c>
      <c r="N56">
        <v>22</v>
      </c>
      <c r="O56">
        <v>37</v>
      </c>
      <c r="P56" t="b">
        <v>1</v>
      </c>
      <c r="Q56" t="s">
        <v>6210</v>
      </c>
      <c r="R56" t="s">
        <v>6210</v>
      </c>
      <c r="S56" t="s">
        <v>6210</v>
      </c>
      <c r="T56">
        <v>15</v>
      </c>
      <c r="U56">
        <v>0</v>
      </c>
      <c r="V56" t="b">
        <v>1</v>
      </c>
      <c r="W56">
        <v>11</v>
      </c>
      <c r="X56">
        <v>40</v>
      </c>
      <c r="Y56" t="s">
        <v>6211</v>
      </c>
      <c r="Z56" t="s">
        <v>6088</v>
      </c>
      <c r="AA56" t="s">
        <v>6211</v>
      </c>
      <c r="AB56" t="b">
        <v>0</v>
      </c>
      <c r="AC56">
        <v>4</v>
      </c>
      <c r="AD56">
        <v>0</v>
      </c>
      <c r="AE56">
        <v>1</v>
      </c>
      <c r="AF56" t="s">
        <v>6215</v>
      </c>
      <c r="AG56">
        <v>1</v>
      </c>
      <c r="AH56">
        <v>68</v>
      </c>
      <c r="AI56">
        <v>153</v>
      </c>
      <c r="AJ56">
        <v>0</v>
      </c>
      <c r="AK56">
        <v>10</v>
      </c>
      <c r="AL56">
        <v>11</v>
      </c>
      <c r="AM56">
        <v>0</v>
      </c>
      <c r="AN56">
        <v>10</v>
      </c>
      <c r="AO56">
        <v>57</v>
      </c>
      <c r="AP56">
        <v>3</v>
      </c>
      <c r="AQ56">
        <v>3</v>
      </c>
      <c r="AR56">
        <v>3</v>
      </c>
      <c r="AS56">
        <v>3</v>
      </c>
      <c r="AT56">
        <v>3</v>
      </c>
      <c r="AU56">
        <v>3</v>
      </c>
      <c r="AV56">
        <v>45</v>
      </c>
      <c r="AW56">
        <v>0</v>
      </c>
      <c r="AX56">
        <v>10</v>
      </c>
      <c r="AY56">
        <v>25</v>
      </c>
      <c r="AZ56" t="b">
        <v>1</v>
      </c>
      <c r="BA56" t="s">
        <v>6210</v>
      </c>
      <c r="BB56" t="s">
        <v>6210</v>
      </c>
      <c r="BC56" t="s">
        <v>6210</v>
      </c>
      <c r="BD56">
        <v>15</v>
      </c>
      <c r="BE56">
        <v>0</v>
      </c>
      <c r="BF56" t="b">
        <v>1</v>
      </c>
      <c r="BG56">
        <v>5</v>
      </c>
      <c r="BH56">
        <v>65</v>
      </c>
      <c r="BI56" t="s">
        <v>6211</v>
      </c>
      <c r="BJ56" t="s">
        <v>6213</v>
      </c>
      <c r="BK56" t="s">
        <v>6088</v>
      </c>
      <c r="BL56" t="b">
        <v>0</v>
      </c>
      <c r="BM56">
        <v>0</v>
      </c>
      <c r="BN56">
        <v>45</v>
      </c>
      <c r="BO56">
        <v>3</v>
      </c>
      <c r="BP56" t="s">
        <v>6215</v>
      </c>
      <c r="BQ56">
        <v>0</v>
      </c>
      <c r="BR56">
        <v>241</v>
      </c>
      <c r="BS56">
        <v>331</v>
      </c>
      <c r="BT56">
        <v>5</v>
      </c>
      <c r="BU56">
        <v>0</v>
      </c>
      <c r="BV56">
        <v>113</v>
      </c>
      <c r="BW56">
        <v>0</v>
      </c>
      <c r="BX56">
        <v>0</v>
      </c>
      <c r="BY56">
        <v>123</v>
      </c>
      <c r="BZ56">
        <v>2</v>
      </c>
      <c r="CA56">
        <v>2</v>
      </c>
      <c r="CB56">
        <v>0</v>
      </c>
      <c r="CC56">
        <v>0</v>
      </c>
      <c r="CD56">
        <v>3</v>
      </c>
      <c r="CE56">
        <v>3</v>
      </c>
      <c r="CF56">
        <v>25</v>
      </c>
    </row>
    <row r="57" spans="1:84">
      <c r="A57">
        <v>56</v>
      </c>
      <c r="B57" t="s">
        <v>6722</v>
      </c>
      <c r="C57">
        <v>3634</v>
      </c>
      <c r="D57">
        <v>195</v>
      </c>
      <c r="E57">
        <v>2170</v>
      </c>
      <c r="F57">
        <v>5129</v>
      </c>
      <c r="G57">
        <v>1973</v>
      </c>
      <c r="H57">
        <v>1740</v>
      </c>
      <c r="I57">
        <v>474</v>
      </c>
      <c r="J57">
        <v>169</v>
      </c>
      <c r="K57">
        <v>1523142550</v>
      </c>
      <c r="L57">
        <v>1523142362</v>
      </c>
      <c r="M57">
        <v>0</v>
      </c>
      <c r="N57">
        <v>42</v>
      </c>
      <c r="O57">
        <v>57</v>
      </c>
      <c r="P57" t="b">
        <v>1</v>
      </c>
      <c r="Q57" t="s">
        <v>6210</v>
      </c>
      <c r="R57" t="s">
        <v>6210</v>
      </c>
      <c r="S57" t="s">
        <v>6210</v>
      </c>
      <c r="T57">
        <v>15</v>
      </c>
      <c r="U57">
        <v>10</v>
      </c>
      <c r="V57" t="b">
        <v>1</v>
      </c>
      <c r="W57">
        <v>11</v>
      </c>
      <c r="X57">
        <v>90</v>
      </c>
      <c r="Y57" t="s">
        <v>6088</v>
      </c>
      <c r="Z57" t="s">
        <v>6213</v>
      </c>
      <c r="AA57" t="s">
        <v>6213</v>
      </c>
      <c r="AB57" t="b">
        <v>1</v>
      </c>
      <c r="AC57">
        <v>0</v>
      </c>
      <c r="AD57">
        <v>5</v>
      </c>
      <c r="AE57">
        <v>4</v>
      </c>
      <c r="AF57" t="s">
        <v>6212</v>
      </c>
      <c r="AG57">
        <v>0</v>
      </c>
      <c r="AH57">
        <v>292</v>
      </c>
      <c r="AI57">
        <v>412</v>
      </c>
      <c r="AJ57">
        <v>10</v>
      </c>
      <c r="AK57">
        <v>0</v>
      </c>
      <c r="AL57">
        <v>136</v>
      </c>
      <c r="AM57">
        <v>10</v>
      </c>
      <c r="AN57">
        <v>0</v>
      </c>
      <c r="AO57">
        <v>136</v>
      </c>
      <c r="AP57">
        <v>3</v>
      </c>
      <c r="AQ57">
        <v>3</v>
      </c>
      <c r="AR57">
        <v>0</v>
      </c>
      <c r="AS57">
        <v>0</v>
      </c>
      <c r="AT57">
        <v>3</v>
      </c>
      <c r="AU57">
        <v>3</v>
      </c>
      <c r="AV57">
        <v>30</v>
      </c>
      <c r="AW57">
        <v>0</v>
      </c>
      <c r="AX57">
        <v>0</v>
      </c>
      <c r="AY57">
        <v>15</v>
      </c>
      <c r="AZ57" t="b">
        <v>0</v>
      </c>
      <c r="BA57" t="s">
        <v>6210</v>
      </c>
      <c r="BB57" t="s">
        <v>6210</v>
      </c>
      <c r="BC57" t="s">
        <v>6210</v>
      </c>
      <c r="BD57">
        <v>15</v>
      </c>
      <c r="BE57">
        <v>0</v>
      </c>
      <c r="BF57" t="b">
        <v>0</v>
      </c>
      <c r="BG57">
        <v>0</v>
      </c>
      <c r="BH57">
        <v>65</v>
      </c>
      <c r="BI57" t="s">
        <v>6211</v>
      </c>
      <c r="BJ57" t="s">
        <v>6088</v>
      </c>
      <c r="BK57" t="s">
        <v>6213</v>
      </c>
      <c r="BL57" t="b">
        <v>0</v>
      </c>
      <c r="BM57">
        <v>1</v>
      </c>
      <c r="BN57">
        <v>0</v>
      </c>
      <c r="BO57">
        <v>0</v>
      </c>
      <c r="BP57" t="s">
        <v>6212</v>
      </c>
      <c r="BQ57">
        <v>0</v>
      </c>
      <c r="BR57">
        <v>69</v>
      </c>
      <c r="BS57">
        <v>154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69</v>
      </c>
      <c r="BZ57">
        <v>0</v>
      </c>
      <c r="CA57">
        <v>0</v>
      </c>
      <c r="CB57">
        <v>0</v>
      </c>
      <c r="CC57">
        <v>1</v>
      </c>
      <c r="CD57">
        <v>3</v>
      </c>
      <c r="CE57">
        <v>3</v>
      </c>
      <c r="CF57">
        <v>20</v>
      </c>
    </row>
    <row r="58" spans="1:84">
      <c r="A58">
        <v>57</v>
      </c>
      <c r="B58" t="s">
        <v>6723</v>
      </c>
      <c r="C58">
        <v>6811</v>
      </c>
      <c r="D58">
        <v>6346</v>
      </c>
      <c r="E58">
        <v>1991</v>
      </c>
      <c r="F58">
        <v>175</v>
      </c>
      <c r="G58">
        <v>999</v>
      </c>
      <c r="H58">
        <v>5142</v>
      </c>
      <c r="I58">
        <v>93</v>
      </c>
      <c r="J58">
        <v>413</v>
      </c>
      <c r="K58">
        <v>1523142960</v>
      </c>
      <c r="L58">
        <v>1523142738</v>
      </c>
      <c r="M58">
        <v>0</v>
      </c>
      <c r="N58">
        <v>18</v>
      </c>
      <c r="O58">
        <v>28</v>
      </c>
      <c r="P58" t="b">
        <v>0</v>
      </c>
      <c r="Q58" t="s">
        <v>6210</v>
      </c>
      <c r="R58" t="s">
        <v>6210</v>
      </c>
      <c r="S58" t="s">
        <v>5911</v>
      </c>
      <c r="T58">
        <v>10</v>
      </c>
      <c r="U58">
        <v>0</v>
      </c>
      <c r="V58" t="b">
        <v>1</v>
      </c>
      <c r="W58">
        <v>9</v>
      </c>
      <c r="X58">
        <v>40</v>
      </c>
      <c r="Y58" t="s">
        <v>6211</v>
      </c>
      <c r="Z58" t="s">
        <v>6088</v>
      </c>
      <c r="AA58" t="s">
        <v>6211</v>
      </c>
      <c r="AB58" t="b">
        <v>0</v>
      </c>
      <c r="AC58">
        <v>0</v>
      </c>
      <c r="AD58">
        <v>0</v>
      </c>
      <c r="AE58">
        <v>0</v>
      </c>
      <c r="AF58" t="s">
        <v>6215</v>
      </c>
      <c r="AG58">
        <v>0</v>
      </c>
      <c r="AH58">
        <v>10</v>
      </c>
      <c r="AI58">
        <v>65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10</v>
      </c>
      <c r="AP58">
        <v>0</v>
      </c>
      <c r="AQ58">
        <v>0</v>
      </c>
      <c r="AR58">
        <v>0</v>
      </c>
      <c r="AS58">
        <v>0</v>
      </c>
      <c r="AT58">
        <v>3</v>
      </c>
      <c r="AU58">
        <v>3</v>
      </c>
      <c r="AV58">
        <v>15</v>
      </c>
      <c r="AW58">
        <v>0</v>
      </c>
      <c r="AX58">
        <v>18</v>
      </c>
      <c r="AY58">
        <v>33</v>
      </c>
      <c r="AZ58" t="b">
        <v>1</v>
      </c>
      <c r="BA58" t="s">
        <v>6210</v>
      </c>
      <c r="BB58" t="s">
        <v>6210</v>
      </c>
      <c r="BC58" t="s">
        <v>6210</v>
      </c>
      <c r="BD58">
        <v>15</v>
      </c>
      <c r="BE58">
        <v>0</v>
      </c>
      <c r="BF58" t="b">
        <v>1</v>
      </c>
      <c r="BG58">
        <v>9</v>
      </c>
      <c r="BH58">
        <v>65</v>
      </c>
      <c r="BI58" t="s">
        <v>6213</v>
      </c>
      <c r="BJ58" t="s">
        <v>6211</v>
      </c>
      <c r="BK58" t="s">
        <v>6088</v>
      </c>
      <c r="BL58" t="b">
        <v>0</v>
      </c>
      <c r="BM58">
        <v>0</v>
      </c>
      <c r="BN58">
        <v>0</v>
      </c>
      <c r="BO58">
        <v>3</v>
      </c>
      <c r="BP58" t="s">
        <v>6215</v>
      </c>
      <c r="BQ58">
        <v>0</v>
      </c>
      <c r="BR58">
        <v>270</v>
      </c>
      <c r="BS58">
        <v>380</v>
      </c>
      <c r="BT58">
        <v>10</v>
      </c>
      <c r="BU58">
        <v>0</v>
      </c>
      <c r="BV58">
        <v>114</v>
      </c>
      <c r="BW58">
        <v>10</v>
      </c>
      <c r="BX58">
        <v>0</v>
      </c>
      <c r="BY58">
        <v>136</v>
      </c>
      <c r="BZ58">
        <v>3</v>
      </c>
      <c r="CA58">
        <v>3</v>
      </c>
      <c r="CB58">
        <v>0</v>
      </c>
      <c r="CC58">
        <v>3</v>
      </c>
      <c r="CD58">
        <v>3</v>
      </c>
      <c r="CE58">
        <v>3</v>
      </c>
      <c r="CF58">
        <v>45</v>
      </c>
    </row>
    <row r="59" spans="1:84">
      <c r="A59">
        <v>58</v>
      </c>
      <c r="B59" t="s">
        <v>6724</v>
      </c>
      <c r="C59">
        <v>177</v>
      </c>
      <c r="D59">
        <v>236</v>
      </c>
      <c r="E59">
        <v>3464</v>
      </c>
      <c r="F59">
        <v>839</v>
      </c>
      <c r="G59">
        <v>6895</v>
      </c>
      <c r="H59">
        <v>1027</v>
      </c>
      <c r="I59">
        <v>447</v>
      </c>
      <c r="J59">
        <v>286</v>
      </c>
      <c r="K59">
        <v>1523143290</v>
      </c>
      <c r="L59">
        <v>1523143148</v>
      </c>
      <c r="M59">
        <v>0</v>
      </c>
      <c r="N59">
        <v>12</v>
      </c>
      <c r="O59">
        <v>27</v>
      </c>
      <c r="P59" t="b">
        <v>1</v>
      </c>
      <c r="Q59" t="s">
        <v>6210</v>
      </c>
      <c r="R59" t="s">
        <v>6210</v>
      </c>
      <c r="S59" t="s">
        <v>6210</v>
      </c>
      <c r="T59">
        <v>15</v>
      </c>
      <c r="U59">
        <v>0</v>
      </c>
      <c r="V59" t="b">
        <v>1</v>
      </c>
      <c r="W59">
        <v>6</v>
      </c>
      <c r="X59">
        <v>90</v>
      </c>
      <c r="Y59" t="s">
        <v>6213</v>
      </c>
      <c r="Z59" t="s">
        <v>6213</v>
      </c>
      <c r="AA59" t="s">
        <v>6088</v>
      </c>
      <c r="AB59" t="b">
        <v>1</v>
      </c>
      <c r="AC59">
        <v>1</v>
      </c>
      <c r="AD59">
        <v>35</v>
      </c>
      <c r="AE59">
        <v>4</v>
      </c>
      <c r="AF59" t="s">
        <v>6212</v>
      </c>
      <c r="AG59">
        <v>0</v>
      </c>
      <c r="AH59">
        <v>255</v>
      </c>
      <c r="AI59">
        <v>385</v>
      </c>
      <c r="AJ59">
        <v>2</v>
      </c>
      <c r="AK59">
        <v>0</v>
      </c>
      <c r="AL59">
        <v>107</v>
      </c>
      <c r="AM59">
        <v>10</v>
      </c>
      <c r="AN59">
        <v>0</v>
      </c>
      <c r="AO59">
        <v>136</v>
      </c>
      <c r="AP59">
        <v>3</v>
      </c>
      <c r="AQ59">
        <v>3</v>
      </c>
      <c r="AR59">
        <v>0</v>
      </c>
      <c r="AS59">
        <v>2</v>
      </c>
      <c r="AT59">
        <v>3</v>
      </c>
      <c r="AU59">
        <v>3</v>
      </c>
      <c r="AV59">
        <v>40</v>
      </c>
      <c r="AW59">
        <v>0</v>
      </c>
      <c r="AX59">
        <v>0</v>
      </c>
      <c r="AY59">
        <v>15</v>
      </c>
      <c r="AZ59" t="b">
        <v>0</v>
      </c>
      <c r="BA59" t="s">
        <v>6210</v>
      </c>
      <c r="BB59" t="s">
        <v>6210</v>
      </c>
      <c r="BC59" t="s">
        <v>6210</v>
      </c>
      <c r="BD59">
        <v>15</v>
      </c>
      <c r="BE59">
        <v>0</v>
      </c>
      <c r="BF59" t="b">
        <v>0</v>
      </c>
      <c r="BG59">
        <v>0</v>
      </c>
      <c r="BH59">
        <v>65</v>
      </c>
      <c r="BI59" t="s">
        <v>6213</v>
      </c>
      <c r="BJ59" t="s">
        <v>6211</v>
      </c>
      <c r="BK59" t="s">
        <v>6088</v>
      </c>
      <c r="BL59" t="b">
        <v>0</v>
      </c>
      <c r="BM59">
        <v>7</v>
      </c>
      <c r="BN59">
        <v>5</v>
      </c>
      <c r="BO59">
        <v>0</v>
      </c>
      <c r="BP59" t="s">
        <v>6212</v>
      </c>
      <c r="BQ59">
        <v>0</v>
      </c>
      <c r="BR59">
        <v>156</v>
      </c>
      <c r="BS59">
        <v>266</v>
      </c>
      <c r="BT59">
        <v>0</v>
      </c>
      <c r="BU59">
        <v>10</v>
      </c>
      <c r="BV59">
        <v>16</v>
      </c>
      <c r="BW59">
        <v>10</v>
      </c>
      <c r="BX59">
        <v>10</v>
      </c>
      <c r="BY59">
        <v>130</v>
      </c>
      <c r="BZ59">
        <v>1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45</v>
      </c>
    </row>
    <row r="60" spans="1:84">
      <c r="A60">
        <v>59</v>
      </c>
      <c r="B60" t="s">
        <v>6725</v>
      </c>
      <c r="C60">
        <v>5686</v>
      </c>
      <c r="D60">
        <v>190</v>
      </c>
      <c r="E60">
        <v>173</v>
      </c>
      <c r="F60">
        <v>3182</v>
      </c>
      <c r="G60">
        <v>1085</v>
      </c>
      <c r="H60">
        <v>571</v>
      </c>
      <c r="I60">
        <v>403</v>
      </c>
      <c r="J60">
        <v>256</v>
      </c>
      <c r="K60">
        <v>1523143679</v>
      </c>
      <c r="L60">
        <v>1523143622</v>
      </c>
      <c r="M60">
        <v>0</v>
      </c>
      <c r="N60">
        <v>16</v>
      </c>
      <c r="O60">
        <v>31</v>
      </c>
      <c r="P60" t="b">
        <v>0</v>
      </c>
      <c r="Q60" t="s">
        <v>6210</v>
      </c>
      <c r="R60" t="s">
        <v>6210</v>
      </c>
      <c r="S60" t="s">
        <v>6210</v>
      </c>
      <c r="T60">
        <v>15</v>
      </c>
      <c r="U60">
        <v>8</v>
      </c>
      <c r="V60" t="b">
        <v>0</v>
      </c>
      <c r="W60">
        <v>0</v>
      </c>
      <c r="X60">
        <v>40</v>
      </c>
      <c r="Y60" t="s">
        <v>6088</v>
      </c>
      <c r="Z60" t="s">
        <v>6211</v>
      </c>
      <c r="AA60" t="s">
        <v>6211</v>
      </c>
      <c r="AB60" t="b">
        <v>0</v>
      </c>
      <c r="AC60">
        <v>1</v>
      </c>
      <c r="AD60">
        <v>10</v>
      </c>
      <c r="AE60">
        <v>2</v>
      </c>
      <c r="AF60" t="s">
        <v>6212</v>
      </c>
      <c r="AG60">
        <v>0</v>
      </c>
      <c r="AH60">
        <v>277</v>
      </c>
      <c r="AI60">
        <v>362</v>
      </c>
      <c r="AJ60">
        <v>10</v>
      </c>
      <c r="AK60">
        <v>10</v>
      </c>
      <c r="AL60">
        <v>129</v>
      </c>
      <c r="AM60">
        <v>10</v>
      </c>
      <c r="AN60">
        <v>10</v>
      </c>
      <c r="AO60">
        <v>128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45</v>
      </c>
      <c r="AW60">
        <v>0</v>
      </c>
      <c r="AX60">
        <v>18</v>
      </c>
      <c r="AY60">
        <v>33</v>
      </c>
      <c r="AZ60" t="b">
        <v>1</v>
      </c>
      <c r="BA60" t="s">
        <v>6210</v>
      </c>
      <c r="BB60" t="s">
        <v>6210</v>
      </c>
      <c r="BC60" t="s">
        <v>6210</v>
      </c>
      <c r="BD60">
        <v>15</v>
      </c>
      <c r="BE60">
        <v>0</v>
      </c>
      <c r="BF60" t="b">
        <v>1</v>
      </c>
      <c r="BG60">
        <v>9</v>
      </c>
      <c r="BH60">
        <v>65</v>
      </c>
      <c r="BI60" t="s">
        <v>6213</v>
      </c>
      <c r="BJ60" t="s">
        <v>6088</v>
      </c>
      <c r="BK60" t="s">
        <v>6211</v>
      </c>
      <c r="BL60" t="b">
        <v>0</v>
      </c>
      <c r="BM60">
        <v>2</v>
      </c>
      <c r="BN60">
        <v>5</v>
      </c>
      <c r="BO60">
        <v>1</v>
      </c>
      <c r="BP60" t="s">
        <v>6212</v>
      </c>
      <c r="BQ60">
        <v>0</v>
      </c>
      <c r="BR60">
        <v>138</v>
      </c>
      <c r="BS60">
        <v>218</v>
      </c>
      <c r="BT60">
        <v>0</v>
      </c>
      <c r="BU60">
        <v>0</v>
      </c>
      <c r="BV60">
        <v>2</v>
      </c>
      <c r="BW60">
        <v>0</v>
      </c>
      <c r="BX60">
        <v>0</v>
      </c>
      <c r="BY60">
        <v>136</v>
      </c>
      <c r="BZ60">
        <v>0</v>
      </c>
      <c r="CA60">
        <v>0</v>
      </c>
      <c r="CB60">
        <v>0</v>
      </c>
      <c r="CC60">
        <v>0</v>
      </c>
      <c r="CD60">
        <v>3</v>
      </c>
      <c r="CE60">
        <v>3</v>
      </c>
      <c r="CF60">
        <v>15</v>
      </c>
    </row>
    <row r="61" spans="1:84">
      <c r="A61">
        <v>60</v>
      </c>
      <c r="B61" t="s">
        <v>6726</v>
      </c>
      <c r="C61">
        <v>3146</v>
      </c>
      <c r="D61">
        <v>3654</v>
      </c>
      <c r="E61">
        <v>6812</v>
      </c>
      <c r="F61">
        <v>6333</v>
      </c>
      <c r="G61">
        <v>176</v>
      </c>
      <c r="H61">
        <v>2836</v>
      </c>
      <c r="I61">
        <v>316</v>
      </c>
      <c r="J61">
        <v>411</v>
      </c>
      <c r="K61">
        <v>1523144208</v>
      </c>
      <c r="L61">
        <v>1523144042</v>
      </c>
      <c r="M61">
        <v>0</v>
      </c>
      <c r="N61">
        <v>14</v>
      </c>
      <c r="O61">
        <v>29</v>
      </c>
      <c r="P61" t="b">
        <v>1</v>
      </c>
      <c r="Q61" t="s">
        <v>6210</v>
      </c>
      <c r="R61" t="s">
        <v>6210</v>
      </c>
      <c r="S61" t="s">
        <v>6210</v>
      </c>
      <c r="T61">
        <v>15</v>
      </c>
      <c r="U61">
        <v>0</v>
      </c>
      <c r="V61" t="b">
        <v>1</v>
      </c>
      <c r="W61">
        <v>7</v>
      </c>
      <c r="X61">
        <v>65</v>
      </c>
      <c r="Y61" t="s">
        <v>6213</v>
      </c>
      <c r="Z61" t="s">
        <v>6211</v>
      </c>
      <c r="AA61" t="s">
        <v>6088</v>
      </c>
      <c r="AB61" t="b">
        <v>0</v>
      </c>
      <c r="AC61">
        <v>0</v>
      </c>
      <c r="AD61">
        <v>25</v>
      </c>
      <c r="AE61">
        <v>1</v>
      </c>
      <c r="AF61" t="s">
        <v>6212</v>
      </c>
      <c r="AG61">
        <v>0</v>
      </c>
      <c r="AH61">
        <v>157</v>
      </c>
      <c r="AI61">
        <v>262</v>
      </c>
      <c r="AJ61">
        <v>0</v>
      </c>
      <c r="AK61">
        <v>10</v>
      </c>
      <c r="AL61">
        <v>11</v>
      </c>
      <c r="AM61">
        <v>10</v>
      </c>
      <c r="AN61">
        <v>10</v>
      </c>
      <c r="AO61">
        <v>136</v>
      </c>
      <c r="AP61">
        <v>1</v>
      </c>
      <c r="AQ61">
        <v>2</v>
      </c>
      <c r="AR61">
        <v>3</v>
      </c>
      <c r="AS61">
        <v>3</v>
      </c>
      <c r="AT61">
        <v>3</v>
      </c>
      <c r="AU61">
        <v>3</v>
      </c>
      <c r="AV61">
        <v>40</v>
      </c>
      <c r="AW61">
        <v>0</v>
      </c>
      <c r="AX61">
        <v>28</v>
      </c>
      <c r="AY61">
        <v>43</v>
      </c>
      <c r="AZ61" t="b">
        <v>1</v>
      </c>
      <c r="BA61" t="s">
        <v>6210</v>
      </c>
      <c r="BB61" t="s">
        <v>6210</v>
      </c>
      <c r="BC61" t="s">
        <v>6210</v>
      </c>
      <c r="BD61">
        <v>15</v>
      </c>
      <c r="BE61">
        <v>5</v>
      </c>
      <c r="BF61" t="b">
        <v>1</v>
      </c>
      <c r="BG61">
        <v>9</v>
      </c>
      <c r="BH61">
        <v>90</v>
      </c>
      <c r="BI61" t="s">
        <v>6088</v>
      </c>
      <c r="BJ61" t="s">
        <v>6213</v>
      </c>
      <c r="BK61" t="s">
        <v>6213</v>
      </c>
      <c r="BL61" t="b">
        <v>1</v>
      </c>
      <c r="BM61">
        <v>0</v>
      </c>
      <c r="BN61">
        <v>0</v>
      </c>
      <c r="BO61">
        <v>4</v>
      </c>
      <c r="BP61" t="s">
        <v>6212</v>
      </c>
      <c r="BQ61">
        <v>1</v>
      </c>
      <c r="BR61">
        <v>263</v>
      </c>
      <c r="BS61">
        <v>368</v>
      </c>
      <c r="BT61">
        <v>0</v>
      </c>
      <c r="BU61">
        <v>0</v>
      </c>
      <c r="BV61">
        <v>127</v>
      </c>
      <c r="BW61">
        <v>0</v>
      </c>
      <c r="BX61">
        <v>0</v>
      </c>
      <c r="BY61">
        <v>136</v>
      </c>
      <c r="BZ61">
        <v>0</v>
      </c>
      <c r="CA61">
        <v>0</v>
      </c>
      <c r="CB61">
        <v>0</v>
      </c>
      <c r="CC61">
        <v>0</v>
      </c>
      <c r="CD61">
        <v>3</v>
      </c>
      <c r="CE61">
        <v>3</v>
      </c>
      <c r="CF61">
        <v>15</v>
      </c>
    </row>
    <row r="62" spans="1:84">
      <c r="A62">
        <v>61</v>
      </c>
      <c r="B62" t="s">
        <v>6889</v>
      </c>
      <c r="C62">
        <v>2785</v>
      </c>
      <c r="D62">
        <v>2064</v>
      </c>
      <c r="E62">
        <v>4987</v>
      </c>
      <c r="F62">
        <v>7153</v>
      </c>
      <c r="G62">
        <v>7127</v>
      </c>
      <c r="H62">
        <v>230</v>
      </c>
      <c r="I62">
        <v>167</v>
      </c>
      <c r="J62">
        <v>411</v>
      </c>
      <c r="K62">
        <v>1523193786</v>
      </c>
      <c r="L62">
        <v>1523194200</v>
      </c>
      <c r="M62">
        <v>0</v>
      </c>
      <c r="N62">
        <v>14</v>
      </c>
      <c r="O62">
        <v>29</v>
      </c>
      <c r="P62" t="b">
        <v>1</v>
      </c>
      <c r="Q62" t="s">
        <v>6210</v>
      </c>
      <c r="R62" t="s">
        <v>6210</v>
      </c>
      <c r="S62" t="s">
        <v>6210</v>
      </c>
      <c r="T62">
        <v>15</v>
      </c>
      <c r="U62">
        <v>0</v>
      </c>
      <c r="V62" t="b">
        <v>1</v>
      </c>
      <c r="W62">
        <v>7</v>
      </c>
      <c r="X62">
        <v>40</v>
      </c>
      <c r="Y62" t="s">
        <v>6211</v>
      </c>
      <c r="Z62" t="s">
        <v>6211</v>
      </c>
      <c r="AA62" t="s">
        <v>6088</v>
      </c>
      <c r="AB62" t="b">
        <v>0</v>
      </c>
      <c r="AC62">
        <v>0</v>
      </c>
      <c r="AD62">
        <v>0</v>
      </c>
      <c r="AE62">
        <v>1</v>
      </c>
      <c r="AF62" t="s">
        <v>6214</v>
      </c>
      <c r="AG62">
        <v>0</v>
      </c>
      <c r="AH62">
        <v>68</v>
      </c>
      <c r="AI62">
        <v>138</v>
      </c>
      <c r="AJ62">
        <v>0</v>
      </c>
      <c r="AK62">
        <v>5</v>
      </c>
      <c r="AL62">
        <v>6</v>
      </c>
      <c r="AM62">
        <v>0</v>
      </c>
      <c r="AN62">
        <v>5</v>
      </c>
      <c r="AO62">
        <v>62</v>
      </c>
      <c r="AP62">
        <v>0</v>
      </c>
      <c r="AQ62">
        <v>0</v>
      </c>
      <c r="AR62">
        <v>3</v>
      </c>
      <c r="AS62">
        <v>3</v>
      </c>
      <c r="AT62">
        <v>3</v>
      </c>
      <c r="AU62">
        <v>3</v>
      </c>
      <c r="AV62">
        <v>30</v>
      </c>
      <c r="AW62">
        <v>0</v>
      </c>
      <c r="AX62">
        <v>22</v>
      </c>
      <c r="AY62">
        <v>37</v>
      </c>
      <c r="AZ62" t="b">
        <v>1</v>
      </c>
      <c r="BA62" t="s">
        <v>6210</v>
      </c>
      <c r="BB62" t="s">
        <v>6210</v>
      </c>
      <c r="BC62" t="s">
        <v>6210</v>
      </c>
      <c r="BD62">
        <v>15</v>
      </c>
      <c r="BE62">
        <v>0</v>
      </c>
      <c r="BF62" t="b">
        <v>1</v>
      </c>
      <c r="BG62">
        <v>11</v>
      </c>
      <c r="BH62">
        <v>65</v>
      </c>
      <c r="BI62" t="s">
        <v>6088</v>
      </c>
      <c r="BJ62" t="s">
        <v>6211</v>
      </c>
      <c r="BK62" t="s">
        <v>6213</v>
      </c>
      <c r="BL62" t="b">
        <v>0</v>
      </c>
      <c r="BM62">
        <v>0</v>
      </c>
      <c r="BN62">
        <v>0</v>
      </c>
      <c r="BO62">
        <v>3</v>
      </c>
      <c r="BP62" t="s">
        <v>6214</v>
      </c>
      <c r="BQ62">
        <v>0</v>
      </c>
      <c r="BR62">
        <v>264</v>
      </c>
      <c r="BS62">
        <v>374</v>
      </c>
      <c r="BT62">
        <v>10</v>
      </c>
      <c r="BU62">
        <v>10</v>
      </c>
      <c r="BV62">
        <v>108</v>
      </c>
      <c r="BW62">
        <v>10</v>
      </c>
      <c r="BX62">
        <v>10</v>
      </c>
      <c r="BY62">
        <v>136</v>
      </c>
      <c r="BZ62">
        <v>3</v>
      </c>
      <c r="CA62">
        <v>3</v>
      </c>
      <c r="CB62">
        <v>3</v>
      </c>
      <c r="CC62">
        <v>3</v>
      </c>
      <c r="CD62">
        <v>3</v>
      </c>
      <c r="CE62">
        <v>3</v>
      </c>
      <c r="CF62">
        <v>45</v>
      </c>
    </row>
    <row r="63" spans="1:84">
      <c r="A63">
        <v>62</v>
      </c>
      <c r="B63" t="s">
        <v>6890</v>
      </c>
      <c r="C63">
        <v>558</v>
      </c>
      <c r="D63">
        <v>571</v>
      </c>
      <c r="E63">
        <v>5129</v>
      </c>
      <c r="F63">
        <v>839</v>
      </c>
      <c r="G63">
        <v>2067</v>
      </c>
      <c r="H63">
        <v>181</v>
      </c>
      <c r="I63">
        <v>253</v>
      </c>
      <c r="J63">
        <v>345</v>
      </c>
      <c r="K63">
        <v>1523194236</v>
      </c>
      <c r="L63">
        <v>1523194620</v>
      </c>
      <c r="M63">
        <v>0</v>
      </c>
      <c r="N63">
        <v>32</v>
      </c>
      <c r="O63">
        <v>47</v>
      </c>
      <c r="P63" t="b">
        <v>1</v>
      </c>
      <c r="Q63" t="s">
        <v>6210</v>
      </c>
      <c r="R63" t="s">
        <v>6210</v>
      </c>
      <c r="S63" t="s">
        <v>6210</v>
      </c>
      <c r="T63">
        <v>15</v>
      </c>
      <c r="U63">
        <v>5</v>
      </c>
      <c r="V63" t="b">
        <v>1</v>
      </c>
      <c r="W63">
        <v>11</v>
      </c>
      <c r="X63">
        <v>35</v>
      </c>
      <c r="Y63" t="s">
        <v>5911</v>
      </c>
      <c r="Z63" t="s">
        <v>6211</v>
      </c>
      <c r="AA63" t="s">
        <v>6088</v>
      </c>
      <c r="AB63" t="b">
        <v>0</v>
      </c>
      <c r="AC63">
        <v>1</v>
      </c>
      <c r="AD63">
        <v>5</v>
      </c>
      <c r="AE63">
        <v>1</v>
      </c>
      <c r="AF63" t="s">
        <v>6215</v>
      </c>
      <c r="AG63">
        <v>0</v>
      </c>
      <c r="AH63">
        <v>136</v>
      </c>
      <c r="AI63">
        <v>201</v>
      </c>
      <c r="AJ63">
        <v>0</v>
      </c>
      <c r="AK63">
        <v>0</v>
      </c>
      <c r="AL63">
        <v>23</v>
      </c>
      <c r="AM63">
        <v>0</v>
      </c>
      <c r="AN63">
        <v>0</v>
      </c>
      <c r="AO63">
        <v>113</v>
      </c>
      <c r="AP63">
        <v>0</v>
      </c>
      <c r="AQ63">
        <v>3</v>
      </c>
      <c r="AR63">
        <v>0</v>
      </c>
      <c r="AS63">
        <v>0</v>
      </c>
      <c r="AT63">
        <v>3</v>
      </c>
      <c r="AU63">
        <v>3</v>
      </c>
      <c r="AV63">
        <v>30</v>
      </c>
      <c r="AW63">
        <v>0</v>
      </c>
      <c r="AX63">
        <v>16</v>
      </c>
      <c r="AY63">
        <v>26</v>
      </c>
      <c r="AZ63" t="b">
        <v>0</v>
      </c>
      <c r="BA63" t="s">
        <v>6210</v>
      </c>
      <c r="BB63" t="s">
        <v>5911</v>
      </c>
      <c r="BC63" t="s">
        <v>6210</v>
      </c>
      <c r="BD63">
        <v>10</v>
      </c>
      <c r="BE63">
        <v>0</v>
      </c>
      <c r="BF63" t="b">
        <v>1</v>
      </c>
      <c r="BG63">
        <v>8</v>
      </c>
      <c r="BH63">
        <v>65</v>
      </c>
      <c r="BI63" t="s">
        <v>6213</v>
      </c>
      <c r="BJ63" t="s">
        <v>6088</v>
      </c>
      <c r="BK63" t="s">
        <v>6211</v>
      </c>
      <c r="BL63" t="b">
        <v>0</v>
      </c>
      <c r="BM63">
        <v>1</v>
      </c>
      <c r="BN63">
        <v>5</v>
      </c>
      <c r="BO63">
        <v>2</v>
      </c>
      <c r="BP63" t="s">
        <v>6215</v>
      </c>
      <c r="BQ63">
        <v>0</v>
      </c>
      <c r="BR63">
        <v>214</v>
      </c>
      <c r="BS63">
        <v>314</v>
      </c>
      <c r="BT63">
        <v>0</v>
      </c>
      <c r="BU63">
        <v>8</v>
      </c>
      <c r="BV63">
        <v>102</v>
      </c>
      <c r="BW63">
        <v>0</v>
      </c>
      <c r="BX63">
        <v>8</v>
      </c>
      <c r="BY63">
        <v>112</v>
      </c>
      <c r="BZ63">
        <v>1</v>
      </c>
      <c r="CA63">
        <v>1</v>
      </c>
      <c r="CB63">
        <v>3</v>
      </c>
      <c r="CC63">
        <v>3</v>
      </c>
      <c r="CD63">
        <v>3</v>
      </c>
      <c r="CE63">
        <v>3</v>
      </c>
      <c r="CF63">
        <v>35</v>
      </c>
    </row>
    <row r="64" spans="1:84">
      <c r="A64">
        <v>63</v>
      </c>
      <c r="B64" t="s">
        <v>6891</v>
      </c>
      <c r="C64">
        <v>5142</v>
      </c>
      <c r="D64">
        <v>3182</v>
      </c>
      <c r="E64">
        <v>236</v>
      </c>
      <c r="F64">
        <v>2836</v>
      </c>
      <c r="G64">
        <v>3146</v>
      </c>
      <c r="H64">
        <v>2170</v>
      </c>
      <c r="I64">
        <v>295</v>
      </c>
      <c r="J64">
        <v>414</v>
      </c>
      <c r="K64">
        <v>1523194786</v>
      </c>
      <c r="L64">
        <v>1523194622</v>
      </c>
      <c r="M64">
        <v>0</v>
      </c>
      <c r="N64">
        <v>16</v>
      </c>
      <c r="O64">
        <v>31</v>
      </c>
      <c r="P64" t="b">
        <v>1</v>
      </c>
      <c r="Q64" t="s">
        <v>6210</v>
      </c>
      <c r="R64" t="s">
        <v>6210</v>
      </c>
      <c r="S64" t="s">
        <v>6210</v>
      </c>
      <c r="T64">
        <v>15</v>
      </c>
      <c r="U64">
        <v>0</v>
      </c>
      <c r="V64" t="b">
        <v>1</v>
      </c>
      <c r="W64">
        <v>8</v>
      </c>
      <c r="X64">
        <v>40</v>
      </c>
      <c r="Y64" t="s">
        <v>6088</v>
      </c>
      <c r="Z64" t="s">
        <v>6211</v>
      </c>
      <c r="AA64" t="s">
        <v>6211</v>
      </c>
      <c r="AB64" t="b">
        <v>0</v>
      </c>
      <c r="AC64">
        <v>2</v>
      </c>
      <c r="AD64">
        <v>55</v>
      </c>
      <c r="AE64">
        <v>1</v>
      </c>
      <c r="AF64" t="s">
        <v>6214</v>
      </c>
      <c r="AG64">
        <v>0</v>
      </c>
      <c r="AH64">
        <v>154</v>
      </c>
      <c r="AI64">
        <v>209</v>
      </c>
      <c r="AJ64">
        <v>0</v>
      </c>
      <c r="AK64">
        <v>0</v>
      </c>
      <c r="AL64">
        <v>36</v>
      </c>
      <c r="AM64">
        <v>0</v>
      </c>
      <c r="AN64">
        <v>0</v>
      </c>
      <c r="AO64">
        <v>118</v>
      </c>
      <c r="AP64">
        <v>0</v>
      </c>
      <c r="AQ64">
        <v>0</v>
      </c>
      <c r="AR64">
        <v>0</v>
      </c>
      <c r="AS64">
        <v>0</v>
      </c>
      <c r="AT64">
        <v>3</v>
      </c>
      <c r="AU64">
        <v>3</v>
      </c>
      <c r="AV64">
        <v>15</v>
      </c>
      <c r="AW64">
        <v>0</v>
      </c>
      <c r="AX64">
        <v>22</v>
      </c>
      <c r="AY64">
        <v>37</v>
      </c>
      <c r="AZ64" t="b">
        <v>1</v>
      </c>
      <c r="BA64" t="s">
        <v>6210</v>
      </c>
      <c r="BB64" t="s">
        <v>6210</v>
      </c>
      <c r="BC64" t="s">
        <v>6210</v>
      </c>
      <c r="BD64">
        <v>15</v>
      </c>
      <c r="BE64">
        <v>0</v>
      </c>
      <c r="BF64" t="b">
        <v>1</v>
      </c>
      <c r="BG64">
        <v>11</v>
      </c>
      <c r="BH64">
        <v>90</v>
      </c>
      <c r="BI64" t="s">
        <v>6213</v>
      </c>
      <c r="BJ64" t="s">
        <v>6213</v>
      </c>
      <c r="BK64" t="s">
        <v>6088</v>
      </c>
      <c r="BL64" t="b">
        <v>1</v>
      </c>
      <c r="BM64">
        <v>1</v>
      </c>
      <c r="BN64">
        <v>10</v>
      </c>
      <c r="BO64">
        <v>4</v>
      </c>
      <c r="BP64" t="s">
        <v>6214</v>
      </c>
      <c r="BQ64">
        <v>2</v>
      </c>
      <c r="BR64">
        <v>232</v>
      </c>
      <c r="BS64">
        <v>367</v>
      </c>
      <c r="BT64">
        <v>10</v>
      </c>
      <c r="BU64">
        <v>10</v>
      </c>
      <c r="BV64">
        <v>76</v>
      </c>
      <c r="BW64">
        <v>10</v>
      </c>
      <c r="BX64">
        <v>10</v>
      </c>
      <c r="BY64">
        <v>136</v>
      </c>
      <c r="BZ64">
        <v>3</v>
      </c>
      <c r="CA64">
        <v>3</v>
      </c>
      <c r="CB64">
        <v>3</v>
      </c>
      <c r="CC64">
        <v>3</v>
      </c>
      <c r="CD64">
        <v>3</v>
      </c>
      <c r="CE64">
        <v>3</v>
      </c>
      <c r="CF64">
        <v>45</v>
      </c>
    </row>
    <row r="65" spans="1:84">
      <c r="A65">
        <v>64</v>
      </c>
      <c r="B65" t="s">
        <v>6892</v>
      </c>
      <c r="C65">
        <v>176</v>
      </c>
      <c r="D65">
        <v>7127</v>
      </c>
      <c r="E65">
        <v>190</v>
      </c>
      <c r="F65">
        <v>2064</v>
      </c>
      <c r="G65">
        <v>177</v>
      </c>
      <c r="H65">
        <v>1991</v>
      </c>
      <c r="I65">
        <v>393</v>
      </c>
      <c r="J65">
        <v>217</v>
      </c>
      <c r="K65">
        <v>1523195235</v>
      </c>
      <c r="L65">
        <v>1523195042</v>
      </c>
      <c r="M65">
        <v>0</v>
      </c>
      <c r="N65">
        <v>30</v>
      </c>
      <c r="O65">
        <v>45</v>
      </c>
      <c r="P65" t="b">
        <v>1</v>
      </c>
      <c r="Q65" t="s">
        <v>6210</v>
      </c>
      <c r="R65" t="s">
        <v>6210</v>
      </c>
      <c r="S65" t="s">
        <v>6210</v>
      </c>
      <c r="T65">
        <v>15</v>
      </c>
      <c r="U65">
        <v>6</v>
      </c>
      <c r="V65" t="b">
        <v>1</v>
      </c>
      <c r="W65">
        <v>9</v>
      </c>
      <c r="X65">
        <v>35</v>
      </c>
      <c r="Y65" t="s">
        <v>6088</v>
      </c>
      <c r="Z65" t="s">
        <v>5911</v>
      </c>
      <c r="AA65" t="s">
        <v>6211</v>
      </c>
      <c r="AB65" t="b">
        <v>0</v>
      </c>
      <c r="AC65">
        <v>1</v>
      </c>
      <c r="AD65">
        <v>0</v>
      </c>
      <c r="AE65">
        <v>3</v>
      </c>
      <c r="AF65" t="s">
        <v>6216</v>
      </c>
      <c r="AG65">
        <v>1</v>
      </c>
      <c r="AH65">
        <v>273</v>
      </c>
      <c r="AI65">
        <v>348</v>
      </c>
      <c r="AJ65">
        <v>10</v>
      </c>
      <c r="AK65">
        <v>0</v>
      </c>
      <c r="AL65">
        <v>117</v>
      </c>
      <c r="AM65">
        <v>10</v>
      </c>
      <c r="AN65">
        <v>0</v>
      </c>
      <c r="AO65">
        <v>136</v>
      </c>
      <c r="AP65">
        <v>3</v>
      </c>
      <c r="AQ65">
        <v>3</v>
      </c>
      <c r="AR65">
        <v>0</v>
      </c>
      <c r="AS65">
        <v>2</v>
      </c>
      <c r="AT65">
        <v>3</v>
      </c>
      <c r="AU65">
        <v>3</v>
      </c>
      <c r="AV65">
        <v>40</v>
      </c>
      <c r="AW65">
        <v>0</v>
      </c>
      <c r="AX65">
        <v>4</v>
      </c>
      <c r="AY65">
        <v>19</v>
      </c>
      <c r="AZ65" t="b">
        <v>0</v>
      </c>
      <c r="BA65" t="s">
        <v>6210</v>
      </c>
      <c r="BB65" t="s">
        <v>6210</v>
      </c>
      <c r="BC65" t="s">
        <v>6210</v>
      </c>
      <c r="BD65">
        <v>15</v>
      </c>
      <c r="BE65">
        <v>1</v>
      </c>
      <c r="BF65" t="b">
        <v>0</v>
      </c>
      <c r="BG65">
        <v>1</v>
      </c>
      <c r="BH65">
        <v>35</v>
      </c>
      <c r="BI65" t="s">
        <v>6211</v>
      </c>
      <c r="BJ65" t="s">
        <v>6088</v>
      </c>
      <c r="BK65" t="s">
        <v>5911</v>
      </c>
      <c r="BL65" t="b">
        <v>0</v>
      </c>
      <c r="BM65">
        <v>0</v>
      </c>
      <c r="BN65">
        <v>30</v>
      </c>
      <c r="BO65">
        <v>0</v>
      </c>
      <c r="BP65" t="s">
        <v>6216</v>
      </c>
      <c r="BQ65">
        <v>0</v>
      </c>
      <c r="BR65">
        <v>103</v>
      </c>
      <c r="BS65">
        <v>168</v>
      </c>
      <c r="BT65">
        <v>0</v>
      </c>
      <c r="BU65">
        <v>10</v>
      </c>
      <c r="BV65">
        <v>11</v>
      </c>
      <c r="BW65">
        <v>10</v>
      </c>
      <c r="BX65">
        <v>0</v>
      </c>
      <c r="BY65">
        <v>82</v>
      </c>
      <c r="BZ65">
        <v>1</v>
      </c>
      <c r="CA65">
        <v>1</v>
      </c>
      <c r="CB65">
        <v>2</v>
      </c>
      <c r="CC65">
        <v>2</v>
      </c>
      <c r="CD65">
        <v>3</v>
      </c>
      <c r="CE65">
        <v>3</v>
      </c>
      <c r="CF65">
        <v>30</v>
      </c>
    </row>
    <row r="66" spans="1:84">
      <c r="A66">
        <v>65</v>
      </c>
      <c r="B66" t="s">
        <v>6893</v>
      </c>
      <c r="C66">
        <v>3654</v>
      </c>
      <c r="D66">
        <v>2067</v>
      </c>
      <c r="E66">
        <v>1740</v>
      </c>
      <c r="F66">
        <v>4987</v>
      </c>
      <c r="G66">
        <v>3464</v>
      </c>
      <c r="H66">
        <v>6811</v>
      </c>
      <c r="I66">
        <v>410</v>
      </c>
      <c r="J66">
        <v>321</v>
      </c>
      <c r="K66">
        <v>1523195586</v>
      </c>
      <c r="L66">
        <v>1523195524</v>
      </c>
      <c r="M66">
        <v>0</v>
      </c>
      <c r="N66">
        <v>28</v>
      </c>
      <c r="O66">
        <v>43</v>
      </c>
      <c r="P66" t="b">
        <v>1</v>
      </c>
      <c r="Q66" t="s">
        <v>6210</v>
      </c>
      <c r="R66" t="s">
        <v>6210</v>
      </c>
      <c r="S66" t="s">
        <v>6210</v>
      </c>
      <c r="T66">
        <v>15</v>
      </c>
      <c r="U66">
        <v>4</v>
      </c>
      <c r="V66" t="b">
        <v>1</v>
      </c>
      <c r="W66">
        <v>10</v>
      </c>
      <c r="X66">
        <v>65</v>
      </c>
      <c r="Y66" t="s">
        <v>6211</v>
      </c>
      <c r="Z66" t="s">
        <v>6213</v>
      </c>
      <c r="AA66" t="s">
        <v>6088</v>
      </c>
      <c r="AB66" t="b">
        <v>0</v>
      </c>
      <c r="AC66">
        <v>0</v>
      </c>
      <c r="AD66">
        <v>0</v>
      </c>
      <c r="AE66">
        <v>3</v>
      </c>
      <c r="AF66" t="s">
        <v>6212</v>
      </c>
      <c r="AG66">
        <v>4</v>
      </c>
      <c r="AH66">
        <v>282</v>
      </c>
      <c r="AI66">
        <v>367</v>
      </c>
      <c r="AJ66">
        <v>0</v>
      </c>
      <c r="AK66">
        <v>0</v>
      </c>
      <c r="AL66">
        <v>136</v>
      </c>
      <c r="AM66">
        <v>10</v>
      </c>
      <c r="AN66">
        <v>0</v>
      </c>
      <c r="AO66">
        <v>136</v>
      </c>
      <c r="AP66">
        <v>1</v>
      </c>
      <c r="AQ66">
        <v>1</v>
      </c>
      <c r="AR66">
        <v>0</v>
      </c>
      <c r="AS66">
        <v>0</v>
      </c>
      <c r="AT66">
        <v>3</v>
      </c>
      <c r="AU66">
        <v>3</v>
      </c>
      <c r="AV66">
        <v>20</v>
      </c>
      <c r="AW66">
        <v>0</v>
      </c>
      <c r="AX66">
        <v>10</v>
      </c>
      <c r="AY66">
        <v>25</v>
      </c>
      <c r="AZ66" t="b">
        <v>1</v>
      </c>
      <c r="BA66" t="s">
        <v>6210</v>
      </c>
      <c r="BB66" t="s">
        <v>6210</v>
      </c>
      <c r="BC66" t="s">
        <v>6210</v>
      </c>
      <c r="BD66">
        <v>15</v>
      </c>
      <c r="BE66">
        <v>0</v>
      </c>
      <c r="BF66" t="b">
        <v>1</v>
      </c>
      <c r="BG66">
        <v>5</v>
      </c>
      <c r="BH66">
        <v>40</v>
      </c>
      <c r="BI66" t="s">
        <v>6211</v>
      </c>
      <c r="BJ66" t="s">
        <v>6211</v>
      </c>
      <c r="BK66" t="s">
        <v>6088</v>
      </c>
      <c r="BL66" t="b">
        <v>0</v>
      </c>
      <c r="BM66">
        <v>0</v>
      </c>
      <c r="BN66">
        <v>100</v>
      </c>
      <c r="BO66">
        <v>1</v>
      </c>
      <c r="BP66" t="s">
        <v>6212</v>
      </c>
      <c r="BQ66">
        <v>0</v>
      </c>
      <c r="BR66">
        <v>136</v>
      </c>
      <c r="BS66">
        <v>196</v>
      </c>
      <c r="BT66">
        <v>0</v>
      </c>
      <c r="BU66">
        <v>0</v>
      </c>
      <c r="BV66">
        <v>0</v>
      </c>
      <c r="BW66">
        <v>0</v>
      </c>
      <c r="BX66">
        <v>10</v>
      </c>
      <c r="BY66">
        <v>136</v>
      </c>
      <c r="BZ66">
        <v>0</v>
      </c>
      <c r="CA66">
        <v>0</v>
      </c>
      <c r="CB66">
        <v>1</v>
      </c>
      <c r="CC66">
        <v>1</v>
      </c>
      <c r="CD66">
        <v>3</v>
      </c>
      <c r="CE66">
        <v>3</v>
      </c>
      <c r="CF66">
        <v>20</v>
      </c>
    </row>
    <row r="67" spans="1:84">
      <c r="A67">
        <v>66</v>
      </c>
      <c r="B67" t="s">
        <v>6894</v>
      </c>
      <c r="C67">
        <v>1973</v>
      </c>
      <c r="D67">
        <v>230</v>
      </c>
      <c r="E67">
        <v>175</v>
      </c>
      <c r="F67">
        <v>155</v>
      </c>
      <c r="G67">
        <v>5686</v>
      </c>
      <c r="H67">
        <v>7153</v>
      </c>
      <c r="I67">
        <v>516</v>
      </c>
      <c r="J67">
        <v>270</v>
      </c>
      <c r="K67">
        <v>1523196081</v>
      </c>
      <c r="L67">
        <v>1523195947</v>
      </c>
      <c r="M67">
        <v>0</v>
      </c>
      <c r="N67">
        <v>24</v>
      </c>
      <c r="O67">
        <v>39</v>
      </c>
      <c r="P67" t="b">
        <v>1</v>
      </c>
      <c r="Q67" t="s">
        <v>6210</v>
      </c>
      <c r="R67" t="s">
        <v>6210</v>
      </c>
      <c r="S67" t="s">
        <v>6210</v>
      </c>
      <c r="T67">
        <v>15</v>
      </c>
      <c r="U67">
        <v>2</v>
      </c>
      <c r="V67" t="b">
        <v>1</v>
      </c>
      <c r="W67">
        <v>10</v>
      </c>
      <c r="X67">
        <v>35</v>
      </c>
      <c r="Y67" t="s">
        <v>6088</v>
      </c>
      <c r="Z67" t="s">
        <v>5911</v>
      </c>
      <c r="AA67" t="s">
        <v>6211</v>
      </c>
      <c r="AB67" t="b">
        <v>0</v>
      </c>
      <c r="AC67">
        <v>0</v>
      </c>
      <c r="AD67">
        <v>135</v>
      </c>
      <c r="AE67">
        <v>3</v>
      </c>
      <c r="AF67" t="s">
        <v>6212</v>
      </c>
      <c r="AG67">
        <v>0</v>
      </c>
      <c r="AH67">
        <v>277</v>
      </c>
      <c r="AI67">
        <v>342</v>
      </c>
      <c r="AJ67">
        <v>10</v>
      </c>
      <c r="AK67">
        <v>0</v>
      </c>
      <c r="AL67">
        <v>127</v>
      </c>
      <c r="AM67">
        <v>10</v>
      </c>
      <c r="AN67">
        <v>0</v>
      </c>
      <c r="AO67">
        <v>130</v>
      </c>
      <c r="AP67">
        <v>3</v>
      </c>
      <c r="AQ67">
        <v>3</v>
      </c>
      <c r="AR67">
        <v>0</v>
      </c>
      <c r="AS67">
        <v>0</v>
      </c>
      <c r="AT67">
        <v>3</v>
      </c>
      <c r="AU67">
        <v>3</v>
      </c>
      <c r="AV67">
        <v>30</v>
      </c>
      <c r="AW67">
        <v>0</v>
      </c>
      <c r="AX67">
        <v>18</v>
      </c>
      <c r="AY67">
        <v>33</v>
      </c>
      <c r="AZ67" t="b">
        <v>1</v>
      </c>
      <c r="BA67" t="s">
        <v>6210</v>
      </c>
      <c r="BB67" t="s">
        <v>6210</v>
      </c>
      <c r="BC67" t="s">
        <v>6210</v>
      </c>
      <c r="BD67">
        <v>15</v>
      </c>
      <c r="BE67">
        <v>0</v>
      </c>
      <c r="BF67" t="b">
        <v>1</v>
      </c>
      <c r="BG67">
        <v>9</v>
      </c>
      <c r="BH67">
        <v>35</v>
      </c>
      <c r="BI67" t="s">
        <v>6211</v>
      </c>
      <c r="BJ67" t="s">
        <v>5911</v>
      </c>
      <c r="BK67" t="s">
        <v>6088</v>
      </c>
      <c r="BL67" t="b">
        <v>0</v>
      </c>
      <c r="BM67">
        <v>2</v>
      </c>
      <c r="BN67">
        <v>0</v>
      </c>
      <c r="BO67">
        <v>1</v>
      </c>
      <c r="BP67" t="s">
        <v>6212</v>
      </c>
      <c r="BQ67">
        <v>5</v>
      </c>
      <c r="BR67">
        <v>157</v>
      </c>
      <c r="BS67">
        <v>237</v>
      </c>
      <c r="BT67">
        <v>0</v>
      </c>
      <c r="BU67">
        <v>10</v>
      </c>
      <c r="BV67">
        <v>11</v>
      </c>
      <c r="BW67">
        <v>10</v>
      </c>
      <c r="BX67">
        <v>10</v>
      </c>
      <c r="BY67">
        <v>136</v>
      </c>
      <c r="BZ67">
        <v>3</v>
      </c>
      <c r="CA67">
        <v>3</v>
      </c>
      <c r="CB67">
        <v>3</v>
      </c>
      <c r="CC67">
        <v>3</v>
      </c>
      <c r="CD67">
        <v>3</v>
      </c>
      <c r="CE67">
        <v>3</v>
      </c>
      <c r="CF67">
        <v>45</v>
      </c>
    </row>
    <row r="68" spans="1:84">
      <c r="A68">
        <v>67</v>
      </c>
      <c r="B68" t="s">
        <v>6895</v>
      </c>
      <c r="C68">
        <v>195</v>
      </c>
      <c r="D68">
        <v>999</v>
      </c>
      <c r="E68">
        <v>6812</v>
      </c>
      <c r="F68">
        <v>3634</v>
      </c>
      <c r="G68">
        <v>2785</v>
      </c>
      <c r="H68">
        <v>173</v>
      </c>
      <c r="I68">
        <v>470</v>
      </c>
      <c r="J68">
        <v>117</v>
      </c>
      <c r="K68">
        <v>1523196425</v>
      </c>
      <c r="L68">
        <v>1523196302</v>
      </c>
      <c r="M68">
        <v>0</v>
      </c>
      <c r="N68">
        <v>22</v>
      </c>
      <c r="O68">
        <v>37</v>
      </c>
      <c r="P68" t="b">
        <v>1</v>
      </c>
      <c r="Q68" t="s">
        <v>6210</v>
      </c>
      <c r="R68" t="s">
        <v>6210</v>
      </c>
      <c r="S68" t="s">
        <v>6210</v>
      </c>
      <c r="T68">
        <v>15</v>
      </c>
      <c r="U68">
        <v>0</v>
      </c>
      <c r="V68" t="b">
        <v>1</v>
      </c>
      <c r="W68">
        <v>11</v>
      </c>
      <c r="X68">
        <v>90</v>
      </c>
      <c r="Y68" t="s">
        <v>6213</v>
      </c>
      <c r="Z68" t="s">
        <v>6213</v>
      </c>
      <c r="AA68" t="s">
        <v>6088</v>
      </c>
      <c r="AB68" t="b">
        <v>1</v>
      </c>
      <c r="AC68">
        <v>0</v>
      </c>
      <c r="AD68">
        <v>25</v>
      </c>
      <c r="AE68">
        <v>4</v>
      </c>
      <c r="AF68" t="s">
        <v>6216</v>
      </c>
      <c r="AG68">
        <v>0</v>
      </c>
      <c r="AH68">
        <v>283</v>
      </c>
      <c r="AI68">
        <v>408</v>
      </c>
      <c r="AJ68">
        <v>10</v>
      </c>
      <c r="AK68">
        <v>0</v>
      </c>
      <c r="AL68">
        <v>127</v>
      </c>
      <c r="AM68">
        <v>10</v>
      </c>
      <c r="AN68">
        <v>10</v>
      </c>
      <c r="AO68">
        <v>136</v>
      </c>
      <c r="AP68">
        <v>3</v>
      </c>
      <c r="AQ68">
        <v>3</v>
      </c>
      <c r="AR68">
        <v>1</v>
      </c>
      <c r="AS68">
        <v>1</v>
      </c>
      <c r="AT68">
        <v>3</v>
      </c>
      <c r="AU68">
        <v>3</v>
      </c>
      <c r="AV68">
        <v>35</v>
      </c>
      <c r="AW68">
        <v>0</v>
      </c>
      <c r="AX68">
        <v>12</v>
      </c>
      <c r="AY68">
        <v>27</v>
      </c>
      <c r="AZ68" t="b">
        <v>1</v>
      </c>
      <c r="BA68" t="s">
        <v>6210</v>
      </c>
      <c r="BB68" t="s">
        <v>6210</v>
      </c>
      <c r="BC68" t="s">
        <v>6210</v>
      </c>
      <c r="BD68">
        <v>15</v>
      </c>
      <c r="BE68">
        <v>0</v>
      </c>
      <c r="BF68" t="b">
        <v>1</v>
      </c>
      <c r="BG68">
        <v>6</v>
      </c>
      <c r="BH68">
        <v>30</v>
      </c>
      <c r="BI68" t="s">
        <v>6088</v>
      </c>
      <c r="BJ68" t="s">
        <v>5911</v>
      </c>
      <c r="BK68" t="s">
        <v>5911</v>
      </c>
      <c r="BL68" t="b">
        <v>0</v>
      </c>
      <c r="BM68">
        <v>5</v>
      </c>
      <c r="BN68">
        <v>0</v>
      </c>
      <c r="BO68">
        <v>1</v>
      </c>
      <c r="BP68" t="s">
        <v>6216</v>
      </c>
      <c r="BQ68">
        <v>0</v>
      </c>
      <c r="BR68">
        <v>45</v>
      </c>
      <c r="BS68">
        <v>90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45</v>
      </c>
      <c r="BZ68">
        <v>0</v>
      </c>
      <c r="CA68">
        <v>0</v>
      </c>
      <c r="CB68">
        <v>0</v>
      </c>
      <c r="CC68">
        <v>0</v>
      </c>
      <c r="CD68">
        <v>3</v>
      </c>
      <c r="CE68">
        <v>3</v>
      </c>
      <c r="CF68">
        <v>15</v>
      </c>
    </row>
    <row r="69" spans="1:84">
      <c r="A69">
        <v>68</v>
      </c>
      <c r="B69" t="s">
        <v>6896</v>
      </c>
      <c r="C69">
        <v>6333</v>
      </c>
      <c r="D69">
        <v>5746</v>
      </c>
      <c r="E69">
        <v>6346</v>
      </c>
      <c r="F69">
        <v>1085</v>
      </c>
      <c r="G69">
        <v>1027</v>
      </c>
      <c r="H69">
        <v>558</v>
      </c>
      <c r="I69">
        <v>357</v>
      </c>
      <c r="J69">
        <v>337</v>
      </c>
      <c r="K69">
        <v>1523196926</v>
      </c>
      <c r="L69">
        <v>1523196784</v>
      </c>
      <c r="M69">
        <v>0</v>
      </c>
      <c r="N69">
        <v>8</v>
      </c>
      <c r="O69">
        <v>23</v>
      </c>
      <c r="P69" t="b">
        <v>1</v>
      </c>
      <c r="Q69" t="s">
        <v>6210</v>
      </c>
      <c r="R69" t="s">
        <v>6210</v>
      </c>
      <c r="S69" t="s">
        <v>6210</v>
      </c>
      <c r="T69">
        <v>15</v>
      </c>
      <c r="U69">
        <v>0</v>
      </c>
      <c r="V69" t="b">
        <v>1</v>
      </c>
      <c r="W69">
        <v>4</v>
      </c>
      <c r="X69">
        <v>35</v>
      </c>
      <c r="Y69" t="s">
        <v>5911</v>
      </c>
      <c r="Z69" t="s">
        <v>6211</v>
      </c>
      <c r="AA69" t="s">
        <v>6088</v>
      </c>
      <c r="AB69" t="b">
        <v>0</v>
      </c>
      <c r="AC69">
        <v>3</v>
      </c>
      <c r="AD69">
        <v>25</v>
      </c>
      <c r="AE69">
        <v>3</v>
      </c>
      <c r="AF69" t="s">
        <v>6212</v>
      </c>
      <c r="AG69">
        <v>2</v>
      </c>
      <c r="AH69">
        <v>249</v>
      </c>
      <c r="AI69">
        <v>309</v>
      </c>
      <c r="AJ69">
        <v>9</v>
      </c>
      <c r="AK69">
        <v>0</v>
      </c>
      <c r="AL69">
        <v>104</v>
      </c>
      <c r="AM69">
        <v>0</v>
      </c>
      <c r="AN69">
        <v>0</v>
      </c>
      <c r="AO69">
        <v>136</v>
      </c>
      <c r="AP69">
        <v>2</v>
      </c>
      <c r="AQ69">
        <v>2</v>
      </c>
      <c r="AR69">
        <v>0</v>
      </c>
      <c r="AS69">
        <v>0</v>
      </c>
      <c r="AT69">
        <v>3</v>
      </c>
      <c r="AU69">
        <v>3</v>
      </c>
      <c r="AV69">
        <v>25</v>
      </c>
      <c r="AW69">
        <v>0</v>
      </c>
      <c r="AX69">
        <v>20</v>
      </c>
      <c r="AY69">
        <v>35</v>
      </c>
      <c r="AZ69" t="b">
        <v>1</v>
      </c>
      <c r="BA69" t="s">
        <v>6210</v>
      </c>
      <c r="BB69" t="s">
        <v>6210</v>
      </c>
      <c r="BC69" t="s">
        <v>6210</v>
      </c>
      <c r="BD69">
        <v>15</v>
      </c>
      <c r="BE69">
        <v>0</v>
      </c>
      <c r="BF69" t="b">
        <v>1</v>
      </c>
      <c r="BG69">
        <v>10</v>
      </c>
      <c r="BH69">
        <v>35</v>
      </c>
      <c r="BI69" t="s">
        <v>5911</v>
      </c>
      <c r="BJ69" t="s">
        <v>6211</v>
      </c>
      <c r="BK69" t="s">
        <v>6088</v>
      </c>
      <c r="BL69" t="b">
        <v>0</v>
      </c>
      <c r="BM69">
        <v>0</v>
      </c>
      <c r="BN69">
        <v>65</v>
      </c>
      <c r="BO69">
        <v>1</v>
      </c>
      <c r="BP69" t="s">
        <v>6212</v>
      </c>
      <c r="BQ69">
        <v>1</v>
      </c>
      <c r="BR69">
        <v>157</v>
      </c>
      <c r="BS69">
        <v>237</v>
      </c>
      <c r="BT69">
        <v>0</v>
      </c>
      <c r="BU69">
        <v>10</v>
      </c>
      <c r="BV69">
        <v>11</v>
      </c>
      <c r="BW69">
        <v>10</v>
      </c>
      <c r="BX69">
        <v>10</v>
      </c>
      <c r="BY69">
        <v>136</v>
      </c>
      <c r="BZ69">
        <v>3</v>
      </c>
      <c r="CA69">
        <v>3</v>
      </c>
      <c r="CB69">
        <v>3</v>
      </c>
      <c r="CC69">
        <v>3</v>
      </c>
      <c r="CD69">
        <v>3</v>
      </c>
      <c r="CE69">
        <v>3</v>
      </c>
      <c r="CF69">
        <v>45</v>
      </c>
    </row>
    <row r="70" spans="1:84">
      <c r="A70">
        <v>69</v>
      </c>
      <c r="B70" t="s">
        <v>6897</v>
      </c>
      <c r="C70">
        <v>181</v>
      </c>
      <c r="D70">
        <v>1740</v>
      </c>
      <c r="E70">
        <v>5142</v>
      </c>
      <c r="F70">
        <v>2067</v>
      </c>
      <c r="G70">
        <v>6895</v>
      </c>
      <c r="H70">
        <v>1973</v>
      </c>
      <c r="I70">
        <v>471</v>
      </c>
      <c r="J70">
        <v>160</v>
      </c>
      <c r="K70">
        <v>1523197265</v>
      </c>
      <c r="L70">
        <v>1523197086</v>
      </c>
      <c r="M70">
        <v>0</v>
      </c>
      <c r="N70">
        <v>0</v>
      </c>
      <c r="O70">
        <v>15</v>
      </c>
      <c r="P70" t="b">
        <v>0</v>
      </c>
      <c r="Q70" t="s">
        <v>6210</v>
      </c>
      <c r="R70" t="s">
        <v>6210</v>
      </c>
      <c r="S70" t="s">
        <v>6210</v>
      </c>
      <c r="T70">
        <v>15</v>
      </c>
      <c r="U70">
        <v>0</v>
      </c>
      <c r="V70" t="b">
        <v>0</v>
      </c>
      <c r="W70">
        <v>0</v>
      </c>
      <c r="X70">
        <v>65</v>
      </c>
      <c r="Y70" t="s">
        <v>6213</v>
      </c>
      <c r="Z70" t="s">
        <v>6211</v>
      </c>
      <c r="AA70" t="s">
        <v>6088</v>
      </c>
      <c r="AB70" t="b">
        <v>0</v>
      </c>
      <c r="AC70">
        <v>1</v>
      </c>
      <c r="AD70">
        <v>105</v>
      </c>
      <c r="AE70">
        <v>2</v>
      </c>
      <c r="AF70" t="s">
        <v>6212</v>
      </c>
      <c r="AG70">
        <v>0</v>
      </c>
      <c r="AH70">
        <v>256</v>
      </c>
      <c r="AI70">
        <v>351</v>
      </c>
      <c r="AJ70">
        <v>10</v>
      </c>
      <c r="AK70">
        <v>0</v>
      </c>
      <c r="AL70">
        <v>120</v>
      </c>
      <c r="AM70">
        <v>0</v>
      </c>
      <c r="AN70">
        <v>0</v>
      </c>
      <c r="AO70">
        <v>126</v>
      </c>
      <c r="AP70">
        <v>2</v>
      </c>
      <c r="AQ70">
        <v>2</v>
      </c>
      <c r="AR70">
        <v>0</v>
      </c>
      <c r="AS70">
        <v>1</v>
      </c>
      <c r="AT70">
        <v>3</v>
      </c>
      <c r="AU70">
        <v>3</v>
      </c>
      <c r="AV70">
        <v>30</v>
      </c>
      <c r="AW70">
        <v>0</v>
      </c>
      <c r="AX70">
        <v>2</v>
      </c>
      <c r="AY70">
        <v>17</v>
      </c>
      <c r="AZ70" t="b">
        <v>1</v>
      </c>
      <c r="BA70" t="s">
        <v>6210</v>
      </c>
      <c r="BB70" t="s">
        <v>6210</v>
      </c>
      <c r="BC70" t="s">
        <v>6210</v>
      </c>
      <c r="BD70">
        <v>15</v>
      </c>
      <c r="BE70">
        <v>0</v>
      </c>
      <c r="BF70" t="b">
        <v>1</v>
      </c>
      <c r="BG70">
        <v>1</v>
      </c>
      <c r="BH70">
        <v>40</v>
      </c>
      <c r="BI70" t="s">
        <v>6211</v>
      </c>
      <c r="BJ70" t="s">
        <v>6211</v>
      </c>
      <c r="BK70" t="s">
        <v>6088</v>
      </c>
      <c r="BL70" t="b">
        <v>0</v>
      </c>
      <c r="BM70">
        <v>1</v>
      </c>
      <c r="BN70">
        <v>5</v>
      </c>
      <c r="BO70">
        <v>1</v>
      </c>
      <c r="BP70" t="s">
        <v>6212</v>
      </c>
      <c r="BQ70">
        <v>4</v>
      </c>
      <c r="BR70">
        <v>83</v>
      </c>
      <c r="BS70">
        <v>138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83</v>
      </c>
      <c r="BZ70">
        <v>0</v>
      </c>
      <c r="CA70">
        <v>0</v>
      </c>
      <c r="CB70">
        <v>0</v>
      </c>
      <c r="CC70">
        <v>0</v>
      </c>
      <c r="CD70">
        <v>3</v>
      </c>
      <c r="CE70">
        <v>3</v>
      </c>
      <c r="CF70">
        <v>15</v>
      </c>
    </row>
    <row r="71" spans="1:84">
      <c r="A71">
        <v>70</v>
      </c>
      <c r="B71" t="s">
        <v>6898</v>
      </c>
      <c r="C71">
        <v>6811</v>
      </c>
      <c r="D71">
        <v>155</v>
      </c>
      <c r="E71">
        <v>839</v>
      </c>
      <c r="F71">
        <v>999</v>
      </c>
      <c r="G71">
        <v>2836</v>
      </c>
      <c r="H71">
        <v>236</v>
      </c>
      <c r="I71">
        <v>252</v>
      </c>
      <c r="J71">
        <v>446</v>
      </c>
      <c r="K71">
        <v>1523197702</v>
      </c>
      <c r="L71">
        <v>1523197513</v>
      </c>
      <c r="M71">
        <v>0</v>
      </c>
      <c r="N71">
        <v>20</v>
      </c>
      <c r="O71">
        <v>35</v>
      </c>
      <c r="P71" t="b">
        <v>1</v>
      </c>
      <c r="Q71" t="s">
        <v>6210</v>
      </c>
      <c r="R71" t="s">
        <v>6210</v>
      </c>
      <c r="S71" t="s">
        <v>6210</v>
      </c>
      <c r="T71">
        <v>15</v>
      </c>
      <c r="U71">
        <v>0</v>
      </c>
      <c r="V71" t="b">
        <v>1</v>
      </c>
      <c r="W71">
        <v>10</v>
      </c>
      <c r="X71">
        <v>65</v>
      </c>
      <c r="Y71" t="s">
        <v>6088</v>
      </c>
      <c r="Z71" t="s">
        <v>6213</v>
      </c>
      <c r="AA71" t="s">
        <v>6211</v>
      </c>
      <c r="AB71" t="b">
        <v>0</v>
      </c>
      <c r="AC71">
        <v>1</v>
      </c>
      <c r="AD71">
        <v>85</v>
      </c>
      <c r="AE71">
        <v>1</v>
      </c>
      <c r="AF71" t="s">
        <v>6214</v>
      </c>
      <c r="AG71">
        <v>0</v>
      </c>
      <c r="AH71">
        <v>32</v>
      </c>
      <c r="AI71">
        <v>132</v>
      </c>
      <c r="AJ71">
        <v>0</v>
      </c>
      <c r="AK71">
        <v>10</v>
      </c>
      <c r="AL71">
        <v>11</v>
      </c>
      <c r="AM71">
        <v>0</v>
      </c>
      <c r="AN71">
        <v>10</v>
      </c>
      <c r="AO71">
        <v>21</v>
      </c>
      <c r="AP71">
        <v>1</v>
      </c>
      <c r="AQ71">
        <v>1</v>
      </c>
      <c r="AR71">
        <v>3</v>
      </c>
      <c r="AS71">
        <v>3</v>
      </c>
      <c r="AT71">
        <v>3</v>
      </c>
      <c r="AU71">
        <v>3</v>
      </c>
      <c r="AV71">
        <v>35</v>
      </c>
      <c r="AW71">
        <v>0</v>
      </c>
      <c r="AX71">
        <v>34</v>
      </c>
      <c r="AY71">
        <v>49</v>
      </c>
      <c r="AZ71" t="b">
        <v>1</v>
      </c>
      <c r="BA71" t="s">
        <v>6210</v>
      </c>
      <c r="BB71" t="s">
        <v>6210</v>
      </c>
      <c r="BC71" t="s">
        <v>6210</v>
      </c>
      <c r="BD71">
        <v>15</v>
      </c>
      <c r="BE71">
        <v>8</v>
      </c>
      <c r="BF71" t="b">
        <v>1</v>
      </c>
      <c r="BG71">
        <v>9</v>
      </c>
      <c r="BH71">
        <v>65</v>
      </c>
      <c r="BI71" t="s">
        <v>6088</v>
      </c>
      <c r="BJ71" t="s">
        <v>6213</v>
      </c>
      <c r="BK71" t="s">
        <v>6211</v>
      </c>
      <c r="BL71" t="b">
        <v>0</v>
      </c>
      <c r="BM71">
        <v>2</v>
      </c>
      <c r="BN71">
        <v>5</v>
      </c>
      <c r="BO71">
        <v>3</v>
      </c>
      <c r="BP71" t="s">
        <v>6214</v>
      </c>
      <c r="BQ71">
        <v>3</v>
      </c>
      <c r="BR71">
        <v>282</v>
      </c>
      <c r="BS71">
        <v>392</v>
      </c>
      <c r="BT71">
        <v>10</v>
      </c>
      <c r="BU71">
        <v>0</v>
      </c>
      <c r="BV71">
        <v>126</v>
      </c>
      <c r="BW71">
        <v>10</v>
      </c>
      <c r="BX71">
        <v>0</v>
      </c>
      <c r="BY71">
        <v>136</v>
      </c>
      <c r="BZ71">
        <v>3</v>
      </c>
      <c r="CA71">
        <v>3</v>
      </c>
      <c r="CB71">
        <v>0</v>
      </c>
      <c r="CC71">
        <v>3</v>
      </c>
      <c r="CD71">
        <v>3</v>
      </c>
      <c r="CE71">
        <v>3</v>
      </c>
      <c r="CF71">
        <v>45</v>
      </c>
    </row>
    <row r="72" spans="1:84">
      <c r="A72">
        <v>71</v>
      </c>
      <c r="B72" t="s">
        <v>6899</v>
      </c>
      <c r="C72">
        <v>5746</v>
      </c>
      <c r="D72">
        <v>2785</v>
      </c>
      <c r="E72">
        <v>7153</v>
      </c>
      <c r="F72">
        <v>1085</v>
      </c>
      <c r="G72">
        <v>5129</v>
      </c>
      <c r="H72">
        <v>1991</v>
      </c>
      <c r="I72">
        <v>221</v>
      </c>
      <c r="J72">
        <v>396</v>
      </c>
      <c r="K72">
        <v>1523198120</v>
      </c>
      <c r="L72">
        <v>1523197982</v>
      </c>
      <c r="M72">
        <v>0</v>
      </c>
      <c r="N72">
        <v>10</v>
      </c>
      <c r="O72">
        <v>25</v>
      </c>
      <c r="P72" t="b">
        <v>1</v>
      </c>
      <c r="Q72" t="s">
        <v>6210</v>
      </c>
      <c r="R72" t="s">
        <v>6210</v>
      </c>
      <c r="S72" t="s">
        <v>6210</v>
      </c>
      <c r="T72">
        <v>15</v>
      </c>
      <c r="U72">
        <v>0</v>
      </c>
      <c r="V72" t="b">
        <v>1</v>
      </c>
      <c r="W72">
        <v>5</v>
      </c>
      <c r="X72">
        <v>35</v>
      </c>
      <c r="Y72" t="s">
        <v>6211</v>
      </c>
      <c r="Z72" t="s">
        <v>6088</v>
      </c>
      <c r="AA72" t="s">
        <v>5911</v>
      </c>
      <c r="AB72" t="b">
        <v>0</v>
      </c>
      <c r="AC72">
        <v>0</v>
      </c>
      <c r="AD72">
        <v>5</v>
      </c>
      <c r="AE72">
        <v>1</v>
      </c>
      <c r="AF72" t="s">
        <v>6212</v>
      </c>
      <c r="AG72">
        <v>1</v>
      </c>
      <c r="AH72">
        <v>136</v>
      </c>
      <c r="AI72">
        <v>191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136</v>
      </c>
      <c r="AP72">
        <v>0</v>
      </c>
      <c r="AQ72">
        <v>1</v>
      </c>
      <c r="AR72">
        <v>0</v>
      </c>
      <c r="AS72">
        <v>0</v>
      </c>
      <c r="AT72">
        <v>3</v>
      </c>
      <c r="AU72">
        <v>3</v>
      </c>
      <c r="AV72">
        <v>20</v>
      </c>
      <c r="AW72">
        <v>0</v>
      </c>
      <c r="AX72">
        <v>12</v>
      </c>
      <c r="AY72">
        <v>22</v>
      </c>
      <c r="AZ72" t="b">
        <v>0</v>
      </c>
      <c r="BA72" t="s">
        <v>5911</v>
      </c>
      <c r="BB72" t="s">
        <v>6210</v>
      </c>
      <c r="BC72" t="s">
        <v>6210</v>
      </c>
      <c r="BD72">
        <v>10</v>
      </c>
      <c r="BE72">
        <v>6</v>
      </c>
      <c r="BF72" t="b">
        <v>0</v>
      </c>
      <c r="BG72">
        <v>0</v>
      </c>
      <c r="BH72">
        <v>35</v>
      </c>
      <c r="BI72" t="s">
        <v>5911</v>
      </c>
      <c r="BJ72" t="s">
        <v>6088</v>
      </c>
      <c r="BK72" t="s">
        <v>6211</v>
      </c>
      <c r="BL72" t="b">
        <v>0</v>
      </c>
      <c r="BM72">
        <v>1</v>
      </c>
      <c r="BN72">
        <v>25</v>
      </c>
      <c r="BO72">
        <v>2</v>
      </c>
      <c r="BP72" t="s">
        <v>6212</v>
      </c>
      <c r="BQ72">
        <v>0</v>
      </c>
      <c r="BR72">
        <v>274</v>
      </c>
      <c r="BS72">
        <v>349</v>
      </c>
      <c r="BT72">
        <v>10</v>
      </c>
      <c r="BU72">
        <v>6</v>
      </c>
      <c r="BV72">
        <v>136</v>
      </c>
      <c r="BW72">
        <v>0</v>
      </c>
      <c r="BX72">
        <v>6</v>
      </c>
      <c r="BY72">
        <v>128</v>
      </c>
      <c r="BZ72">
        <v>2</v>
      </c>
      <c r="CA72">
        <v>2</v>
      </c>
      <c r="CB72">
        <v>3</v>
      </c>
      <c r="CC72">
        <v>3</v>
      </c>
      <c r="CD72">
        <v>3</v>
      </c>
      <c r="CE72">
        <v>3</v>
      </c>
      <c r="CF72">
        <v>40</v>
      </c>
    </row>
    <row r="73" spans="1:84">
      <c r="A73">
        <v>72</v>
      </c>
      <c r="B73" t="s">
        <v>6900</v>
      </c>
      <c r="C73">
        <v>2064</v>
      </c>
      <c r="D73">
        <v>3182</v>
      </c>
      <c r="E73">
        <v>6333</v>
      </c>
      <c r="F73">
        <v>3634</v>
      </c>
      <c r="G73">
        <v>3654</v>
      </c>
      <c r="H73">
        <v>6346</v>
      </c>
      <c r="I73">
        <v>229</v>
      </c>
      <c r="J73">
        <v>341</v>
      </c>
      <c r="K73">
        <v>1523198674</v>
      </c>
      <c r="L73">
        <v>1523198462</v>
      </c>
      <c r="M73">
        <v>0</v>
      </c>
      <c r="N73">
        <v>0</v>
      </c>
      <c r="O73">
        <v>15</v>
      </c>
      <c r="P73" t="b">
        <v>0</v>
      </c>
      <c r="Q73" t="s">
        <v>6210</v>
      </c>
      <c r="R73" t="s">
        <v>6210</v>
      </c>
      <c r="S73" t="s">
        <v>6210</v>
      </c>
      <c r="T73">
        <v>15</v>
      </c>
      <c r="U73">
        <v>0</v>
      </c>
      <c r="V73" t="b">
        <v>0</v>
      </c>
      <c r="W73">
        <v>0</v>
      </c>
      <c r="X73">
        <v>35</v>
      </c>
      <c r="Y73" t="s">
        <v>5911</v>
      </c>
      <c r="Z73" t="s">
        <v>6211</v>
      </c>
      <c r="AA73" t="s">
        <v>6088</v>
      </c>
      <c r="AB73" t="b">
        <v>0</v>
      </c>
      <c r="AC73">
        <v>1</v>
      </c>
      <c r="AD73">
        <v>0</v>
      </c>
      <c r="AE73">
        <v>0</v>
      </c>
      <c r="AF73" t="s">
        <v>6215</v>
      </c>
      <c r="AG73">
        <v>1</v>
      </c>
      <c r="AH73">
        <v>134</v>
      </c>
      <c r="AI73">
        <v>214</v>
      </c>
      <c r="AJ73">
        <v>0</v>
      </c>
      <c r="AK73">
        <v>10</v>
      </c>
      <c r="AL73">
        <v>18</v>
      </c>
      <c r="AM73">
        <v>10</v>
      </c>
      <c r="AN73">
        <v>10</v>
      </c>
      <c r="AO73">
        <v>106</v>
      </c>
      <c r="AP73">
        <v>3</v>
      </c>
      <c r="AQ73">
        <v>3</v>
      </c>
      <c r="AR73">
        <v>3</v>
      </c>
      <c r="AS73">
        <v>3</v>
      </c>
      <c r="AT73">
        <v>3</v>
      </c>
      <c r="AU73">
        <v>3</v>
      </c>
      <c r="AV73">
        <v>45</v>
      </c>
      <c r="AW73">
        <v>0</v>
      </c>
      <c r="AX73">
        <v>18</v>
      </c>
      <c r="AY73">
        <v>33</v>
      </c>
      <c r="AZ73" t="b">
        <v>1</v>
      </c>
      <c r="BA73" t="s">
        <v>6210</v>
      </c>
      <c r="BB73" t="s">
        <v>6210</v>
      </c>
      <c r="BC73" t="s">
        <v>6210</v>
      </c>
      <c r="BD73">
        <v>15</v>
      </c>
      <c r="BE73">
        <v>0</v>
      </c>
      <c r="BF73" t="b">
        <v>1</v>
      </c>
      <c r="BG73">
        <v>9</v>
      </c>
      <c r="BH73">
        <v>40</v>
      </c>
      <c r="BI73" t="s">
        <v>6211</v>
      </c>
      <c r="BJ73" t="s">
        <v>6211</v>
      </c>
      <c r="BK73" t="s">
        <v>6088</v>
      </c>
      <c r="BL73" t="b">
        <v>0</v>
      </c>
      <c r="BM73">
        <v>0</v>
      </c>
      <c r="BN73">
        <v>30</v>
      </c>
      <c r="BO73">
        <v>3</v>
      </c>
      <c r="BP73" t="s">
        <v>6215</v>
      </c>
      <c r="BQ73">
        <v>0</v>
      </c>
      <c r="BR73">
        <v>213</v>
      </c>
      <c r="BS73">
        <v>278</v>
      </c>
      <c r="BT73">
        <v>5</v>
      </c>
      <c r="BU73">
        <v>0</v>
      </c>
      <c r="BV73">
        <v>72</v>
      </c>
      <c r="BW73">
        <v>0</v>
      </c>
      <c r="BX73">
        <v>0</v>
      </c>
      <c r="BY73">
        <v>136</v>
      </c>
      <c r="BZ73">
        <v>2</v>
      </c>
      <c r="CA73">
        <v>2</v>
      </c>
      <c r="CB73">
        <v>0</v>
      </c>
      <c r="CC73">
        <v>0</v>
      </c>
      <c r="CD73">
        <v>3</v>
      </c>
      <c r="CE73">
        <v>3</v>
      </c>
      <c r="CF73">
        <v>25</v>
      </c>
    </row>
    <row r="74" spans="1:84">
      <c r="A74">
        <v>73</v>
      </c>
      <c r="B74" t="s">
        <v>6901</v>
      </c>
      <c r="C74">
        <v>176</v>
      </c>
      <c r="D74">
        <v>6812</v>
      </c>
      <c r="E74">
        <v>4987</v>
      </c>
      <c r="F74">
        <v>181</v>
      </c>
      <c r="G74">
        <v>1027</v>
      </c>
      <c r="H74">
        <v>571</v>
      </c>
      <c r="I74">
        <v>211</v>
      </c>
      <c r="J74">
        <v>437</v>
      </c>
      <c r="K74">
        <v>1523199117</v>
      </c>
      <c r="L74">
        <v>1523198942</v>
      </c>
      <c r="M74">
        <v>0</v>
      </c>
      <c r="N74">
        <v>22</v>
      </c>
      <c r="O74">
        <v>37</v>
      </c>
      <c r="P74" t="b">
        <v>1</v>
      </c>
      <c r="Q74" t="s">
        <v>6210</v>
      </c>
      <c r="R74" t="s">
        <v>6210</v>
      </c>
      <c r="S74" t="s">
        <v>6210</v>
      </c>
      <c r="T74">
        <v>15</v>
      </c>
      <c r="U74">
        <v>0</v>
      </c>
      <c r="V74" t="b">
        <v>1</v>
      </c>
      <c r="W74">
        <v>11</v>
      </c>
      <c r="X74">
        <v>0</v>
      </c>
      <c r="Y74" t="s">
        <v>5911</v>
      </c>
      <c r="Z74" t="s">
        <v>5911</v>
      </c>
      <c r="AA74" t="s">
        <v>5911</v>
      </c>
      <c r="AB74" t="b">
        <v>0</v>
      </c>
      <c r="AC74">
        <v>1</v>
      </c>
      <c r="AD74">
        <v>75</v>
      </c>
      <c r="AE74">
        <v>1</v>
      </c>
      <c r="AF74" t="s">
        <v>6212</v>
      </c>
      <c r="AG74">
        <v>0</v>
      </c>
      <c r="AH74">
        <v>89</v>
      </c>
      <c r="AI74">
        <v>99</v>
      </c>
      <c r="AJ74">
        <v>10</v>
      </c>
      <c r="AK74">
        <v>0</v>
      </c>
      <c r="AL74">
        <v>16</v>
      </c>
      <c r="AM74">
        <v>0</v>
      </c>
      <c r="AN74">
        <v>0</v>
      </c>
      <c r="AO74">
        <v>63</v>
      </c>
      <c r="AP74">
        <v>2</v>
      </c>
      <c r="AQ74">
        <v>2</v>
      </c>
      <c r="AR74">
        <v>0</v>
      </c>
      <c r="AS74">
        <v>0</v>
      </c>
      <c r="AT74">
        <v>0</v>
      </c>
      <c r="AU74">
        <v>0</v>
      </c>
      <c r="AV74">
        <v>10</v>
      </c>
      <c r="AW74">
        <v>0</v>
      </c>
      <c r="AX74">
        <v>34</v>
      </c>
      <c r="AY74">
        <v>49</v>
      </c>
      <c r="AZ74" t="b">
        <v>1</v>
      </c>
      <c r="BA74" t="s">
        <v>6210</v>
      </c>
      <c r="BB74" t="s">
        <v>6210</v>
      </c>
      <c r="BC74" t="s">
        <v>6210</v>
      </c>
      <c r="BD74">
        <v>15</v>
      </c>
      <c r="BE74">
        <v>8</v>
      </c>
      <c r="BF74" t="b">
        <v>1</v>
      </c>
      <c r="BG74">
        <v>9</v>
      </c>
      <c r="BH74">
        <v>65</v>
      </c>
      <c r="BI74" t="s">
        <v>6213</v>
      </c>
      <c r="BJ74" t="s">
        <v>6211</v>
      </c>
      <c r="BK74" t="s">
        <v>6088</v>
      </c>
      <c r="BL74" t="b">
        <v>0</v>
      </c>
      <c r="BM74">
        <v>0</v>
      </c>
      <c r="BN74">
        <v>5</v>
      </c>
      <c r="BO74">
        <v>3</v>
      </c>
      <c r="BP74" t="s">
        <v>6212</v>
      </c>
      <c r="BQ74">
        <v>3</v>
      </c>
      <c r="BR74">
        <v>273</v>
      </c>
      <c r="BS74">
        <v>383</v>
      </c>
      <c r="BT74">
        <v>7</v>
      </c>
      <c r="BU74">
        <v>10</v>
      </c>
      <c r="BV74">
        <v>120</v>
      </c>
      <c r="BW74">
        <v>10</v>
      </c>
      <c r="BX74">
        <v>10</v>
      </c>
      <c r="BY74">
        <v>136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45</v>
      </c>
    </row>
    <row r="75" spans="1:84">
      <c r="A75">
        <v>74</v>
      </c>
      <c r="B75" t="s">
        <v>6902</v>
      </c>
      <c r="C75">
        <v>7127</v>
      </c>
      <c r="D75">
        <v>195</v>
      </c>
      <c r="E75">
        <v>558</v>
      </c>
      <c r="F75">
        <v>5686</v>
      </c>
      <c r="G75">
        <v>2170</v>
      </c>
      <c r="H75">
        <v>6895</v>
      </c>
      <c r="I75">
        <v>468</v>
      </c>
      <c r="J75">
        <v>225</v>
      </c>
      <c r="K75">
        <v>1523199631</v>
      </c>
      <c r="L75">
        <v>1523199542</v>
      </c>
      <c r="M75">
        <v>0</v>
      </c>
      <c r="N75">
        <v>40</v>
      </c>
      <c r="O75">
        <v>55</v>
      </c>
      <c r="P75" t="b">
        <v>1</v>
      </c>
      <c r="Q75" t="s">
        <v>6210</v>
      </c>
      <c r="R75" t="s">
        <v>6210</v>
      </c>
      <c r="S75" t="s">
        <v>6210</v>
      </c>
      <c r="T75">
        <v>15</v>
      </c>
      <c r="U75">
        <v>10</v>
      </c>
      <c r="V75" t="b">
        <v>1</v>
      </c>
      <c r="W75">
        <v>10</v>
      </c>
      <c r="X75">
        <v>90</v>
      </c>
      <c r="Y75" t="s">
        <v>6088</v>
      </c>
      <c r="Z75" t="s">
        <v>6213</v>
      </c>
      <c r="AA75" t="s">
        <v>6213</v>
      </c>
      <c r="AB75" t="b">
        <v>1</v>
      </c>
      <c r="AC75">
        <v>0</v>
      </c>
      <c r="AD75">
        <v>25</v>
      </c>
      <c r="AE75">
        <v>4</v>
      </c>
      <c r="AF75" t="s">
        <v>6216</v>
      </c>
      <c r="AG75">
        <v>0</v>
      </c>
      <c r="AH75">
        <v>268</v>
      </c>
      <c r="AI75">
        <v>388</v>
      </c>
      <c r="AJ75">
        <v>10</v>
      </c>
      <c r="AK75">
        <v>0</v>
      </c>
      <c r="AL75">
        <v>127</v>
      </c>
      <c r="AM75">
        <v>10</v>
      </c>
      <c r="AN75">
        <v>0</v>
      </c>
      <c r="AO75">
        <v>121</v>
      </c>
      <c r="AP75">
        <v>3</v>
      </c>
      <c r="AQ75">
        <v>3</v>
      </c>
      <c r="AR75">
        <v>0</v>
      </c>
      <c r="AS75">
        <v>0</v>
      </c>
      <c r="AT75">
        <v>3</v>
      </c>
      <c r="AU75">
        <v>3</v>
      </c>
      <c r="AV75">
        <v>30</v>
      </c>
      <c r="AW75">
        <v>0</v>
      </c>
      <c r="AX75">
        <v>22</v>
      </c>
      <c r="AY75">
        <v>37</v>
      </c>
      <c r="AZ75" t="b">
        <v>1</v>
      </c>
      <c r="BA75" t="s">
        <v>6210</v>
      </c>
      <c r="BB75" t="s">
        <v>6210</v>
      </c>
      <c r="BC75" t="s">
        <v>6210</v>
      </c>
      <c r="BD75">
        <v>15</v>
      </c>
      <c r="BE75">
        <v>0</v>
      </c>
      <c r="BF75" t="b">
        <v>1</v>
      </c>
      <c r="BG75">
        <v>11</v>
      </c>
      <c r="BH75">
        <v>40</v>
      </c>
      <c r="BI75" t="s">
        <v>6211</v>
      </c>
      <c r="BJ75" t="s">
        <v>6088</v>
      </c>
      <c r="BK75" t="s">
        <v>6211</v>
      </c>
      <c r="BL75" t="b">
        <v>0</v>
      </c>
      <c r="BM75">
        <v>0</v>
      </c>
      <c r="BN75">
        <v>0</v>
      </c>
      <c r="BO75">
        <v>1</v>
      </c>
      <c r="BP75" t="s">
        <v>6216</v>
      </c>
      <c r="BQ75">
        <v>1</v>
      </c>
      <c r="BR75">
        <v>123</v>
      </c>
      <c r="BS75">
        <v>188</v>
      </c>
      <c r="BT75">
        <v>0</v>
      </c>
      <c r="BU75">
        <v>10</v>
      </c>
      <c r="BV75">
        <v>11</v>
      </c>
      <c r="BW75">
        <v>0</v>
      </c>
      <c r="BX75">
        <v>0</v>
      </c>
      <c r="BY75">
        <v>112</v>
      </c>
      <c r="BZ75">
        <v>0</v>
      </c>
      <c r="CA75">
        <v>0</v>
      </c>
      <c r="CB75">
        <v>2</v>
      </c>
      <c r="CC75">
        <v>2</v>
      </c>
      <c r="CD75">
        <v>3</v>
      </c>
      <c r="CE75">
        <v>3</v>
      </c>
      <c r="CF75">
        <v>25</v>
      </c>
    </row>
    <row r="76" spans="1:84">
      <c r="A76">
        <v>75</v>
      </c>
      <c r="B76" t="s">
        <v>6903</v>
      </c>
      <c r="C76">
        <v>175</v>
      </c>
      <c r="D76">
        <v>190</v>
      </c>
      <c r="E76">
        <v>3464</v>
      </c>
      <c r="F76">
        <v>230</v>
      </c>
      <c r="G76">
        <v>173</v>
      </c>
      <c r="H76">
        <v>3146</v>
      </c>
      <c r="I76">
        <v>370</v>
      </c>
      <c r="J76">
        <v>376</v>
      </c>
      <c r="K76">
        <v>1523200041</v>
      </c>
      <c r="L76">
        <v>1523199848</v>
      </c>
      <c r="M76">
        <v>0</v>
      </c>
      <c r="N76">
        <v>30</v>
      </c>
      <c r="O76">
        <v>45</v>
      </c>
      <c r="P76" t="b">
        <v>1</v>
      </c>
      <c r="Q76" t="s">
        <v>6210</v>
      </c>
      <c r="R76" t="s">
        <v>6210</v>
      </c>
      <c r="S76" t="s">
        <v>6210</v>
      </c>
      <c r="T76">
        <v>15</v>
      </c>
      <c r="U76">
        <v>8</v>
      </c>
      <c r="V76" t="b">
        <v>1</v>
      </c>
      <c r="W76">
        <v>7</v>
      </c>
      <c r="X76">
        <v>90</v>
      </c>
      <c r="Y76" t="s">
        <v>6213</v>
      </c>
      <c r="Z76" t="s">
        <v>6088</v>
      </c>
      <c r="AA76" t="s">
        <v>6213</v>
      </c>
      <c r="AB76" t="b">
        <v>1</v>
      </c>
      <c r="AC76">
        <v>0</v>
      </c>
      <c r="AD76">
        <v>5</v>
      </c>
      <c r="AE76">
        <v>2</v>
      </c>
      <c r="AF76" t="s">
        <v>6212</v>
      </c>
      <c r="AG76">
        <v>0</v>
      </c>
      <c r="AH76">
        <v>190</v>
      </c>
      <c r="AI76">
        <v>320</v>
      </c>
      <c r="AJ76">
        <v>0</v>
      </c>
      <c r="AK76">
        <v>9</v>
      </c>
      <c r="AL76">
        <v>44</v>
      </c>
      <c r="AM76">
        <v>10</v>
      </c>
      <c r="AN76">
        <v>9</v>
      </c>
      <c r="AO76">
        <v>136</v>
      </c>
      <c r="AP76">
        <v>1</v>
      </c>
      <c r="AQ76">
        <v>2</v>
      </c>
      <c r="AR76">
        <v>3</v>
      </c>
      <c r="AS76">
        <v>3</v>
      </c>
      <c r="AT76">
        <v>3</v>
      </c>
      <c r="AU76">
        <v>3</v>
      </c>
      <c r="AV76">
        <v>40</v>
      </c>
      <c r="AW76">
        <v>0</v>
      </c>
      <c r="AX76">
        <v>22</v>
      </c>
      <c r="AY76">
        <v>37</v>
      </c>
      <c r="AZ76" t="b">
        <v>1</v>
      </c>
      <c r="BA76" t="s">
        <v>6210</v>
      </c>
      <c r="BB76" t="s">
        <v>6210</v>
      </c>
      <c r="BC76" t="s">
        <v>6210</v>
      </c>
      <c r="BD76">
        <v>15</v>
      </c>
      <c r="BE76">
        <v>0</v>
      </c>
      <c r="BF76" t="b">
        <v>1</v>
      </c>
      <c r="BG76">
        <v>11</v>
      </c>
      <c r="BH76">
        <v>65</v>
      </c>
      <c r="BI76" t="s">
        <v>6211</v>
      </c>
      <c r="BJ76" t="s">
        <v>6088</v>
      </c>
      <c r="BK76" t="s">
        <v>6213</v>
      </c>
      <c r="BL76" t="b">
        <v>0</v>
      </c>
      <c r="BM76">
        <v>1</v>
      </c>
      <c r="BN76">
        <v>0</v>
      </c>
      <c r="BO76">
        <v>3</v>
      </c>
      <c r="BP76" t="s">
        <v>6212</v>
      </c>
      <c r="BQ76">
        <v>0</v>
      </c>
      <c r="BR76">
        <v>234</v>
      </c>
      <c r="BS76">
        <v>339</v>
      </c>
      <c r="BT76">
        <v>0</v>
      </c>
      <c r="BU76">
        <v>10</v>
      </c>
      <c r="BV76">
        <v>88</v>
      </c>
      <c r="BW76">
        <v>10</v>
      </c>
      <c r="BX76">
        <v>10</v>
      </c>
      <c r="BY76">
        <v>136</v>
      </c>
      <c r="BZ76">
        <v>1</v>
      </c>
      <c r="CA76">
        <v>2</v>
      </c>
      <c r="CB76">
        <v>3</v>
      </c>
      <c r="CC76">
        <v>3</v>
      </c>
      <c r="CD76">
        <v>3</v>
      </c>
      <c r="CE76">
        <v>3</v>
      </c>
      <c r="CF76">
        <v>40</v>
      </c>
    </row>
    <row r="77" spans="1:84">
      <c r="A77">
        <v>76</v>
      </c>
      <c r="B77" t="s">
        <v>6904</v>
      </c>
      <c r="C77">
        <v>3634</v>
      </c>
      <c r="D77">
        <v>1973</v>
      </c>
      <c r="E77">
        <v>1085</v>
      </c>
      <c r="F77">
        <v>177</v>
      </c>
      <c r="G77">
        <v>6811</v>
      </c>
      <c r="H77">
        <v>571</v>
      </c>
      <c r="I77">
        <v>137</v>
      </c>
      <c r="J77">
        <v>375</v>
      </c>
      <c r="K77">
        <v>1523200610</v>
      </c>
      <c r="L77">
        <v>1523200382</v>
      </c>
      <c r="M77">
        <v>0</v>
      </c>
      <c r="N77">
        <v>0</v>
      </c>
      <c r="O77">
        <v>15</v>
      </c>
      <c r="P77" t="b">
        <v>0</v>
      </c>
      <c r="Q77" t="s">
        <v>6210</v>
      </c>
      <c r="R77" t="s">
        <v>6210</v>
      </c>
      <c r="S77" t="s">
        <v>6210</v>
      </c>
      <c r="T77">
        <v>15</v>
      </c>
      <c r="U77">
        <v>0</v>
      </c>
      <c r="V77" t="b">
        <v>0</v>
      </c>
      <c r="W77">
        <v>0</v>
      </c>
      <c r="X77">
        <v>40</v>
      </c>
      <c r="Y77" t="s">
        <v>6088</v>
      </c>
      <c r="Z77" t="s">
        <v>6211</v>
      </c>
      <c r="AA77" t="s">
        <v>6211</v>
      </c>
      <c r="AB77" t="b">
        <v>0</v>
      </c>
      <c r="AC77">
        <v>0</v>
      </c>
      <c r="AD77">
        <v>5</v>
      </c>
      <c r="AE77">
        <v>0</v>
      </c>
      <c r="AF77" t="s">
        <v>6212</v>
      </c>
      <c r="AG77">
        <v>1</v>
      </c>
      <c r="AH77">
        <v>62</v>
      </c>
      <c r="AI77">
        <v>117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62</v>
      </c>
      <c r="AP77">
        <v>0</v>
      </c>
      <c r="AQ77">
        <v>0</v>
      </c>
      <c r="AR77">
        <v>0</v>
      </c>
      <c r="AS77">
        <v>0</v>
      </c>
      <c r="AT77">
        <v>3</v>
      </c>
      <c r="AU77">
        <v>3</v>
      </c>
      <c r="AV77">
        <v>15</v>
      </c>
      <c r="AW77">
        <v>0</v>
      </c>
      <c r="AX77">
        <v>20</v>
      </c>
      <c r="AY77">
        <v>35</v>
      </c>
      <c r="AZ77" t="b">
        <v>1</v>
      </c>
      <c r="BA77" t="s">
        <v>6210</v>
      </c>
      <c r="BB77" t="s">
        <v>6210</v>
      </c>
      <c r="BC77" t="s">
        <v>6210</v>
      </c>
      <c r="BD77">
        <v>15</v>
      </c>
      <c r="BE77">
        <v>0</v>
      </c>
      <c r="BF77" t="b">
        <v>1</v>
      </c>
      <c r="BG77">
        <v>10</v>
      </c>
      <c r="BH77">
        <v>40</v>
      </c>
      <c r="BI77" t="s">
        <v>6211</v>
      </c>
      <c r="BJ77" t="s">
        <v>6088</v>
      </c>
      <c r="BK77" t="s">
        <v>6211</v>
      </c>
      <c r="BL77" t="b">
        <v>0</v>
      </c>
      <c r="BM77">
        <v>1</v>
      </c>
      <c r="BN77">
        <v>25</v>
      </c>
      <c r="BO77">
        <v>3</v>
      </c>
      <c r="BP77" t="s">
        <v>6212</v>
      </c>
      <c r="BQ77">
        <v>0</v>
      </c>
      <c r="BR77">
        <v>260</v>
      </c>
      <c r="BS77">
        <v>315</v>
      </c>
      <c r="BT77">
        <v>0</v>
      </c>
      <c r="BU77">
        <v>0</v>
      </c>
      <c r="BV77">
        <v>124</v>
      </c>
      <c r="BW77">
        <v>0</v>
      </c>
      <c r="BX77">
        <v>0</v>
      </c>
      <c r="BY77">
        <v>136</v>
      </c>
      <c r="BZ77">
        <v>0</v>
      </c>
      <c r="CA77">
        <v>0</v>
      </c>
      <c r="CB77">
        <v>0</v>
      </c>
      <c r="CC77">
        <v>0</v>
      </c>
      <c r="CD77">
        <v>3</v>
      </c>
      <c r="CE77">
        <v>3</v>
      </c>
      <c r="CF77">
        <v>15</v>
      </c>
    </row>
    <row r="78" spans="1:84">
      <c r="A78">
        <v>77</v>
      </c>
      <c r="B78" t="s">
        <v>6905</v>
      </c>
      <c r="C78">
        <v>839</v>
      </c>
      <c r="D78">
        <v>2170</v>
      </c>
      <c r="E78">
        <v>5746</v>
      </c>
      <c r="F78">
        <v>6812</v>
      </c>
      <c r="G78">
        <v>7153</v>
      </c>
      <c r="H78">
        <v>5142</v>
      </c>
      <c r="I78">
        <v>430</v>
      </c>
      <c r="J78">
        <v>63</v>
      </c>
      <c r="K78">
        <v>1523201077</v>
      </c>
      <c r="L78">
        <v>1523200922</v>
      </c>
      <c r="M78">
        <v>0</v>
      </c>
      <c r="N78">
        <v>22</v>
      </c>
      <c r="O78">
        <v>37</v>
      </c>
      <c r="P78" t="b">
        <v>1</v>
      </c>
      <c r="Q78" t="s">
        <v>6210</v>
      </c>
      <c r="R78" t="s">
        <v>6210</v>
      </c>
      <c r="S78" t="s">
        <v>6210</v>
      </c>
      <c r="T78">
        <v>15</v>
      </c>
      <c r="U78">
        <v>0</v>
      </c>
      <c r="V78" t="b">
        <v>1</v>
      </c>
      <c r="W78">
        <v>11</v>
      </c>
      <c r="X78">
        <v>65</v>
      </c>
      <c r="Y78" t="s">
        <v>6213</v>
      </c>
      <c r="Z78" t="s">
        <v>6088</v>
      </c>
      <c r="AA78" t="s">
        <v>6211</v>
      </c>
      <c r="AB78" t="b">
        <v>0</v>
      </c>
      <c r="AC78">
        <v>2</v>
      </c>
      <c r="AD78">
        <v>10</v>
      </c>
      <c r="AE78">
        <v>3</v>
      </c>
      <c r="AF78" t="s">
        <v>6214</v>
      </c>
      <c r="AG78">
        <v>1</v>
      </c>
      <c r="AH78">
        <v>283</v>
      </c>
      <c r="AI78">
        <v>383</v>
      </c>
      <c r="AJ78">
        <v>10</v>
      </c>
      <c r="AK78">
        <v>0</v>
      </c>
      <c r="AL78">
        <v>127</v>
      </c>
      <c r="AM78">
        <v>10</v>
      </c>
      <c r="AN78">
        <v>0</v>
      </c>
      <c r="AO78">
        <v>136</v>
      </c>
      <c r="AP78">
        <v>3</v>
      </c>
      <c r="AQ78">
        <v>3</v>
      </c>
      <c r="AR78">
        <v>0</v>
      </c>
      <c r="AS78">
        <v>1</v>
      </c>
      <c r="AT78">
        <v>3</v>
      </c>
      <c r="AU78">
        <v>3</v>
      </c>
      <c r="AV78">
        <v>35</v>
      </c>
      <c r="AW78">
        <v>0</v>
      </c>
      <c r="AX78">
        <v>0</v>
      </c>
      <c r="AY78">
        <v>10</v>
      </c>
      <c r="AZ78" t="b">
        <v>0</v>
      </c>
      <c r="BA78" t="s">
        <v>5911</v>
      </c>
      <c r="BB78" t="s">
        <v>6210</v>
      </c>
      <c r="BC78" t="s">
        <v>6210</v>
      </c>
      <c r="BD78">
        <v>10</v>
      </c>
      <c r="BE78">
        <v>0</v>
      </c>
      <c r="BF78" t="b">
        <v>0</v>
      </c>
      <c r="BG78">
        <v>0</v>
      </c>
      <c r="BH78">
        <v>0</v>
      </c>
      <c r="BI78" t="s">
        <v>5911</v>
      </c>
      <c r="BJ78" t="s">
        <v>5911</v>
      </c>
      <c r="BK78" t="s">
        <v>5911</v>
      </c>
      <c r="BL78" t="b">
        <v>0</v>
      </c>
      <c r="BM78">
        <v>2</v>
      </c>
      <c r="BN78">
        <v>35</v>
      </c>
      <c r="BO78">
        <v>0</v>
      </c>
      <c r="BP78" t="s">
        <v>6214</v>
      </c>
      <c r="BQ78">
        <v>0</v>
      </c>
      <c r="BR78">
        <v>18</v>
      </c>
      <c r="BS78">
        <v>18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18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</row>
  </sheetData>
  <sortState ref="A2:CF78">
    <sortCondition ref="A2:A200"/>
  </sortState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42"/>
  <sheetViews>
    <sheetView workbookViewId="0">
      <selection sqref="A1:O42"/>
    </sheetView>
  </sheetViews>
  <sheetFormatPr defaultColWidth="8.85546875" defaultRowHeight="15"/>
  <cols>
    <col min="1" max="1" width="10.140625" bestFit="1" customWidth="1"/>
    <col min="2" max="2" width="7.140625" bestFit="1" customWidth="1"/>
    <col min="3" max="3" width="17.85546875" bestFit="1" customWidth="1"/>
    <col min="4" max="7" width="15" bestFit="1" customWidth="1"/>
    <col min="8" max="8" width="13.7109375" bestFit="1" customWidth="1"/>
    <col min="9" max="9" width="15" bestFit="1" customWidth="1"/>
    <col min="10" max="10" width="12.85546875" bestFit="1" customWidth="1"/>
    <col min="11" max="11" width="5.5703125" bestFit="1" customWidth="1"/>
    <col min="12" max="12" width="13" bestFit="1" customWidth="1"/>
    <col min="13" max="13" width="15.140625" bestFit="1" customWidth="1"/>
    <col min="14" max="14" width="19.85546875" bestFit="1" customWidth="1"/>
    <col min="15" max="15" width="15" bestFit="1" customWidth="1"/>
  </cols>
  <sheetData>
    <row r="1" spans="1:15">
      <c r="A1" s="2" t="s">
        <v>5899</v>
      </c>
      <c r="B1" s="2" t="s">
        <v>5901</v>
      </c>
      <c r="C1" s="2" t="s">
        <v>5902</v>
      </c>
      <c r="D1" s="2" t="s">
        <v>5917</v>
      </c>
      <c r="E1" s="2" t="s">
        <v>5918</v>
      </c>
      <c r="F1" s="2" t="s">
        <v>5919</v>
      </c>
      <c r="G1" s="2" t="s">
        <v>5916</v>
      </c>
      <c r="H1" s="2" t="s">
        <v>5910</v>
      </c>
      <c r="I1" s="2" t="s">
        <v>5908</v>
      </c>
      <c r="J1" s="2" t="s">
        <v>5909</v>
      </c>
      <c r="K1" s="2" t="s">
        <v>5903</v>
      </c>
      <c r="L1" s="2" t="s">
        <v>5904</v>
      </c>
      <c r="M1" s="2" t="s">
        <v>5905</v>
      </c>
      <c r="N1" s="2" t="s">
        <v>5915</v>
      </c>
      <c r="O1" s="2" t="s">
        <v>5920</v>
      </c>
    </row>
    <row r="2" spans="1:15">
      <c r="A2" s="2">
        <v>155</v>
      </c>
      <c r="B2" s="2">
        <v>24</v>
      </c>
      <c r="C2" s="2">
        <v>12</v>
      </c>
      <c r="D2" s="2" t="s">
        <v>6908</v>
      </c>
      <c r="E2" s="2" t="s">
        <v>6909</v>
      </c>
      <c r="F2" s="2" t="s">
        <v>6910</v>
      </c>
      <c r="G2" s="2" t="s">
        <v>6705</v>
      </c>
      <c r="H2" s="2">
        <v>4</v>
      </c>
      <c r="I2" s="2">
        <v>8</v>
      </c>
      <c r="J2" s="2">
        <v>0</v>
      </c>
      <c r="K2" s="2">
        <v>0</v>
      </c>
      <c r="L2" s="2" t="s">
        <v>6618</v>
      </c>
      <c r="M2" s="2"/>
      <c r="N2" s="2" t="s">
        <v>6785</v>
      </c>
      <c r="O2" s="2" t="s">
        <v>5921</v>
      </c>
    </row>
    <row r="3" spans="1:15">
      <c r="A3" s="2">
        <v>173</v>
      </c>
      <c r="B3" s="2">
        <v>11</v>
      </c>
      <c r="C3" s="2">
        <v>12</v>
      </c>
      <c r="D3" s="2" t="s">
        <v>6739</v>
      </c>
      <c r="E3" s="2" t="s">
        <v>6769</v>
      </c>
      <c r="F3" s="2" t="s">
        <v>6620</v>
      </c>
      <c r="G3" s="2" t="s">
        <v>6743</v>
      </c>
      <c r="H3" s="2">
        <v>8</v>
      </c>
      <c r="I3" s="2">
        <v>4</v>
      </c>
      <c r="J3" s="2">
        <v>0</v>
      </c>
      <c r="K3" s="2">
        <v>0</v>
      </c>
      <c r="L3" s="2" t="s">
        <v>6770</v>
      </c>
      <c r="M3" s="2"/>
      <c r="N3" s="2" t="s">
        <v>6771</v>
      </c>
      <c r="O3" s="2" t="s">
        <v>5921</v>
      </c>
    </row>
    <row r="4" spans="1:15">
      <c r="A4" s="2">
        <v>175</v>
      </c>
      <c r="B4" s="2">
        <v>7</v>
      </c>
      <c r="C4" s="2">
        <v>12</v>
      </c>
      <c r="D4" s="2" t="s">
        <v>6707</v>
      </c>
      <c r="E4" s="2" t="s">
        <v>6772</v>
      </c>
      <c r="F4" s="2" t="s">
        <v>6730</v>
      </c>
      <c r="G4" s="2" t="s">
        <v>6738</v>
      </c>
      <c r="H4" s="2">
        <v>8</v>
      </c>
      <c r="I4" s="2">
        <v>4</v>
      </c>
      <c r="J4" s="2">
        <v>0</v>
      </c>
      <c r="K4" s="2">
        <v>0</v>
      </c>
      <c r="L4" s="2" t="s">
        <v>6727</v>
      </c>
      <c r="M4" s="2"/>
      <c r="N4" s="2" t="s">
        <v>6773</v>
      </c>
      <c r="O4" s="2" t="s">
        <v>5921</v>
      </c>
    </row>
    <row r="5" spans="1:15">
      <c r="A5" s="2">
        <v>176</v>
      </c>
      <c r="B5" s="2">
        <v>5</v>
      </c>
      <c r="C5" s="2">
        <v>12</v>
      </c>
      <c r="D5" s="2" t="s">
        <v>6774</v>
      </c>
      <c r="E5" s="2" t="s">
        <v>6775</v>
      </c>
      <c r="F5" s="2" t="s">
        <v>6728</v>
      </c>
      <c r="G5" s="2" t="s">
        <v>6776</v>
      </c>
      <c r="H5" s="2">
        <v>9</v>
      </c>
      <c r="I5" s="2">
        <v>3</v>
      </c>
      <c r="J5" s="2">
        <v>0</v>
      </c>
      <c r="K5" s="2">
        <v>0</v>
      </c>
      <c r="L5" s="2" t="s">
        <v>6777</v>
      </c>
      <c r="M5" s="2"/>
      <c r="N5" s="2" t="s">
        <v>6778</v>
      </c>
      <c r="O5" s="2" t="s">
        <v>5921</v>
      </c>
    </row>
    <row r="6" spans="1:15">
      <c r="A6" s="2">
        <v>177</v>
      </c>
      <c r="B6" s="2">
        <v>2</v>
      </c>
      <c r="C6" s="2">
        <v>12</v>
      </c>
      <c r="D6" s="2" t="s">
        <v>6779</v>
      </c>
      <c r="E6" s="2" t="s">
        <v>6780</v>
      </c>
      <c r="F6" s="2" t="s">
        <v>6735</v>
      </c>
      <c r="G6" s="2" t="s">
        <v>6781</v>
      </c>
      <c r="H6" s="2">
        <v>10</v>
      </c>
      <c r="I6" s="2">
        <v>2</v>
      </c>
      <c r="J6" s="2">
        <v>0</v>
      </c>
      <c r="K6" s="2">
        <v>0</v>
      </c>
      <c r="L6" s="2" t="s">
        <v>6731</v>
      </c>
      <c r="M6" s="2"/>
      <c r="N6" s="2" t="s">
        <v>6782</v>
      </c>
      <c r="O6" s="2" t="s">
        <v>5921</v>
      </c>
    </row>
    <row r="7" spans="1:15">
      <c r="A7" s="2">
        <v>181</v>
      </c>
      <c r="B7" s="2">
        <v>20</v>
      </c>
      <c r="C7" s="2">
        <v>12</v>
      </c>
      <c r="D7" s="2" t="s">
        <v>6619</v>
      </c>
      <c r="E7" s="2" t="s">
        <v>6783</v>
      </c>
      <c r="F7" s="2" t="s">
        <v>6745</v>
      </c>
      <c r="G7" s="2" t="s">
        <v>6784</v>
      </c>
      <c r="H7" s="2">
        <v>6</v>
      </c>
      <c r="I7" s="2">
        <v>6</v>
      </c>
      <c r="J7" s="2">
        <v>0</v>
      </c>
      <c r="K7" s="2">
        <v>0</v>
      </c>
      <c r="L7" s="2" t="s">
        <v>6618</v>
      </c>
      <c r="M7" s="2"/>
      <c r="N7" s="2" t="s">
        <v>6785</v>
      </c>
      <c r="O7" s="2" t="s">
        <v>5921</v>
      </c>
    </row>
    <row r="8" spans="1:15">
      <c r="A8" s="2">
        <v>190</v>
      </c>
      <c r="B8" s="2">
        <v>14</v>
      </c>
      <c r="C8" s="2">
        <v>12</v>
      </c>
      <c r="D8" s="2" t="s">
        <v>6786</v>
      </c>
      <c r="E8" s="2" t="s">
        <v>6787</v>
      </c>
      <c r="F8" s="2" t="s">
        <v>6788</v>
      </c>
      <c r="G8" s="2" t="s">
        <v>6789</v>
      </c>
      <c r="H8" s="2">
        <v>9</v>
      </c>
      <c r="I8" s="2">
        <v>3</v>
      </c>
      <c r="J8" s="2">
        <v>0</v>
      </c>
      <c r="K8" s="2">
        <v>0</v>
      </c>
      <c r="L8" s="2" t="s">
        <v>6790</v>
      </c>
      <c r="M8" s="2"/>
      <c r="N8" s="2" t="s">
        <v>6791</v>
      </c>
      <c r="O8" s="2" t="s">
        <v>5921</v>
      </c>
    </row>
    <row r="9" spans="1:15">
      <c r="A9" s="2">
        <v>195</v>
      </c>
      <c r="B9" s="2">
        <v>1</v>
      </c>
      <c r="C9" s="2">
        <v>12</v>
      </c>
      <c r="D9" s="2" t="s">
        <v>6774</v>
      </c>
      <c r="E9" s="2" t="s">
        <v>6911</v>
      </c>
      <c r="F9" s="2" t="s">
        <v>6792</v>
      </c>
      <c r="G9" s="2" t="s">
        <v>6912</v>
      </c>
      <c r="H9" s="2">
        <v>12</v>
      </c>
      <c r="I9" s="2">
        <v>0</v>
      </c>
      <c r="J9" s="2">
        <v>0</v>
      </c>
      <c r="K9" s="2">
        <v>0</v>
      </c>
      <c r="L9" s="2" t="s">
        <v>6913</v>
      </c>
      <c r="M9" s="2"/>
      <c r="N9" s="2" t="s">
        <v>6914</v>
      </c>
      <c r="O9" s="2" t="s">
        <v>5921</v>
      </c>
    </row>
    <row r="10" spans="1:15">
      <c r="A10" s="2">
        <v>230</v>
      </c>
      <c r="B10" s="2">
        <v>3</v>
      </c>
      <c r="C10" s="2">
        <v>12</v>
      </c>
      <c r="D10" s="2" t="s">
        <v>6793</v>
      </c>
      <c r="E10" s="2" t="s">
        <v>6794</v>
      </c>
      <c r="F10" s="2" t="s">
        <v>6730</v>
      </c>
      <c r="G10" s="2" t="s">
        <v>6795</v>
      </c>
      <c r="H10" s="2">
        <v>11</v>
      </c>
      <c r="I10" s="2">
        <v>1</v>
      </c>
      <c r="J10" s="2">
        <v>0</v>
      </c>
      <c r="K10" s="2">
        <v>0</v>
      </c>
      <c r="L10" s="2" t="s">
        <v>6796</v>
      </c>
      <c r="M10" s="2"/>
      <c r="N10" s="2" t="s">
        <v>6797</v>
      </c>
      <c r="O10" s="2" t="s">
        <v>5921</v>
      </c>
    </row>
    <row r="11" spans="1:15">
      <c r="A11" s="2">
        <v>236</v>
      </c>
      <c r="B11" s="2">
        <v>17</v>
      </c>
      <c r="C11" s="2">
        <v>12</v>
      </c>
      <c r="D11" s="2" t="s">
        <v>6798</v>
      </c>
      <c r="E11" s="2" t="s">
        <v>6799</v>
      </c>
      <c r="F11" s="2" t="s">
        <v>6682</v>
      </c>
      <c r="G11" s="2" t="s">
        <v>6746</v>
      </c>
      <c r="H11" s="2">
        <v>6</v>
      </c>
      <c r="I11" s="2">
        <v>6</v>
      </c>
      <c r="J11" s="2">
        <v>0</v>
      </c>
      <c r="K11" s="2">
        <v>0</v>
      </c>
      <c r="L11" s="2" t="s">
        <v>6737</v>
      </c>
      <c r="M11" s="2"/>
      <c r="N11" s="2" t="s">
        <v>6800</v>
      </c>
      <c r="O11" s="2" t="s">
        <v>5921</v>
      </c>
    </row>
    <row r="12" spans="1:15">
      <c r="A12" s="2">
        <v>558</v>
      </c>
      <c r="B12" s="2">
        <v>6</v>
      </c>
      <c r="C12" s="2">
        <v>12</v>
      </c>
      <c r="D12" s="2" t="s">
        <v>6801</v>
      </c>
      <c r="E12" s="2" t="s">
        <v>6802</v>
      </c>
      <c r="F12" s="2" t="s">
        <v>6803</v>
      </c>
      <c r="G12" s="2" t="s">
        <v>6804</v>
      </c>
      <c r="H12" s="2">
        <v>7</v>
      </c>
      <c r="I12" s="2">
        <v>5</v>
      </c>
      <c r="J12" s="2">
        <v>0</v>
      </c>
      <c r="K12" s="2">
        <v>0</v>
      </c>
      <c r="L12" s="2" t="s">
        <v>6732</v>
      </c>
      <c r="M12" s="2"/>
      <c r="N12" s="2" t="s">
        <v>6805</v>
      </c>
      <c r="O12" s="2" t="s">
        <v>5921</v>
      </c>
    </row>
    <row r="13" spans="1:15">
      <c r="A13" s="2">
        <v>571</v>
      </c>
      <c r="B13" s="2">
        <v>25</v>
      </c>
      <c r="C13" s="2">
        <v>12</v>
      </c>
      <c r="D13" s="2" t="s">
        <v>6806</v>
      </c>
      <c r="E13" s="2" t="s">
        <v>6807</v>
      </c>
      <c r="F13" s="2" t="s">
        <v>6702</v>
      </c>
      <c r="G13" s="2" t="s">
        <v>6749</v>
      </c>
      <c r="H13" s="2">
        <v>6</v>
      </c>
      <c r="I13" s="2">
        <v>6</v>
      </c>
      <c r="J13" s="2">
        <v>0</v>
      </c>
      <c r="K13" s="2">
        <v>0</v>
      </c>
      <c r="L13" s="2" t="s">
        <v>6618</v>
      </c>
      <c r="M13" s="2"/>
      <c r="N13" s="2" t="s">
        <v>6785</v>
      </c>
      <c r="O13" s="2" t="s">
        <v>5921</v>
      </c>
    </row>
    <row r="14" spans="1:15">
      <c r="A14" s="2">
        <v>839</v>
      </c>
      <c r="B14" s="2">
        <v>21</v>
      </c>
      <c r="C14" s="2">
        <v>12</v>
      </c>
      <c r="D14" s="2" t="s">
        <v>6808</v>
      </c>
      <c r="E14" s="2" t="s">
        <v>6809</v>
      </c>
      <c r="F14" s="2" t="s">
        <v>6707</v>
      </c>
      <c r="G14" s="2" t="s">
        <v>6810</v>
      </c>
      <c r="H14" s="2">
        <v>6</v>
      </c>
      <c r="I14" s="2">
        <v>6</v>
      </c>
      <c r="J14" s="2">
        <v>0</v>
      </c>
      <c r="K14" s="2">
        <v>0</v>
      </c>
      <c r="L14" s="2" t="s">
        <v>6618</v>
      </c>
      <c r="M14" s="2"/>
      <c r="N14" s="2" t="s">
        <v>6785</v>
      </c>
      <c r="O14" s="2" t="s">
        <v>5921</v>
      </c>
    </row>
    <row r="15" spans="1:15">
      <c r="A15" s="2">
        <v>999</v>
      </c>
      <c r="B15" s="2">
        <v>8</v>
      </c>
      <c r="C15" s="2">
        <v>12</v>
      </c>
      <c r="D15" s="2" t="s">
        <v>6730</v>
      </c>
      <c r="E15" s="2" t="s">
        <v>6811</v>
      </c>
      <c r="F15" s="2" t="s">
        <v>6707</v>
      </c>
      <c r="G15" s="2" t="s">
        <v>6812</v>
      </c>
      <c r="H15" s="2">
        <v>9</v>
      </c>
      <c r="I15" s="2">
        <v>3</v>
      </c>
      <c r="J15" s="2">
        <v>0</v>
      </c>
      <c r="K15" s="2">
        <v>0</v>
      </c>
      <c r="L15" s="2" t="s">
        <v>6727</v>
      </c>
      <c r="M15" s="2"/>
      <c r="N15" s="2" t="s">
        <v>6773</v>
      </c>
      <c r="O15" s="2" t="s">
        <v>5921</v>
      </c>
    </row>
    <row r="16" spans="1:15">
      <c r="A16" s="2">
        <v>1027</v>
      </c>
      <c r="B16" s="2">
        <v>39</v>
      </c>
      <c r="C16" s="2">
        <v>12</v>
      </c>
      <c r="D16" s="2" t="s">
        <v>6557</v>
      </c>
      <c r="E16" s="2" t="s">
        <v>6915</v>
      </c>
      <c r="F16" s="2" t="s">
        <v>6788</v>
      </c>
      <c r="G16" s="2" t="s">
        <v>6707</v>
      </c>
      <c r="H16" s="2">
        <v>4</v>
      </c>
      <c r="I16" s="2">
        <v>8</v>
      </c>
      <c r="J16" s="2">
        <v>0</v>
      </c>
      <c r="K16" s="2">
        <v>0</v>
      </c>
      <c r="L16" s="2" t="s">
        <v>6556</v>
      </c>
      <c r="M16" s="2"/>
      <c r="N16" s="2" t="s">
        <v>6814</v>
      </c>
      <c r="O16" s="2" t="s">
        <v>5921</v>
      </c>
    </row>
    <row r="17" spans="1:15">
      <c r="A17" s="2">
        <v>1085</v>
      </c>
      <c r="B17" s="2">
        <v>30</v>
      </c>
      <c r="C17" s="2">
        <v>12</v>
      </c>
      <c r="D17" s="2" t="s">
        <v>6815</v>
      </c>
      <c r="E17" s="2" t="s">
        <v>6816</v>
      </c>
      <c r="F17" s="2" t="s">
        <v>6561</v>
      </c>
      <c r="G17" s="2" t="s">
        <v>6708</v>
      </c>
      <c r="H17" s="2">
        <v>4</v>
      </c>
      <c r="I17" s="2">
        <v>8</v>
      </c>
      <c r="J17" s="2">
        <v>0</v>
      </c>
      <c r="K17" s="2">
        <v>0</v>
      </c>
      <c r="L17" s="2" t="s">
        <v>6558</v>
      </c>
      <c r="M17" s="2"/>
      <c r="N17" s="2" t="s">
        <v>6817</v>
      </c>
      <c r="O17" s="2" t="s">
        <v>5921</v>
      </c>
    </row>
    <row r="18" spans="1:15">
      <c r="A18" s="2">
        <v>1740</v>
      </c>
      <c r="B18" s="2">
        <v>16</v>
      </c>
      <c r="C18" s="2">
        <v>12</v>
      </c>
      <c r="D18" s="2" t="s">
        <v>6916</v>
      </c>
      <c r="E18" s="2" t="s">
        <v>6917</v>
      </c>
      <c r="F18" s="2" t="s">
        <v>6702</v>
      </c>
      <c r="G18" s="2" t="s">
        <v>6918</v>
      </c>
      <c r="H18" s="2">
        <v>8</v>
      </c>
      <c r="I18" s="2">
        <v>4</v>
      </c>
      <c r="J18" s="2">
        <v>0</v>
      </c>
      <c r="K18" s="2">
        <v>0</v>
      </c>
      <c r="L18" s="2" t="s">
        <v>6737</v>
      </c>
      <c r="M18" s="2"/>
      <c r="N18" s="2" t="s">
        <v>6800</v>
      </c>
      <c r="O18" s="2" t="s">
        <v>5921</v>
      </c>
    </row>
    <row r="19" spans="1:15">
      <c r="A19" s="2">
        <v>1973</v>
      </c>
      <c r="B19" s="2">
        <v>41</v>
      </c>
      <c r="C19" s="2">
        <v>12</v>
      </c>
      <c r="D19" s="2" t="s">
        <v>6818</v>
      </c>
      <c r="E19" s="2" t="s">
        <v>6819</v>
      </c>
      <c r="F19" s="2" t="s">
        <v>6820</v>
      </c>
      <c r="G19" s="2" t="s">
        <v>6748</v>
      </c>
      <c r="H19" s="2">
        <v>2</v>
      </c>
      <c r="I19" s="2">
        <v>10</v>
      </c>
      <c r="J19" s="2">
        <v>0</v>
      </c>
      <c r="K19" s="2">
        <v>0</v>
      </c>
      <c r="L19" s="2" t="s">
        <v>6519</v>
      </c>
      <c r="M19" s="2"/>
      <c r="N19" s="2" t="s">
        <v>6821</v>
      </c>
      <c r="O19" s="2" t="s">
        <v>5921</v>
      </c>
    </row>
    <row r="20" spans="1:15">
      <c r="A20" s="2">
        <v>1991</v>
      </c>
      <c r="B20" s="2">
        <v>28</v>
      </c>
      <c r="C20" s="2">
        <v>12</v>
      </c>
      <c r="D20" s="2" t="s">
        <v>6919</v>
      </c>
      <c r="E20" s="2" t="s">
        <v>6920</v>
      </c>
      <c r="F20" s="2" t="s">
        <v>6620</v>
      </c>
      <c r="G20" s="2" t="s">
        <v>6921</v>
      </c>
      <c r="H20" s="2">
        <v>6</v>
      </c>
      <c r="I20" s="2">
        <v>6</v>
      </c>
      <c r="J20" s="2">
        <v>0</v>
      </c>
      <c r="K20" s="2">
        <v>0</v>
      </c>
      <c r="L20" s="2" t="s">
        <v>6560</v>
      </c>
      <c r="M20" s="2"/>
      <c r="N20" s="2" t="s">
        <v>6834</v>
      </c>
      <c r="O20" s="2" t="s">
        <v>5921</v>
      </c>
    </row>
    <row r="21" spans="1:15">
      <c r="A21" s="2">
        <v>2064</v>
      </c>
      <c r="B21" s="2">
        <v>19</v>
      </c>
      <c r="C21" s="2">
        <v>12</v>
      </c>
      <c r="D21" s="2" t="s">
        <v>6822</v>
      </c>
      <c r="E21" s="2" t="s">
        <v>6823</v>
      </c>
      <c r="F21" s="2" t="s">
        <v>6792</v>
      </c>
      <c r="G21" s="2" t="s">
        <v>6747</v>
      </c>
      <c r="H21" s="2">
        <v>6</v>
      </c>
      <c r="I21" s="2">
        <v>6</v>
      </c>
      <c r="J21" s="2">
        <v>0</v>
      </c>
      <c r="K21" s="2">
        <v>0</v>
      </c>
      <c r="L21" s="2" t="s">
        <v>6680</v>
      </c>
      <c r="M21" s="2"/>
      <c r="N21" s="2" t="s">
        <v>6824</v>
      </c>
      <c r="O21" s="2" t="s">
        <v>5921</v>
      </c>
    </row>
    <row r="22" spans="1:15">
      <c r="A22" s="2">
        <v>2067</v>
      </c>
      <c r="B22" s="2">
        <v>12</v>
      </c>
      <c r="C22" s="2">
        <v>12</v>
      </c>
      <c r="D22" s="2" t="s">
        <v>6825</v>
      </c>
      <c r="E22" s="2" t="s">
        <v>6826</v>
      </c>
      <c r="F22" s="2" t="s">
        <v>6622</v>
      </c>
      <c r="G22" s="2" t="s">
        <v>6810</v>
      </c>
      <c r="H22" s="2">
        <v>7</v>
      </c>
      <c r="I22" s="2">
        <v>5</v>
      </c>
      <c r="J22" s="2">
        <v>0</v>
      </c>
      <c r="K22" s="2">
        <v>0</v>
      </c>
      <c r="L22" s="2" t="s">
        <v>6790</v>
      </c>
      <c r="M22" s="2"/>
      <c r="N22" s="2" t="s">
        <v>6791</v>
      </c>
      <c r="O22" s="2" t="s">
        <v>5921</v>
      </c>
    </row>
    <row r="23" spans="1:15">
      <c r="A23" s="2">
        <v>2170</v>
      </c>
      <c r="B23" s="2">
        <v>4</v>
      </c>
      <c r="C23" s="2">
        <v>12</v>
      </c>
      <c r="D23" s="2" t="s">
        <v>6827</v>
      </c>
      <c r="E23" s="2" t="s">
        <v>6828</v>
      </c>
      <c r="F23" s="2" t="s">
        <v>6803</v>
      </c>
      <c r="G23" s="2" t="s">
        <v>6829</v>
      </c>
      <c r="H23" s="2">
        <v>9</v>
      </c>
      <c r="I23" s="2">
        <v>3</v>
      </c>
      <c r="J23" s="2">
        <v>0</v>
      </c>
      <c r="K23" s="2">
        <v>0</v>
      </c>
      <c r="L23" s="2" t="s">
        <v>6830</v>
      </c>
      <c r="M23" s="2"/>
      <c r="N23" s="2" t="s">
        <v>6831</v>
      </c>
      <c r="O23" s="2" t="s">
        <v>5921</v>
      </c>
    </row>
    <row r="24" spans="1:15">
      <c r="A24" s="2">
        <v>2785</v>
      </c>
      <c r="B24" s="2">
        <v>29</v>
      </c>
      <c r="C24" s="2">
        <v>12</v>
      </c>
      <c r="D24" s="2" t="s">
        <v>6729</v>
      </c>
      <c r="E24" s="2" t="s">
        <v>6832</v>
      </c>
      <c r="F24" s="2" t="s">
        <v>6683</v>
      </c>
      <c r="G24" s="2" t="s">
        <v>6833</v>
      </c>
      <c r="H24" s="2">
        <v>4</v>
      </c>
      <c r="I24" s="2">
        <v>8</v>
      </c>
      <c r="J24" s="2">
        <v>0</v>
      </c>
      <c r="K24" s="2">
        <v>0</v>
      </c>
      <c r="L24" s="2" t="s">
        <v>6560</v>
      </c>
      <c r="M24" s="2"/>
      <c r="N24" s="2" t="s">
        <v>6834</v>
      </c>
      <c r="O24" s="2" t="s">
        <v>5921</v>
      </c>
    </row>
    <row r="25" spans="1:15">
      <c r="A25" s="2">
        <v>2836</v>
      </c>
      <c r="B25" s="2">
        <v>9</v>
      </c>
      <c r="C25" s="2">
        <v>12</v>
      </c>
      <c r="D25" s="2" t="s">
        <v>6835</v>
      </c>
      <c r="E25" s="2" t="s">
        <v>6836</v>
      </c>
      <c r="F25" s="2" t="s">
        <v>6619</v>
      </c>
      <c r="G25" s="2" t="s">
        <v>6837</v>
      </c>
      <c r="H25" s="2">
        <v>6</v>
      </c>
      <c r="I25" s="2">
        <v>6</v>
      </c>
      <c r="J25" s="2">
        <v>0</v>
      </c>
      <c r="K25" s="2">
        <v>0</v>
      </c>
      <c r="L25" s="2" t="s">
        <v>6770</v>
      </c>
      <c r="M25" s="2"/>
      <c r="N25" s="2" t="s">
        <v>6771</v>
      </c>
      <c r="O25" s="2" t="s">
        <v>5921</v>
      </c>
    </row>
    <row r="26" spans="1:15">
      <c r="A26" s="2">
        <v>3146</v>
      </c>
      <c r="B26" s="2">
        <v>23</v>
      </c>
      <c r="C26" s="2">
        <v>12</v>
      </c>
      <c r="D26" s="2" t="s">
        <v>6752</v>
      </c>
      <c r="E26" s="2" t="s">
        <v>6838</v>
      </c>
      <c r="F26" s="2" t="s">
        <v>6740</v>
      </c>
      <c r="G26" s="2" t="s">
        <v>6736</v>
      </c>
      <c r="H26" s="2">
        <v>6</v>
      </c>
      <c r="I26" s="2">
        <v>5</v>
      </c>
      <c r="J26" s="2">
        <v>0</v>
      </c>
      <c r="K26" s="2">
        <v>1</v>
      </c>
      <c r="L26" s="2" t="s">
        <v>6618</v>
      </c>
      <c r="M26" s="2"/>
      <c r="N26" s="2" t="s">
        <v>6785</v>
      </c>
      <c r="O26" s="2" t="s">
        <v>5921</v>
      </c>
    </row>
    <row r="27" spans="1:15">
      <c r="A27" s="2">
        <v>3182</v>
      </c>
      <c r="B27" s="2">
        <v>22</v>
      </c>
      <c r="C27" s="2">
        <v>12</v>
      </c>
      <c r="D27" s="2" t="s">
        <v>6742</v>
      </c>
      <c r="E27" s="2" t="s">
        <v>6839</v>
      </c>
      <c r="F27" s="2" t="s">
        <v>6562</v>
      </c>
      <c r="G27" s="2" t="s">
        <v>6840</v>
      </c>
      <c r="H27" s="2">
        <v>6</v>
      </c>
      <c r="I27" s="2">
        <v>6</v>
      </c>
      <c r="J27" s="2">
        <v>0</v>
      </c>
      <c r="K27" s="2">
        <v>0</v>
      </c>
      <c r="L27" s="2" t="s">
        <v>6618</v>
      </c>
      <c r="M27" s="2"/>
      <c r="N27" s="2" t="s">
        <v>6785</v>
      </c>
      <c r="O27" s="2" t="s">
        <v>5921</v>
      </c>
    </row>
    <row r="28" spans="1:15">
      <c r="A28" s="2">
        <v>3464</v>
      </c>
      <c r="B28" s="2">
        <v>10</v>
      </c>
      <c r="C28" s="2">
        <v>12</v>
      </c>
      <c r="D28" s="2" t="s">
        <v>6841</v>
      </c>
      <c r="E28" s="2" t="s">
        <v>6842</v>
      </c>
      <c r="F28" s="2" t="s">
        <v>6843</v>
      </c>
      <c r="G28" s="2" t="s">
        <v>6804</v>
      </c>
      <c r="H28" s="2">
        <v>6</v>
      </c>
      <c r="I28" s="2">
        <v>6</v>
      </c>
      <c r="J28" s="2">
        <v>0</v>
      </c>
      <c r="K28" s="2">
        <v>0</v>
      </c>
      <c r="L28" s="2" t="s">
        <v>6770</v>
      </c>
      <c r="M28" s="2"/>
      <c r="N28" s="2" t="s">
        <v>6771</v>
      </c>
      <c r="O28" s="2" t="s">
        <v>5921</v>
      </c>
    </row>
    <row r="29" spans="1:15">
      <c r="A29" s="2">
        <v>3634</v>
      </c>
      <c r="B29" s="2">
        <v>27</v>
      </c>
      <c r="C29" s="2">
        <v>12</v>
      </c>
      <c r="D29" s="2" t="s">
        <v>6844</v>
      </c>
      <c r="E29" s="2" t="s">
        <v>6845</v>
      </c>
      <c r="F29" s="2" t="s">
        <v>6701</v>
      </c>
      <c r="G29" s="2" t="s">
        <v>6846</v>
      </c>
      <c r="H29" s="2">
        <v>5</v>
      </c>
      <c r="I29" s="2">
        <v>7</v>
      </c>
      <c r="J29" s="2">
        <v>0</v>
      </c>
      <c r="K29" s="2">
        <v>0</v>
      </c>
      <c r="L29" s="2" t="s">
        <v>6706</v>
      </c>
      <c r="M29" s="2"/>
      <c r="N29" s="2" t="s">
        <v>6847</v>
      </c>
      <c r="O29" s="2" t="s">
        <v>5921</v>
      </c>
    </row>
    <row r="30" spans="1:15">
      <c r="A30" s="2">
        <v>3654</v>
      </c>
      <c r="B30" s="2">
        <v>32</v>
      </c>
      <c r="C30" s="2">
        <v>12</v>
      </c>
      <c r="D30" s="2" t="s">
        <v>6848</v>
      </c>
      <c r="E30" s="2" t="s">
        <v>6849</v>
      </c>
      <c r="F30" s="2" t="s">
        <v>6619</v>
      </c>
      <c r="G30" s="2" t="s">
        <v>6850</v>
      </c>
      <c r="H30" s="2">
        <v>3</v>
      </c>
      <c r="I30" s="2">
        <v>9</v>
      </c>
      <c r="J30" s="2">
        <v>0</v>
      </c>
      <c r="K30" s="2">
        <v>0</v>
      </c>
      <c r="L30" s="2" t="s">
        <v>6744</v>
      </c>
      <c r="M30" s="2"/>
      <c r="N30" s="2" t="s">
        <v>6851</v>
      </c>
      <c r="O30" s="2" t="s">
        <v>5921</v>
      </c>
    </row>
    <row r="31" spans="1:15">
      <c r="A31" s="2">
        <v>4987</v>
      </c>
      <c r="B31" s="2">
        <v>34</v>
      </c>
      <c r="C31" s="2">
        <v>12</v>
      </c>
      <c r="D31" s="2" t="s">
        <v>6750</v>
      </c>
      <c r="E31" s="2" t="s">
        <v>6852</v>
      </c>
      <c r="F31" s="2" t="s">
        <v>6741</v>
      </c>
      <c r="G31" s="2" t="s">
        <v>6803</v>
      </c>
      <c r="H31" s="2">
        <v>3</v>
      </c>
      <c r="I31" s="2">
        <v>9</v>
      </c>
      <c r="J31" s="2">
        <v>0</v>
      </c>
      <c r="K31" s="2">
        <v>0</v>
      </c>
      <c r="L31" s="2" t="s">
        <v>6744</v>
      </c>
      <c r="M31" s="2"/>
      <c r="N31" s="2" t="s">
        <v>6851</v>
      </c>
      <c r="O31" s="2" t="s">
        <v>5921</v>
      </c>
    </row>
    <row r="32" spans="1:15">
      <c r="A32" s="2">
        <v>5129</v>
      </c>
      <c r="B32" s="2">
        <v>36</v>
      </c>
      <c r="C32" s="2">
        <v>12</v>
      </c>
      <c r="D32" s="2" t="s">
        <v>6739</v>
      </c>
      <c r="E32" s="2" t="s">
        <v>6922</v>
      </c>
      <c r="F32" s="2" t="s">
        <v>6788</v>
      </c>
      <c r="G32" s="2" t="s">
        <v>6743</v>
      </c>
      <c r="H32" s="2">
        <v>3</v>
      </c>
      <c r="I32" s="2">
        <v>9</v>
      </c>
      <c r="J32" s="2">
        <v>0</v>
      </c>
      <c r="K32" s="2">
        <v>0</v>
      </c>
      <c r="L32" s="2" t="s">
        <v>6923</v>
      </c>
      <c r="M32" s="2"/>
      <c r="N32" s="2" t="s">
        <v>6924</v>
      </c>
      <c r="O32" s="2" t="s">
        <v>5921</v>
      </c>
    </row>
    <row r="33" spans="1:15">
      <c r="A33" s="2">
        <v>5142</v>
      </c>
      <c r="B33" s="2">
        <v>33</v>
      </c>
      <c r="C33" s="2">
        <v>12</v>
      </c>
      <c r="D33" s="2" t="s">
        <v>6853</v>
      </c>
      <c r="E33" s="2" t="s">
        <v>6734</v>
      </c>
      <c r="F33" s="2" t="s">
        <v>6683</v>
      </c>
      <c r="G33" s="2" t="s">
        <v>6710</v>
      </c>
      <c r="H33" s="2">
        <v>4</v>
      </c>
      <c r="I33" s="2">
        <v>8</v>
      </c>
      <c r="J33" s="2">
        <v>0</v>
      </c>
      <c r="K33" s="2">
        <v>0</v>
      </c>
      <c r="L33" s="2" t="s">
        <v>6744</v>
      </c>
      <c r="M33" s="2"/>
      <c r="N33" s="2" t="s">
        <v>6851</v>
      </c>
      <c r="O33" s="2" t="s">
        <v>5921</v>
      </c>
    </row>
    <row r="34" spans="1:15">
      <c r="A34" s="2">
        <v>5686</v>
      </c>
      <c r="B34" s="2">
        <v>15</v>
      </c>
      <c r="C34" s="2">
        <v>12</v>
      </c>
      <c r="D34" s="2" t="s">
        <v>6854</v>
      </c>
      <c r="E34" s="2" t="s">
        <v>6855</v>
      </c>
      <c r="F34" s="2" t="s">
        <v>6792</v>
      </c>
      <c r="G34" s="2" t="s">
        <v>6812</v>
      </c>
      <c r="H34" s="2">
        <v>7</v>
      </c>
      <c r="I34" s="2">
        <v>5</v>
      </c>
      <c r="J34" s="2">
        <v>0</v>
      </c>
      <c r="K34" s="2">
        <v>0</v>
      </c>
      <c r="L34" s="2" t="s">
        <v>6704</v>
      </c>
      <c r="M34" s="2"/>
      <c r="N34" s="2" t="s">
        <v>6089</v>
      </c>
      <c r="O34" s="2" t="s">
        <v>5921</v>
      </c>
    </row>
    <row r="35" spans="1:15">
      <c r="A35" s="2">
        <v>5746</v>
      </c>
      <c r="B35" s="2">
        <v>26</v>
      </c>
      <c r="C35" s="2">
        <v>12</v>
      </c>
      <c r="D35" s="2" t="s">
        <v>6856</v>
      </c>
      <c r="E35" s="2" t="s">
        <v>6857</v>
      </c>
      <c r="F35" s="2" t="s">
        <v>6681</v>
      </c>
      <c r="G35" s="2" t="s">
        <v>6709</v>
      </c>
      <c r="H35" s="2">
        <v>5</v>
      </c>
      <c r="I35" s="2">
        <v>7</v>
      </c>
      <c r="J35" s="2">
        <v>0</v>
      </c>
      <c r="K35" s="2">
        <v>0</v>
      </c>
      <c r="L35" s="2" t="s">
        <v>6618</v>
      </c>
      <c r="M35" s="2"/>
      <c r="N35" s="2" t="s">
        <v>6785</v>
      </c>
      <c r="O35" s="2" t="s">
        <v>5921</v>
      </c>
    </row>
    <row r="36" spans="1:15">
      <c r="A36" s="2">
        <v>6333</v>
      </c>
      <c r="B36" s="2">
        <v>40</v>
      </c>
      <c r="C36" s="2">
        <v>12</v>
      </c>
      <c r="D36" s="2" t="s">
        <v>6858</v>
      </c>
      <c r="E36" s="2" t="s">
        <v>6859</v>
      </c>
      <c r="F36" s="2" t="s">
        <v>6621</v>
      </c>
      <c r="G36" s="2" t="s">
        <v>6860</v>
      </c>
      <c r="H36" s="2">
        <v>2</v>
      </c>
      <c r="I36" s="2">
        <v>10</v>
      </c>
      <c r="J36" s="2">
        <v>0</v>
      </c>
      <c r="K36" s="2">
        <v>0</v>
      </c>
      <c r="L36" s="2" t="s">
        <v>6813</v>
      </c>
      <c r="M36" s="2"/>
      <c r="N36" s="2" t="s">
        <v>6861</v>
      </c>
      <c r="O36" s="2" t="s">
        <v>5921</v>
      </c>
    </row>
    <row r="37" spans="1:15">
      <c r="A37" s="2">
        <v>6346</v>
      </c>
      <c r="B37" s="2">
        <v>18</v>
      </c>
      <c r="C37" s="2">
        <v>12</v>
      </c>
      <c r="D37" s="2" t="s">
        <v>6862</v>
      </c>
      <c r="E37" s="2" t="s">
        <v>6863</v>
      </c>
      <c r="F37" s="2" t="s">
        <v>6683</v>
      </c>
      <c r="G37" s="2" t="s">
        <v>6733</v>
      </c>
      <c r="H37" s="2">
        <v>7</v>
      </c>
      <c r="I37" s="2">
        <v>5</v>
      </c>
      <c r="J37" s="2">
        <v>0</v>
      </c>
      <c r="K37" s="2">
        <v>0</v>
      </c>
      <c r="L37" s="2" t="s">
        <v>6737</v>
      </c>
      <c r="M37" s="2"/>
      <c r="N37" s="2" t="s">
        <v>6800</v>
      </c>
      <c r="O37" s="2" t="s">
        <v>5921</v>
      </c>
    </row>
    <row r="38" spans="1:15">
      <c r="A38" s="2">
        <v>6811</v>
      </c>
      <c r="B38" s="2">
        <v>38</v>
      </c>
      <c r="C38" s="2">
        <v>12</v>
      </c>
      <c r="D38" s="2" t="s">
        <v>6864</v>
      </c>
      <c r="E38" s="2" t="s">
        <v>6865</v>
      </c>
      <c r="F38" s="2" t="s">
        <v>6557</v>
      </c>
      <c r="G38" s="2" t="s">
        <v>6710</v>
      </c>
      <c r="H38" s="2">
        <v>3</v>
      </c>
      <c r="I38" s="2">
        <v>9</v>
      </c>
      <c r="J38" s="2">
        <v>0</v>
      </c>
      <c r="K38" s="2">
        <v>0</v>
      </c>
      <c r="L38" s="2" t="s">
        <v>6556</v>
      </c>
      <c r="M38" s="2"/>
      <c r="N38" s="2" t="s">
        <v>6814</v>
      </c>
      <c r="O38" s="2" t="s">
        <v>5921</v>
      </c>
    </row>
    <row r="39" spans="1:15">
      <c r="A39" s="2">
        <v>6812</v>
      </c>
      <c r="B39" s="2">
        <v>35</v>
      </c>
      <c r="C39" s="2">
        <v>12</v>
      </c>
      <c r="D39" s="2" t="s">
        <v>6866</v>
      </c>
      <c r="E39" s="2" t="s">
        <v>6867</v>
      </c>
      <c r="F39" s="2" t="s">
        <v>6555</v>
      </c>
      <c r="G39" s="2" t="s">
        <v>6703</v>
      </c>
      <c r="H39" s="2">
        <v>4</v>
      </c>
      <c r="I39" s="2">
        <v>8</v>
      </c>
      <c r="J39" s="2">
        <v>0</v>
      </c>
      <c r="K39" s="2">
        <v>0</v>
      </c>
      <c r="L39" s="2" t="s">
        <v>6559</v>
      </c>
      <c r="M39" s="2"/>
      <c r="N39" s="2" t="s">
        <v>6868</v>
      </c>
      <c r="O39" s="2" t="s">
        <v>5921</v>
      </c>
    </row>
    <row r="40" spans="1:15">
      <c r="A40" s="2">
        <v>6895</v>
      </c>
      <c r="B40" s="2">
        <v>37</v>
      </c>
      <c r="C40" s="2">
        <v>12</v>
      </c>
      <c r="D40" s="2" t="s">
        <v>6869</v>
      </c>
      <c r="E40" s="2" t="s">
        <v>6870</v>
      </c>
      <c r="F40" s="2" t="s">
        <v>6563</v>
      </c>
      <c r="G40" s="2" t="s">
        <v>6833</v>
      </c>
      <c r="H40" s="2">
        <v>3</v>
      </c>
      <c r="I40" s="2">
        <v>9</v>
      </c>
      <c r="J40" s="2">
        <v>0</v>
      </c>
      <c r="K40" s="2">
        <v>0</v>
      </c>
      <c r="L40" s="2" t="s">
        <v>6556</v>
      </c>
      <c r="M40" s="2"/>
      <c r="N40" s="2" t="s">
        <v>6814</v>
      </c>
      <c r="O40" s="2" t="s">
        <v>5921</v>
      </c>
    </row>
    <row r="41" spans="1:15">
      <c r="A41" s="2">
        <v>7127</v>
      </c>
      <c r="B41" s="2">
        <v>13</v>
      </c>
      <c r="C41" s="2">
        <v>12</v>
      </c>
      <c r="D41" s="2" t="s">
        <v>6779</v>
      </c>
      <c r="E41" s="2" t="s">
        <v>6871</v>
      </c>
      <c r="F41" s="2" t="s">
        <v>6711</v>
      </c>
      <c r="G41" s="2" t="s">
        <v>6705</v>
      </c>
      <c r="H41" s="2">
        <v>7</v>
      </c>
      <c r="I41" s="2">
        <v>5</v>
      </c>
      <c r="J41" s="2">
        <v>0</v>
      </c>
      <c r="K41" s="2">
        <v>0</v>
      </c>
      <c r="L41" s="2" t="s">
        <v>6790</v>
      </c>
      <c r="M41" s="2"/>
      <c r="N41" s="2" t="s">
        <v>6791</v>
      </c>
      <c r="O41" s="2" t="s">
        <v>5921</v>
      </c>
    </row>
    <row r="42" spans="1:15">
      <c r="A42" s="2">
        <v>7153</v>
      </c>
      <c r="B42" s="2">
        <v>31</v>
      </c>
      <c r="C42" s="2">
        <v>12</v>
      </c>
      <c r="D42" s="2" t="s">
        <v>6872</v>
      </c>
      <c r="E42" s="2" t="s">
        <v>6873</v>
      </c>
      <c r="F42" s="2" t="s">
        <v>6622</v>
      </c>
      <c r="G42" s="2" t="s">
        <v>6751</v>
      </c>
      <c r="H42" s="2">
        <v>4</v>
      </c>
      <c r="I42" s="2">
        <v>8</v>
      </c>
      <c r="J42" s="2">
        <v>0</v>
      </c>
      <c r="K42" s="2">
        <v>0</v>
      </c>
      <c r="L42" s="2" t="s">
        <v>6558</v>
      </c>
      <c r="M42" s="2"/>
      <c r="N42" s="2" t="s">
        <v>6817</v>
      </c>
      <c r="O42" s="2" t="s">
        <v>5921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00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6" max="16" width="6.28515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28" ht="15.75" thickBot="1">
      <c r="A1" s="115" t="s">
        <v>1</v>
      </c>
      <c r="B1" s="116" t="s">
        <v>5984</v>
      </c>
      <c r="C1" s="117" t="s">
        <v>6093</v>
      </c>
      <c r="D1" s="160" t="s">
        <v>5982</v>
      </c>
      <c r="E1" s="161" t="s">
        <v>5986</v>
      </c>
      <c r="F1" s="160" t="s">
        <v>5987</v>
      </c>
      <c r="G1" s="161" t="s">
        <v>5988</v>
      </c>
      <c r="H1" s="160" t="s">
        <v>5989</v>
      </c>
      <c r="I1" s="161" t="s">
        <v>5990</v>
      </c>
      <c r="J1" s="160" t="s">
        <v>5991</v>
      </c>
      <c r="K1" s="161" t="s">
        <v>5992</v>
      </c>
      <c r="L1" s="162" t="s">
        <v>5993</v>
      </c>
      <c r="M1" s="160" t="s">
        <v>5994</v>
      </c>
      <c r="N1" s="161" t="s">
        <v>5995</v>
      </c>
      <c r="O1" s="162" t="s">
        <v>5996</v>
      </c>
      <c r="P1" s="157"/>
      <c r="Q1" s="168" t="s">
        <v>5997</v>
      </c>
      <c r="R1" s="169" t="s">
        <v>6094</v>
      </c>
      <c r="S1" s="168" t="s">
        <v>5998</v>
      </c>
      <c r="T1" s="169" t="s">
        <v>6094</v>
      </c>
      <c r="U1" s="200" t="s">
        <v>5999</v>
      </c>
      <c r="V1" s="169" t="s">
        <v>6094</v>
      </c>
      <c r="W1" s="168" t="s">
        <v>6000</v>
      </c>
      <c r="X1" s="169" t="s">
        <v>6094</v>
      </c>
      <c r="Y1" s="200" t="s">
        <v>6097</v>
      </c>
      <c r="Z1" s="200" t="s">
        <v>6094</v>
      </c>
      <c r="AA1" s="168" t="s">
        <v>6098</v>
      </c>
      <c r="AB1" s="169" t="s">
        <v>6094</v>
      </c>
    </row>
    <row r="2" spans="1:28">
      <c r="A2">
        <f>IF(EventTeam!$A:$A=0,"",EventTeam!$A:$A)</f>
        <v>155</v>
      </c>
      <c r="B2" t="str">
        <f>IF($C2&lt;&gt;-1000,$C2, MAX($D2:$O2))</f>
        <v>432</v>
      </c>
      <c r="C2" t="str">
        <f>IFERROR(VLOOKUP($A2,TBAranking!$A:$Z,4,FALSE),-1000)</f>
        <v>432</v>
      </c>
      <c r="D2">
        <f>IFERROR(VLOOKUP($A2,$Q:$R,2,FALSE),-1000)</f>
        <v>-1000</v>
      </c>
      <c r="E2">
        <f>IFERROR(VLOOKUP($A2,$S:$T,2,FALSE),-1000)</f>
        <v>160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324</v>
      </c>
      <c r="I2">
        <f>IFERROR(VLOOKUP($A2,$AA:$AB,2,FALSE),-1000)</f>
        <v>-1000</v>
      </c>
      <c r="J2">
        <f t="shared" ref="J2:J65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4">
        <v>23</v>
      </c>
      <c r="R2" s="195">
        <v>260</v>
      </c>
      <c r="S2" s="164">
        <v>95</v>
      </c>
      <c r="T2" s="199">
        <v>228</v>
      </c>
      <c r="U2" s="171">
        <v>176</v>
      </c>
      <c r="V2" s="199">
        <v>388</v>
      </c>
      <c r="W2" s="164">
        <v>23</v>
      </c>
      <c r="X2" s="199">
        <v>284</v>
      </c>
      <c r="Y2" s="171">
        <v>69</v>
      </c>
      <c r="Z2" s="208">
        <v>257</v>
      </c>
      <c r="AA2" s="164">
        <v>125</v>
      </c>
      <c r="AB2" s="199">
        <v>399</v>
      </c>
    </row>
    <row r="3" spans="1:28">
      <c r="A3">
        <f>IF(EventTeam!$A:$A=0,"",EventTeam!$A:$A)</f>
        <v>173</v>
      </c>
      <c r="B3" t="str">
        <f t="shared" ref="B3:B66" si="1">IF($C3&lt;&gt;-1000,$C3, MAX($D3:$O3))</f>
        <v>348</v>
      </c>
      <c r="C3" t="str">
        <f>IFERROR(VLOOKUP($A3,TBAranking!$A:$Z,4,FALSE),-1000)</f>
        <v>348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66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-1000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4">
        <v>61</v>
      </c>
      <c r="R3" s="195">
        <v>358</v>
      </c>
      <c r="S3" s="164">
        <v>131</v>
      </c>
      <c r="T3" s="197">
        <v>211</v>
      </c>
      <c r="U3" s="171">
        <v>177</v>
      </c>
      <c r="V3" s="197">
        <v>329</v>
      </c>
      <c r="W3" s="164">
        <v>58</v>
      </c>
      <c r="X3" s="197">
        <v>245</v>
      </c>
      <c r="Y3" s="171">
        <v>95</v>
      </c>
      <c r="Z3" s="194">
        <v>316</v>
      </c>
      <c r="AA3" s="164">
        <v>133</v>
      </c>
      <c r="AB3" s="197">
        <v>376</v>
      </c>
    </row>
    <row r="4" spans="1:28">
      <c r="A4">
        <f>IF(EventTeam!$A:$A=0,"",EventTeam!$A:$A)</f>
        <v>175</v>
      </c>
      <c r="B4" t="str">
        <f t="shared" si="1"/>
        <v>420</v>
      </c>
      <c r="C4" t="str">
        <f>IFERROR(VLOOKUP($A4,TBAranking!$A:$Z,4,FALSE),-1000)</f>
        <v>420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-1000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4">
        <v>78</v>
      </c>
      <c r="R4" s="195">
        <v>331</v>
      </c>
      <c r="S4" s="164">
        <v>138</v>
      </c>
      <c r="T4" s="196">
        <v>207</v>
      </c>
      <c r="U4" s="171">
        <v>181</v>
      </c>
      <c r="V4" s="196">
        <v>257</v>
      </c>
      <c r="W4" s="164">
        <v>78</v>
      </c>
      <c r="X4" s="196">
        <v>374</v>
      </c>
      <c r="Y4" s="171">
        <v>155</v>
      </c>
      <c r="Z4" s="193">
        <v>324</v>
      </c>
      <c r="AA4" s="164">
        <v>238</v>
      </c>
      <c r="AB4" s="196">
        <v>406</v>
      </c>
    </row>
    <row r="5" spans="1:28">
      <c r="A5">
        <f>IF(EventTeam!$A:$A=0,"",EventTeam!$A:$A)</f>
        <v>176</v>
      </c>
      <c r="B5" t="str">
        <f t="shared" si="1"/>
        <v>481</v>
      </c>
      <c r="C5" t="str">
        <f>IFERROR(VLOOKUP($A5,TBAranking!$A:$Z,4,FALSE),-1000)</f>
        <v>481</v>
      </c>
      <c r="D5">
        <f t="shared" si="12"/>
        <v>-1000</v>
      </c>
      <c r="E5">
        <f t="shared" si="2"/>
        <v>-1000</v>
      </c>
      <c r="F5">
        <f t="shared" si="3"/>
        <v>388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4">
        <v>88</v>
      </c>
      <c r="R5" s="195">
        <v>343</v>
      </c>
      <c r="S5" s="164">
        <v>151</v>
      </c>
      <c r="T5" s="197">
        <v>141</v>
      </c>
      <c r="U5" s="171">
        <v>228</v>
      </c>
      <c r="V5" s="197">
        <v>281</v>
      </c>
      <c r="W5" s="164">
        <v>88</v>
      </c>
      <c r="X5" s="197">
        <v>304</v>
      </c>
      <c r="Y5" s="171">
        <v>178</v>
      </c>
      <c r="Z5" s="194">
        <v>271</v>
      </c>
      <c r="AA5" s="164">
        <v>246</v>
      </c>
      <c r="AB5" s="197">
        <v>302</v>
      </c>
    </row>
    <row r="6" spans="1:28">
      <c r="A6">
        <f>IF(EventTeam!$A:$A=0,"",EventTeam!$A:$A)</f>
        <v>177</v>
      </c>
      <c r="B6" t="str">
        <f t="shared" si="1"/>
        <v>377</v>
      </c>
      <c r="C6" t="str">
        <f>IFERROR(VLOOKUP($A6,TBAranking!$A:$Z,4,FALSE),-1000)</f>
        <v>377</v>
      </c>
      <c r="D6">
        <f t="shared" si="12"/>
        <v>-1000</v>
      </c>
      <c r="E6">
        <f t="shared" si="2"/>
        <v>-1000</v>
      </c>
      <c r="F6">
        <f t="shared" si="3"/>
        <v>329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4">
        <v>126</v>
      </c>
      <c r="R6" s="195">
        <v>258</v>
      </c>
      <c r="S6" s="164">
        <v>155</v>
      </c>
      <c r="T6" s="196">
        <v>160</v>
      </c>
      <c r="U6" s="171">
        <v>230</v>
      </c>
      <c r="V6" s="196">
        <v>474</v>
      </c>
      <c r="W6" s="164">
        <v>97</v>
      </c>
      <c r="X6" s="196">
        <v>211</v>
      </c>
      <c r="Y6" s="171">
        <v>195</v>
      </c>
      <c r="Z6" s="193">
        <v>464</v>
      </c>
      <c r="AA6" s="164">
        <v>319</v>
      </c>
      <c r="AB6" s="196">
        <v>376</v>
      </c>
    </row>
    <row r="7" spans="1:28">
      <c r="A7">
        <f>IF(EventTeam!$A:$A=0,"",EventTeam!$A:$A)</f>
        <v>181</v>
      </c>
      <c r="B7" t="str">
        <f t="shared" si="1"/>
        <v>370</v>
      </c>
      <c r="C7" t="str">
        <f>IFERROR(VLOOKUP($A7,TBAranking!$A:$Z,4,FALSE),-1000)</f>
        <v>370</v>
      </c>
      <c r="D7">
        <f t="shared" si="12"/>
        <v>-1000</v>
      </c>
      <c r="E7">
        <f t="shared" si="2"/>
        <v>-1000</v>
      </c>
      <c r="F7">
        <f t="shared" si="3"/>
        <v>257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4">
        <v>172</v>
      </c>
      <c r="R7" s="195">
        <v>221</v>
      </c>
      <c r="S7" s="164">
        <v>238</v>
      </c>
      <c r="T7" s="197">
        <v>327</v>
      </c>
      <c r="U7" s="171">
        <v>236</v>
      </c>
      <c r="V7" s="197">
        <v>319</v>
      </c>
      <c r="W7" s="164">
        <v>121</v>
      </c>
      <c r="X7" s="197">
        <v>273</v>
      </c>
      <c r="Y7" s="171">
        <v>228</v>
      </c>
      <c r="Z7" s="194">
        <v>343</v>
      </c>
      <c r="AA7" s="164">
        <v>509</v>
      </c>
      <c r="AB7" s="197">
        <v>250</v>
      </c>
    </row>
    <row r="8" spans="1:28">
      <c r="A8">
        <f>IF(EventTeam!$A:$A=0,"",EventTeam!$A:$A)</f>
        <v>190</v>
      </c>
      <c r="B8" t="str">
        <f t="shared" si="1"/>
        <v>398</v>
      </c>
      <c r="C8" t="str">
        <f>IFERROR(VLOOKUP($A8,TBAranking!$A:$Z,4,FALSE),-1000)</f>
        <v>398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-1000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4">
        <v>213</v>
      </c>
      <c r="R8" s="195">
        <v>294</v>
      </c>
      <c r="S8" s="164">
        <v>811</v>
      </c>
      <c r="T8" s="196">
        <v>250</v>
      </c>
      <c r="U8" s="171">
        <v>237</v>
      </c>
      <c r="V8" s="196">
        <v>334</v>
      </c>
      <c r="W8" s="164">
        <v>157</v>
      </c>
      <c r="X8" s="196">
        <v>241</v>
      </c>
      <c r="Y8" s="171">
        <v>230</v>
      </c>
      <c r="Z8" s="193">
        <v>444</v>
      </c>
      <c r="AA8" s="164">
        <v>811</v>
      </c>
      <c r="AB8" s="196">
        <v>356</v>
      </c>
    </row>
    <row r="9" spans="1:28">
      <c r="A9">
        <f>IF(EventTeam!$A:$A=0,"",EventTeam!$A:$A)</f>
        <v>195</v>
      </c>
      <c r="B9" t="str">
        <f t="shared" si="1"/>
        <v>481</v>
      </c>
      <c r="C9" t="str">
        <f>IFERROR(VLOOKUP($A9,TBAranking!$A:$Z,4,FALSE),-1000)</f>
        <v>481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464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4">
        <v>467</v>
      </c>
      <c r="R9" s="195">
        <v>302</v>
      </c>
      <c r="S9" s="164">
        <v>885</v>
      </c>
      <c r="T9" s="197">
        <v>167</v>
      </c>
      <c r="U9" s="171">
        <v>501</v>
      </c>
      <c r="V9" s="197">
        <v>249</v>
      </c>
      <c r="W9" s="164">
        <v>166</v>
      </c>
      <c r="X9" s="197">
        <v>223</v>
      </c>
      <c r="Y9" s="171">
        <v>467</v>
      </c>
      <c r="Z9" s="194">
        <v>263</v>
      </c>
      <c r="AA9" s="164">
        <v>1058</v>
      </c>
      <c r="AB9" s="197">
        <v>259</v>
      </c>
    </row>
    <row r="10" spans="1:28">
      <c r="A10">
        <f>IF(EventTeam!$A:$A=0,"",EventTeam!$A:$A)</f>
        <v>230</v>
      </c>
      <c r="B10" t="str">
        <f t="shared" si="1"/>
        <v>452</v>
      </c>
      <c r="C10" t="str">
        <f>IFERROR(VLOOKUP($A10,TBAranking!$A:$Z,4,FALSE),-1000)</f>
        <v>452</v>
      </c>
      <c r="D10">
        <f t="shared" si="12"/>
        <v>-1000</v>
      </c>
      <c r="E10">
        <f t="shared" si="2"/>
        <v>-1000</v>
      </c>
      <c r="F10">
        <f t="shared" si="3"/>
        <v>474</v>
      </c>
      <c r="G10">
        <f t="shared" si="4"/>
        <v>-1000</v>
      </c>
      <c r="H10">
        <f t="shared" si="5"/>
        <v>444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4">
        <v>663</v>
      </c>
      <c r="R10" s="195">
        <v>281</v>
      </c>
      <c r="S10" s="164">
        <v>1058</v>
      </c>
      <c r="T10" s="196">
        <v>181</v>
      </c>
      <c r="U10" s="171">
        <v>558</v>
      </c>
      <c r="V10" s="196">
        <v>361</v>
      </c>
      <c r="W10" s="164">
        <v>178</v>
      </c>
      <c r="X10" s="196">
        <v>237</v>
      </c>
      <c r="Y10" s="171">
        <v>1027</v>
      </c>
      <c r="Z10" s="193">
        <v>223</v>
      </c>
      <c r="AA10" s="164">
        <v>1289</v>
      </c>
      <c r="AB10" s="196">
        <v>269</v>
      </c>
    </row>
    <row r="11" spans="1:28">
      <c r="A11">
        <f>IF(EventTeam!$A:$A=0,"",EventTeam!$A:$A)</f>
        <v>236</v>
      </c>
      <c r="B11" t="str">
        <f t="shared" si="1"/>
        <v>413</v>
      </c>
      <c r="C11" t="str">
        <f>IFERROR(VLOOKUP($A11,TBAranking!$A:$Z,4,FALSE),-1000)</f>
        <v>413</v>
      </c>
      <c r="D11">
        <f t="shared" si="12"/>
        <v>-1000</v>
      </c>
      <c r="E11">
        <f t="shared" si="2"/>
        <v>-1000</v>
      </c>
      <c r="F11">
        <f t="shared" si="3"/>
        <v>319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4">
        <v>716</v>
      </c>
      <c r="R11" s="195">
        <v>281</v>
      </c>
      <c r="S11" s="164">
        <v>1073</v>
      </c>
      <c r="T11" s="197">
        <v>171</v>
      </c>
      <c r="U11" s="171">
        <v>571</v>
      </c>
      <c r="V11" s="197">
        <v>299</v>
      </c>
      <c r="W11" s="164">
        <v>348</v>
      </c>
      <c r="X11" s="197">
        <v>240</v>
      </c>
      <c r="Y11" s="171">
        <v>1071</v>
      </c>
      <c r="Z11" s="194">
        <v>243</v>
      </c>
      <c r="AA11" s="164">
        <v>1474</v>
      </c>
      <c r="AB11" s="197">
        <v>261</v>
      </c>
    </row>
    <row r="12" spans="1:28">
      <c r="A12">
        <f>IF(EventTeam!$A:$A=0,"",EventTeam!$A:$A)</f>
        <v>558</v>
      </c>
      <c r="B12" t="str">
        <f t="shared" si="1"/>
        <v>422</v>
      </c>
      <c r="C12" t="str">
        <f>IFERROR(VLOOKUP($A12,TBAranking!$A:$Z,4,FALSE),-1000)</f>
        <v>422</v>
      </c>
      <c r="D12">
        <f t="shared" si="12"/>
        <v>-1000</v>
      </c>
      <c r="E12">
        <f t="shared" si="2"/>
        <v>-1000</v>
      </c>
      <c r="F12">
        <f t="shared" si="3"/>
        <v>361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4">
        <v>1100</v>
      </c>
      <c r="R12" s="195">
        <v>323</v>
      </c>
      <c r="S12" s="164">
        <v>1247</v>
      </c>
      <c r="T12" s="196">
        <v>215</v>
      </c>
      <c r="U12" s="171">
        <v>999</v>
      </c>
      <c r="V12" s="196">
        <v>222</v>
      </c>
      <c r="W12" s="164">
        <v>839</v>
      </c>
      <c r="X12" s="196">
        <v>168</v>
      </c>
      <c r="Y12" s="171">
        <v>1099</v>
      </c>
      <c r="Z12" s="193">
        <v>351</v>
      </c>
      <c r="AA12" s="164">
        <v>1761</v>
      </c>
      <c r="AB12" s="196">
        <v>262</v>
      </c>
    </row>
    <row r="13" spans="1:28">
      <c r="A13">
        <f>IF(EventTeam!$A:$A=0,"",EventTeam!$A:$A)</f>
        <v>571</v>
      </c>
      <c r="B13" t="str">
        <f t="shared" si="1"/>
        <v>369</v>
      </c>
      <c r="C13" t="str">
        <f>IFERROR(VLOOKUP($A13,TBAranking!$A:$Z,4,FALSE),-1000)</f>
        <v>369</v>
      </c>
      <c r="D13">
        <f t="shared" si="12"/>
        <v>-1000</v>
      </c>
      <c r="E13">
        <f t="shared" si="2"/>
        <v>-1000</v>
      </c>
      <c r="F13">
        <f t="shared" si="3"/>
        <v>299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4">
        <v>1153</v>
      </c>
      <c r="R13" s="195">
        <v>263</v>
      </c>
      <c r="S13" s="164">
        <v>1289</v>
      </c>
      <c r="T13" s="197">
        <v>232</v>
      </c>
      <c r="U13" s="171">
        <v>1085</v>
      </c>
      <c r="V13" s="197">
        <v>216</v>
      </c>
      <c r="W13" s="164">
        <v>1735</v>
      </c>
      <c r="X13" s="197">
        <v>201</v>
      </c>
      <c r="Y13" s="171">
        <v>2064</v>
      </c>
      <c r="Z13" s="194">
        <v>280</v>
      </c>
      <c r="AA13" s="164">
        <v>1965</v>
      </c>
      <c r="AB13" s="197">
        <v>279</v>
      </c>
    </row>
    <row r="14" spans="1:28">
      <c r="A14">
        <f>IF(EventTeam!$A:$A=0,"",EventTeam!$A:$A)</f>
        <v>839</v>
      </c>
      <c r="B14" t="str">
        <f t="shared" si="1"/>
        <v>342</v>
      </c>
      <c r="C14" t="str">
        <f>IFERROR(VLOOKUP($A14,TBAranking!$A:$Z,4,FALSE),-1000)</f>
        <v>342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168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4">
        <v>1277</v>
      </c>
      <c r="R14" s="195">
        <v>223</v>
      </c>
      <c r="S14" s="164">
        <v>1307</v>
      </c>
      <c r="T14" s="196">
        <v>175</v>
      </c>
      <c r="U14" s="171">
        <v>1099</v>
      </c>
      <c r="V14" s="196">
        <v>330</v>
      </c>
      <c r="W14" s="164">
        <v>1757</v>
      </c>
      <c r="X14" s="196">
        <v>221</v>
      </c>
      <c r="Y14" s="171">
        <v>2067</v>
      </c>
      <c r="Z14" s="193">
        <v>362</v>
      </c>
      <c r="AA14" s="164">
        <v>2084</v>
      </c>
      <c r="AB14" s="196">
        <v>266</v>
      </c>
    </row>
    <row r="15" spans="1:28">
      <c r="A15">
        <f>IF(EventTeam!$A:$A=0,"",EventTeam!$A:$A)</f>
        <v>999</v>
      </c>
      <c r="B15" t="str">
        <f t="shared" si="1"/>
        <v>395</v>
      </c>
      <c r="C15" t="str">
        <f>IFERROR(VLOOKUP($A15,TBAranking!$A:$Z,4,FALSE),-1000)</f>
        <v>395</v>
      </c>
      <c r="D15">
        <f t="shared" si="12"/>
        <v>-1000</v>
      </c>
      <c r="E15">
        <f t="shared" si="2"/>
        <v>-1000</v>
      </c>
      <c r="F15">
        <f t="shared" si="3"/>
        <v>222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4">
        <v>1350</v>
      </c>
      <c r="R15" s="195">
        <v>236</v>
      </c>
      <c r="S15" s="164">
        <v>1474</v>
      </c>
      <c r="T15" s="197">
        <v>205</v>
      </c>
      <c r="U15" s="171">
        <v>1124</v>
      </c>
      <c r="V15" s="197">
        <v>278</v>
      </c>
      <c r="W15" s="164">
        <v>2079</v>
      </c>
      <c r="X15" s="197">
        <v>231</v>
      </c>
      <c r="Y15" s="171">
        <v>2836</v>
      </c>
      <c r="Z15" s="194">
        <v>359</v>
      </c>
      <c r="AA15" s="164">
        <v>2423</v>
      </c>
      <c r="AB15" s="197">
        <v>258</v>
      </c>
    </row>
    <row r="16" spans="1:28">
      <c r="A16">
        <f>IF(EventTeam!$A:$A=0,"",EventTeam!$A:$A)</f>
        <v>1027</v>
      </c>
      <c r="B16" t="str">
        <f t="shared" si="1"/>
        <v>295</v>
      </c>
      <c r="C16" t="str">
        <f>IFERROR(VLOOKUP($A16,TBAranking!$A:$Z,4,FALSE),-1000)</f>
        <v>295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223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4">
        <v>1519</v>
      </c>
      <c r="R16" s="195">
        <v>388</v>
      </c>
      <c r="S16" s="164">
        <v>1512</v>
      </c>
      <c r="T16" s="196">
        <v>239</v>
      </c>
      <c r="U16" s="171">
        <v>1676</v>
      </c>
      <c r="V16" s="196">
        <v>281</v>
      </c>
      <c r="W16" s="164">
        <v>2168</v>
      </c>
      <c r="X16" s="196">
        <v>229</v>
      </c>
      <c r="Y16" s="171">
        <v>3104</v>
      </c>
      <c r="Z16" s="193">
        <v>286</v>
      </c>
      <c r="AA16" s="164">
        <v>2713</v>
      </c>
      <c r="AB16" s="196">
        <v>290</v>
      </c>
    </row>
    <row r="17" spans="1:28">
      <c r="A17">
        <f>IF(EventTeam!$A:$A=0,"",EventTeam!$A:$A)</f>
        <v>1085</v>
      </c>
      <c r="B17" t="str">
        <f t="shared" si="1"/>
        <v>337</v>
      </c>
      <c r="C17" t="str">
        <f>IFERROR(VLOOKUP($A17,TBAranking!$A:$Z,4,FALSE),-1000)</f>
        <v>337</v>
      </c>
      <c r="D17">
        <f t="shared" si="12"/>
        <v>-1000</v>
      </c>
      <c r="E17">
        <f t="shared" si="2"/>
        <v>-1000</v>
      </c>
      <c r="F17">
        <f t="shared" si="3"/>
        <v>216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4">
        <v>1729</v>
      </c>
      <c r="R17" s="195">
        <v>293</v>
      </c>
      <c r="S17" s="164">
        <v>1517</v>
      </c>
      <c r="T17" s="197">
        <v>135</v>
      </c>
      <c r="U17" s="171">
        <v>1699</v>
      </c>
      <c r="V17" s="197">
        <v>331</v>
      </c>
      <c r="W17" s="164">
        <v>2648</v>
      </c>
      <c r="X17" s="197">
        <v>208</v>
      </c>
      <c r="Y17" s="171">
        <v>3555</v>
      </c>
      <c r="Z17" s="194">
        <v>394</v>
      </c>
      <c r="AA17" s="164">
        <v>2876</v>
      </c>
      <c r="AB17" s="197">
        <v>294</v>
      </c>
    </row>
    <row r="18" spans="1:28">
      <c r="A18">
        <f>IF(EventTeam!$A:$A=0,"",EventTeam!$A:$A)</f>
        <v>1124</v>
      </c>
      <c r="B18">
        <f t="shared" si="1"/>
        <v>278</v>
      </c>
      <c r="C18">
        <f>IFERROR(VLOOKUP($A18,TBAranking!$A:$Z,4,FALSE),-1000)</f>
        <v>-1000</v>
      </c>
      <c r="D18">
        <f t="shared" si="12"/>
        <v>-1000</v>
      </c>
      <c r="E18">
        <f t="shared" si="2"/>
        <v>-1000</v>
      </c>
      <c r="F18">
        <f t="shared" si="3"/>
        <v>278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si="0"/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4">
        <v>1768</v>
      </c>
      <c r="R18" s="195">
        <v>249</v>
      </c>
      <c r="S18" s="164">
        <v>2342</v>
      </c>
      <c r="T18" s="196">
        <v>215</v>
      </c>
      <c r="U18" s="171">
        <v>2067</v>
      </c>
      <c r="V18" s="196">
        <v>284</v>
      </c>
      <c r="W18" s="164">
        <v>3566</v>
      </c>
      <c r="X18" s="196">
        <v>220</v>
      </c>
      <c r="Y18" s="171">
        <v>3634</v>
      </c>
      <c r="Z18" s="193">
        <v>250</v>
      </c>
      <c r="AA18" s="164">
        <v>2877</v>
      </c>
      <c r="AB18" s="196">
        <v>303</v>
      </c>
    </row>
    <row r="19" spans="1:28">
      <c r="A19">
        <f>IF(EventTeam!$A:$A=0,"",EventTeam!$A:$A)</f>
        <v>1740</v>
      </c>
      <c r="B19" t="str">
        <f t="shared" si="1"/>
        <v>314</v>
      </c>
      <c r="C19" t="str">
        <f>IFERROR(VLOOKUP($A19,TBAranking!$A:$Z,4,FALSE),-1000)</f>
        <v>314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0"/>
        <v>-1000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4">
        <v>1786</v>
      </c>
      <c r="R19" s="195">
        <v>225</v>
      </c>
      <c r="S19" s="164">
        <v>2876</v>
      </c>
      <c r="T19" s="197">
        <v>257</v>
      </c>
      <c r="U19" s="171">
        <v>2170</v>
      </c>
      <c r="V19" s="197">
        <v>301</v>
      </c>
      <c r="W19" s="164">
        <v>4041</v>
      </c>
      <c r="X19" s="197">
        <v>271</v>
      </c>
      <c r="Y19" s="171">
        <v>3654</v>
      </c>
      <c r="Z19" s="194">
        <v>281</v>
      </c>
      <c r="AA19" s="164">
        <v>3205</v>
      </c>
      <c r="AB19" s="197">
        <v>261</v>
      </c>
    </row>
    <row r="20" spans="1:28">
      <c r="A20">
        <f>IF(EventTeam!$A:$A=0,"",EventTeam!$A:$A)</f>
        <v>1973</v>
      </c>
      <c r="B20" t="str">
        <f t="shared" si="1"/>
        <v>254</v>
      </c>
      <c r="C20" t="str">
        <f>IFERROR(VLOOKUP($A20,TBAranking!$A:$Z,4,FALSE),-1000)</f>
        <v>254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0"/>
        <v>-1000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4">
        <v>1831</v>
      </c>
      <c r="R20" s="195">
        <v>237</v>
      </c>
      <c r="S20" s="164">
        <v>3205</v>
      </c>
      <c r="T20" s="196">
        <v>171</v>
      </c>
      <c r="U20" s="171">
        <v>3182</v>
      </c>
      <c r="V20" s="196">
        <v>267</v>
      </c>
      <c r="W20" s="164">
        <v>4151</v>
      </c>
      <c r="X20" s="196">
        <v>189</v>
      </c>
      <c r="Y20" s="171">
        <v>3958</v>
      </c>
      <c r="Z20" s="193">
        <v>305</v>
      </c>
      <c r="AA20" s="164">
        <v>3467</v>
      </c>
      <c r="AB20" s="196">
        <v>326</v>
      </c>
    </row>
    <row r="21" spans="1:28">
      <c r="A21">
        <f>IF(EventTeam!$A:$A=0,"",EventTeam!$A:$A)</f>
        <v>1991</v>
      </c>
      <c r="B21" t="str">
        <f t="shared" si="1"/>
        <v>343</v>
      </c>
      <c r="C21" t="str">
        <f>IFERROR(VLOOKUP($A21,TBAranking!$A:$Z,4,FALSE),-1000)</f>
        <v>343</v>
      </c>
      <c r="D21">
        <f t="shared" si="12"/>
        <v>249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si="5"/>
        <v>-1000</v>
      </c>
      <c r="I21">
        <f t="shared" si="6"/>
        <v>-1000</v>
      </c>
      <c r="J21">
        <f t="shared" si="0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4">
        <v>1991</v>
      </c>
      <c r="R21" s="195">
        <v>249</v>
      </c>
      <c r="S21" s="164">
        <v>3323</v>
      </c>
      <c r="T21" s="197">
        <v>206</v>
      </c>
      <c r="U21" s="171">
        <v>3314</v>
      </c>
      <c r="V21" s="197">
        <v>352</v>
      </c>
      <c r="W21" s="164">
        <v>4169</v>
      </c>
      <c r="X21" s="197">
        <v>213</v>
      </c>
      <c r="Y21" s="171">
        <v>4055</v>
      </c>
      <c r="Z21" s="194">
        <v>269</v>
      </c>
      <c r="AA21" s="164">
        <v>4034</v>
      </c>
      <c r="AB21" s="197">
        <v>222</v>
      </c>
    </row>
    <row r="22" spans="1:28">
      <c r="A22">
        <f>IF(EventTeam!$A:$A=0,"",EventTeam!$A:$A)</f>
        <v>2064</v>
      </c>
      <c r="B22" t="str">
        <f t="shared" si="1"/>
        <v>331</v>
      </c>
      <c r="C22" t="str">
        <f>IFERROR(VLOOKUP($A22,TBAranking!$A:$Z,4,FALSE),-1000)</f>
        <v>331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5"/>
        <v>280</v>
      </c>
      <c r="I22">
        <f t="shared" si="6"/>
        <v>-1000</v>
      </c>
      <c r="J22">
        <f t="shared" si="0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4">
        <v>2262</v>
      </c>
      <c r="R22" s="195">
        <v>271</v>
      </c>
      <c r="S22" s="164">
        <v>3930</v>
      </c>
      <c r="T22" s="196">
        <v>153</v>
      </c>
      <c r="U22" s="171">
        <v>3461</v>
      </c>
      <c r="V22" s="196">
        <v>363</v>
      </c>
      <c r="W22" s="164">
        <v>4176</v>
      </c>
      <c r="X22" s="196">
        <v>271</v>
      </c>
      <c r="Y22" s="171">
        <v>4557</v>
      </c>
      <c r="Z22" s="193">
        <v>337</v>
      </c>
      <c r="AA22" s="164">
        <v>4169</v>
      </c>
      <c r="AB22" s="196">
        <v>233</v>
      </c>
    </row>
    <row r="23" spans="1:28">
      <c r="A23">
        <f>IF(EventTeam!$A:$A=0,"",EventTeam!$A:$A)</f>
        <v>2067</v>
      </c>
      <c r="B23" t="str">
        <f t="shared" si="1"/>
        <v>388</v>
      </c>
      <c r="C23" t="str">
        <f>IFERROR(VLOOKUP($A23,TBAranking!$A:$Z,4,FALSE),-1000)</f>
        <v>388</v>
      </c>
      <c r="D23">
        <f t="shared" si="12"/>
        <v>-1000</v>
      </c>
      <c r="E23">
        <f t="shared" si="2"/>
        <v>-1000</v>
      </c>
      <c r="F23">
        <f t="shared" si="3"/>
        <v>284</v>
      </c>
      <c r="G23">
        <f t="shared" si="4"/>
        <v>-1000</v>
      </c>
      <c r="H23">
        <f t="shared" si="5"/>
        <v>362</v>
      </c>
      <c r="I23">
        <f t="shared" si="6"/>
        <v>-1000</v>
      </c>
      <c r="J23">
        <f t="shared" si="0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4">
        <v>2370</v>
      </c>
      <c r="R23" s="195">
        <v>341</v>
      </c>
      <c r="S23" s="164">
        <v>3958</v>
      </c>
      <c r="T23" s="197">
        <v>244</v>
      </c>
      <c r="U23" s="171">
        <v>3464</v>
      </c>
      <c r="V23" s="197">
        <v>302</v>
      </c>
      <c r="W23" s="164">
        <v>4761</v>
      </c>
      <c r="X23" s="197">
        <v>220</v>
      </c>
      <c r="Y23" s="171">
        <v>4572</v>
      </c>
      <c r="Z23" s="194">
        <v>293</v>
      </c>
      <c r="AA23" s="164">
        <v>4311</v>
      </c>
      <c r="AB23" s="197">
        <v>266</v>
      </c>
    </row>
    <row r="24" spans="1:28">
      <c r="A24">
        <f>IF(EventTeam!$A:$A=0,"",EventTeam!$A:$A)</f>
        <v>2170</v>
      </c>
      <c r="B24" t="str">
        <f t="shared" si="1"/>
        <v>467</v>
      </c>
      <c r="C24" t="str">
        <f>IFERROR(VLOOKUP($A24,TBAranking!$A:$Z,4,FALSE),-1000)</f>
        <v>467</v>
      </c>
      <c r="D24">
        <f t="shared" si="12"/>
        <v>-1000</v>
      </c>
      <c r="E24">
        <f t="shared" si="2"/>
        <v>-1000</v>
      </c>
      <c r="F24">
        <f t="shared" si="3"/>
        <v>301</v>
      </c>
      <c r="G24">
        <f t="shared" si="4"/>
        <v>-1000</v>
      </c>
      <c r="H24">
        <f t="shared" si="5"/>
        <v>-1000</v>
      </c>
      <c r="I24">
        <f t="shared" si="6"/>
        <v>-1000</v>
      </c>
      <c r="J24">
        <f t="shared" si="0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4">
        <v>2785</v>
      </c>
      <c r="R24" s="195">
        <v>249</v>
      </c>
      <c r="S24" s="164">
        <v>5265</v>
      </c>
      <c r="T24" s="196">
        <v>197</v>
      </c>
      <c r="U24" s="171">
        <v>3525</v>
      </c>
      <c r="V24" s="196">
        <v>266</v>
      </c>
      <c r="W24" s="164">
        <v>4796</v>
      </c>
      <c r="X24" s="196">
        <v>223</v>
      </c>
      <c r="Y24" s="171">
        <v>5687</v>
      </c>
      <c r="Z24" s="193">
        <v>374</v>
      </c>
      <c r="AA24" s="164">
        <v>4473</v>
      </c>
      <c r="AB24" s="196">
        <v>246</v>
      </c>
    </row>
    <row r="25" spans="1:28">
      <c r="A25">
        <f>IF(EventTeam!$A:$A=0,"",EventTeam!$A:$A)</f>
        <v>2785</v>
      </c>
      <c r="B25" t="str">
        <f t="shared" si="1"/>
        <v>308</v>
      </c>
      <c r="C25" t="str">
        <f>IFERROR(VLOOKUP($A25,TBAranking!$A:$Z,4,FALSE),-1000)</f>
        <v>308</v>
      </c>
      <c r="D25">
        <f t="shared" si="12"/>
        <v>249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5"/>
        <v>-1000</v>
      </c>
      <c r="I25">
        <f t="shared" si="6"/>
        <v>-1000</v>
      </c>
      <c r="J25">
        <f t="shared" si="0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4">
        <v>3236</v>
      </c>
      <c r="R25" s="195">
        <v>322</v>
      </c>
      <c r="S25" s="164">
        <v>5459</v>
      </c>
      <c r="T25" s="197">
        <v>148</v>
      </c>
      <c r="U25" s="171">
        <v>4055</v>
      </c>
      <c r="V25" s="197">
        <v>248</v>
      </c>
      <c r="W25" s="164">
        <v>4908</v>
      </c>
      <c r="X25" s="197">
        <v>198</v>
      </c>
      <c r="Y25" s="171">
        <v>5746</v>
      </c>
      <c r="Z25" s="194">
        <v>316</v>
      </c>
      <c r="AA25" s="164">
        <v>4761</v>
      </c>
      <c r="AB25" s="197">
        <v>306</v>
      </c>
    </row>
    <row r="26" spans="1:28">
      <c r="A26">
        <f>IF(EventTeam!$A:$A=0,"",EventTeam!$A:$A)</f>
        <v>2836</v>
      </c>
      <c r="B26" t="str">
        <f t="shared" si="1"/>
        <v>392</v>
      </c>
      <c r="C26" t="str">
        <f>IFERROR(VLOOKUP($A26,TBAranking!$A:$Z,4,FALSE),-1000)</f>
        <v>392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5"/>
        <v>359</v>
      </c>
      <c r="I26">
        <f t="shared" si="6"/>
        <v>-1000</v>
      </c>
      <c r="J26">
        <f t="shared" si="0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4">
        <v>3466</v>
      </c>
      <c r="R26" s="195">
        <v>248</v>
      </c>
      <c r="S26" s="164">
        <v>5471</v>
      </c>
      <c r="T26" s="196">
        <v>129</v>
      </c>
      <c r="U26" s="171">
        <v>4097</v>
      </c>
      <c r="V26" s="196">
        <v>215</v>
      </c>
      <c r="W26" s="164">
        <v>5000</v>
      </c>
      <c r="X26" s="196">
        <v>263</v>
      </c>
      <c r="Y26" s="171">
        <v>5856</v>
      </c>
      <c r="Z26" s="193">
        <v>277</v>
      </c>
      <c r="AA26" s="164">
        <v>4905</v>
      </c>
      <c r="AB26" s="196">
        <v>326</v>
      </c>
    </row>
    <row r="27" spans="1:28">
      <c r="A27">
        <f>IF(EventTeam!$A:$A=0,"",EventTeam!$A:$A)</f>
        <v>3104</v>
      </c>
      <c r="B27">
        <f t="shared" si="1"/>
        <v>286</v>
      </c>
      <c r="C27">
        <f>IFERROR(VLOOKUP($A27,TBAranking!$A:$Z,4,FALSE),-1000)</f>
        <v>-1000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5"/>
        <v>286</v>
      </c>
      <c r="I27">
        <f t="shared" si="6"/>
        <v>-1000</v>
      </c>
      <c r="J27">
        <f t="shared" si="0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4">
        <v>3555</v>
      </c>
      <c r="R27" s="195">
        <v>285</v>
      </c>
      <c r="S27" s="164">
        <v>5556</v>
      </c>
      <c r="T27" s="197">
        <v>193</v>
      </c>
      <c r="U27" s="171">
        <v>4557</v>
      </c>
      <c r="V27" s="197">
        <v>314</v>
      </c>
      <c r="W27" s="164">
        <v>5112</v>
      </c>
      <c r="X27" s="197">
        <v>184</v>
      </c>
      <c r="Y27" s="171">
        <v>6346</v>
      </c>
      <c r="Z27" s="194">
        <v>237</v>
      </c>
      <c r="AA27" s="164">
        <v>4906</v>
      </c>
      <c r="AB27" s="197">
        <v>254</v>
      </c>
    </row>
    <row r="28" spans="1:28">
      <c r="A28">
        <f>IF(EventTeam!$A:$A=0,"",EventTeam!$A:$A)</f>
        <v>3146</v>
      </c>
      <c r="B28" t="str">
        <f t="shared" si="1"/>
        <v>297</v>
      </c>
      <c r="C28" t="str">
        <f>IFERROR(VLOOKUP($A28,TBAranking!$A:$Z,4,FALSE),-1000)</f>
        <v>297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5"/>
        <v>-1000</v>
      </c>
      <c r="I28">
        <f t="shared" si="6"/>
        <v>-1000</v>
      </c>
      <c r="J28">
        <f t="shared" si="0"/>
        <v>-1000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4">
        <v>3566</v>
      </c>
      <c r="R28" s="195">
        <v>246</v>
      </c>
      <c r="S28" s="164">
        <v>5686</v>
      </c>
      <c r="T28" s="196">
        <v>212</v>
      </c>
      <c r="U28" s="171">
        <v>4572</v>
      </c>
      <c r="V28" s="196">
        <v>282</v>
      </c>
      <c r="W28" s="164">
        <v>5422</v>
      </c>
      <c r="X28" s="196">
        <v>200</v>
      </c>
      <c r="Y28" s="171">
        <v>6367</v>
      </c>
      <c r="Z28" s="193">
        <v>282</v>
      </c>
      <c r="AA28" s="164">
        <v>4909</v>
      </c>
      <c r="AB28" s="196">
        <v>286</v>
      </c>
    </row>
    <row r="29" spans="1:28">
      <c r="A29">
        <f>IF(EventTeam!$A:$A=0,"",EventTeam!$A:$A)</f>
        <v>3182</v>
      </c>
      <c r="B29" t="str">
        <f t="shared" si="1"/>
        <v>312</v>
      </c>
      <c r="C29" t="str">
        <f>IFERROR(VLOOKUP($A29,TBAranking!$A:$Z,4,FALSE),-1000)</f>
        <v>312</v>
      </c>
      <c r="D29">
        <f t="shared" si="12"/>
        <v>-1000</v>
      </c>
      <c r="E29">
        <f t="shared" si="2"/>
        <v>-1000</v>
      </c>
      <c r="F29">
        <f t="shared" si="3"/>
        <v>267</v>
      </c>
      <c r="G29">
        <f t="shared" si="4"/>
        <v>-1000</v>
      </c>
      <c r="H29">
        <f t="shared" si="5"/>
        <v>-1000</v>
      </c>
      <c r="I29">
        <f t="shared" si="6"/>
        <v>-1000</v>
      </c>
      <c r="J29">
        <f t="shared" si="0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4">
        <v>3623</v>
      </c>
      <c r="R29" s="195">
        <v>223</v>
      </c>
      <c r="S29" s="164">
        <v>5687</v>
      </c>
      <c r="T29" s="197">
        <v>325</v>
      </c>
      <c r="U29" s="171">
        <v>5129</v>
      </c>
      <c r="V29" s="197">
        <v>216</v>
      </c>
      <c r="W29" s="164">
        <v>5563</v>
      </c>
      <c r="X29" s="197">
        <v>208</v>
      </c>
      <c r="Y29" s="171">
        <v>6811</v>
      </c>
      <c r="Z29" s="194">
        <v>304</v>
      </c>
      <c r="AA29" s="164">
        <v>5122</v>
      </c>
      <c r="AB29" s="197">
        <v>275</v>
      </c>
    </row>
    <row r="30" spans="1:28">
      <c r="A30">
        <f>IF(EventTeam!$A:$A=0,"",EventTeam!$A:$A)</f>
        <v>3464</v>
      </c>
      <c r="B30" t="str">
        <f t="shared" si="1"/>
        <v>374</v>
      </c>
      <c r="C30" t="str">
        <f>IFERROR(VLOOKUP($A30,TBAranking!$A:$Z,4,FALSE),-1000)</f>
        <v>374</v>
      </c>
      <c r="D30">
        <f t="shared" si="12"/>
        <v>-1000</v>
      </c>
      <c r="E30">
        <f t="shared" si="2"/>
        <v>-1000</v>
      </c>
      <c r="F30">
        <f t="shared" si="3"/>
        <v>302</v>
      </c>
      <c r="G30">
        <f t="shared" si="4"/>
        <v>-1000</v>
      </c>
      <c r="H30">
        <f t="shared" si="5"/>
        <v>-1000</v>
      </c>
      <c r="I30">
        <f t="shared" si="6"/>
        <v>-1000</v>
      </c>
      <c r="J30">
        <f t="shared" si="0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4">
        <v>3719</v>
      </c>
      <c r="R30" s="195">
        <v>192</v>
      </c>
      <c r="S30" s="164">
        <v>5902</v>
      </c>
      <c r="T30" s="196">
        <v>169</v>
      </c>
      <c r="U30" s="171">
        <v>5142</v>
      </c>
      <c r="V30" s="196">
        <v>301</v>
      </c>
      <c r="W30" s="164">
        <v>5813</v>
      </c>
      <c r="X30" s="196">
        <v>382</v>
      </c>
      <c r="Y30" s="171">
        <v>7127</v>
      </c>
      <c r="Z30" s="193">
        <v>300</v>
      </c>
      <c r="AA30" s="164">
        <v>5347</v>
      </c>
      <c r="AB30" s="196">
        <v>246</v>
      </c>
    </row>
    <row r="31" spans="1:28" ht="15.75" thickBot="1">
      <c r="A31">
        <f>IF(EventTeam!$A:$A=0,"",EventTeam!$A:$A)</f>
        <v>3634</v>
      </c>
      <c r="B31" t="str">
        <f t="shared" si="1"/>
        <v>327</v>
      </c>
      <c r="C31" t="str">
        <f>IFERROR(VLOOKUP($A31,TBAranking!$A:$Z,4,FALSE),-1000)</f>
        <v>327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5"/>
        <v>250</v>
      </c>
      <c r="I31">
        <f t="shared" si="6"/>
        <v>-1000</v>
      </c>
      <c r="J31">
        <f t="shared" si="0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4">
        <v>4042</v>
      </c>
      <c r="R31" s="195">
        <v>282</v>
      </c>
      <c r="S31" s="164">
        <v>6324</v>
      </c>
      <c r="T31" s="197">
        <v>272</v>
      </c>
      <c r="U31" s="171">
        <v>5856</v>
      </c>
      <c r="V31" s="197">
        <v>333</v>
      </c>
      <c r="W31" s="164">
        <v>5846</v>
      </c>
      <c r="X31" s="197">
        <v>255</v>
      </c>
      <c r="Y31" s="172">
        <v>7153</v>
      </c>
      <c r="Z31" s="209">
        <v>307</v>
      </c>
      <c r="AA31" s="164">
        <v>5459</v>
      </c>
      <c r="AB31" s="197">
        <v>267</v>
      </c>
    </row>
    <row r="32" spans="1:28">
      <c r="A32">
        <f>IF(EventTeam!$A:$A=0,"",EventTeam!$A:$A)</f>
        <v>3654</v>
      </c>
      <c r="B32" t="str">
        <f t="shared" si="1"/>
        <v>336</v>
      </c>
      <c r="C32" t="str">
        <f>IFERROR(VLOOKUP($A32,TBAranking!$A:$Z,4,FALSE),-1000)</f>
        <v>336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5"/>
        <v>281</v>
      </c>
      <c r="I32">
        <f t="shared" si="6"/>
        <v>-1000</v>
      </c>
      <c r="J32">
        <f t="shared" si="0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4">
        <v>4048</v>
      </c>
      <c r="R32" s="195">
        <v>250</v>
      </c>
      <c r="S32" s="164">
        <v>6335</v>
      </c>
      <c r="T32" s="196">
        <v>174</v>
      </c>
      <c r="U32" s="171">
        <v>6723</v>
      </c>
      <c r="V32" s="196">
        <v>299</v>
      </c>
      <c r="W32" s="164">
        <v>6153</v>
      </c>
      <c r="X32" s="196">
        <v>243</v>
      </c>
      <c r="Y32" s="171"/>
      <c r="Z32" s="171"/>
      <c r="AA32" s="164">
        <v>5556</v>
      </c>
      <c r="AB32" s="196">
        <v>335</v>
      </c>
    </row>
    <row r="33" spans="1:28" ht="15.75" thickBot="1">
      <c r="A33">
        <f>IF(EventTeam!$A:$A=0,"",EventTeam!$A:$A)</f>
        <v>4987</v>
      </c>
      <c r="B33" t="str">
        <f t="shared" si="1"/>
        <v>333</v>
      </c>
      <c r="C33" t="str">
        <f>IFERROR(VLOOKUP($A33,TBAranking!$A:$Z,4,FALSE),-1000)</f>
        <v>333</v>
      </c>
      <c r="D33">
        <f t="shared" si="12"/>
        <v>324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5"/>
        <v>-1000</v>
      </c>
      <c r="I33">
        <f t="shared" si="6"/>
        <v>-1000</v>
      </c>
      <c r="J33">
        <f t="shared" si="0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4">
        <v>4564</v>
      </c>
      <c r="R33" s="195">
        <v>378</v>
      </c>
      <c r="S33" s="164">
        <v>6691</v>
      </c>
      <c r="T33" s="197">
        <v>152</v>
      </c>
      <c r="U33" s="172">
        <v>7266</v>
      </c>
      <c r="V33" s="198">
        <v>247</v>
      </c>
      <c r="W33" s="164">
        <v>6172</v>
      </c>
      <c r="X33" s="197">
        <v>210</v>
      </c>
      <c r="Y33" s="171"/>
      <c r="Z33" s="171"/>
      <c r="AA33" s="164">
        <v>5735</v>
      </c>
      <c r="AB33" s="197">
        <v>402</v>
      </c>
    </row>
    <row r="34" spans="1:28">
      <c r="A34">
        <f>IF(EventTeam!$A:$A=0,"",EventTeam!$A:$A)</f>
        <v>5129</v>
      </c>
      <c r="B34" t="str">
        <f t="shared" si="1"/>
        <v>348</v>
      </c>
      <c r="C34" t="str">
        <f>IFERROR(VLOOKUP($A34,TBAranking!$A:$Z,4,FALSE),-1000)</f>
        <v>348</v>
      </c>
      <c r="D34">
        <f t="shared" si="12"/>
        <v>-1000</v>
      </c>
      <c r="E34">
        <f t="shared" si="2"/>
        <v>-1000</v>
      </c>
      <c r="F34">
        <f t="shared" si="3"/>
        <v>216</v>
      </c>
      <c r="G34">
        <f t="shared" si="4"/>
        <v>-1000</v>
      </c>
      <c r="H34">
        <f t="shared" si="5"/>
        <v>-1000</v>
      </c>
      <c r="I34">
        <f t="shared" si="6"/>
        <v>-1000</v>
      </c>
      <c r="J34">
        <f t="shared" si="0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4">
        <v>4905</v>
      </c>
      <c r="R34" s="195">
        <v>296</v>
      </c>
      <c r="S34" s="164">
        <v>6933</v>
      </c>
      <c r="T34" s="196">
        <v>277</v>
      </c>
      <c r="W34" s="164">
        <v>6201</v>
      </c>
      <c r="X34" s="196">
        <v>283</v>
      </c>
      <c r="Y34" s="171"/>
      <c r="Z34" s="171"/>
      <c r="AA34" s="164">
        <v>5752</v>
      </c>
      <c r="AB34" s="196">
        <v>257</v>
      </c>
    </row>
    <row r="35" spans="1:28">
      <c r="A35">
        <f>IF(EventTeam!$A:$A=0,"",EventTeam!$A:$A)</f>
        <v>5142</v>
      </c>
      <c r="B35" t="str">
        <f t="shared" si="1"/>
        <v>304</v>
      </c>
      <c r="C35" t="str">
        <f>IFERROR(VLOOKUP($A35,TBAranking!$A:$Z,4,FALSE),-1000)</f>
        <v>304</v>
      </c>
      <c r="D35">
        <f t="shared" si="12"/>
        <v>-1000</v>
      </c>
      <c r="E35">
        <f t="shared" si="2"/>
        <v>-1000</v>
      </c>
      <c r="F35">
        <f t="shared" si="3"/>
        <v>301</v>
      </c>
      <c r="G35">
        <f t="shared" si="4"/>
        <v>-1000</v>
      </c>
      <c r="H35">
        <f t="shared" si="5"/>
        <v>-1000</v>
      </c>
      <c r="I35">
        <f t="shared" si="6"/>
        <v>-1000</v>
      </c>
      <c r="J35">
        <f t="shared" si="0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4">
        <v>4987</v>
      </c>
      <c r="R35" s="195">
        <v>324</v>
      </c>
      <c r="S35" s="164">
        <v>7133</v>
      </c>
      <c r="T35" s="197">
        <v>201</v>
      </c>
      <c r="W35" s="164">
        <v>6224</v>
      </c>
      <c r="X35" s="197">
        <v>229</v>
      </c>
      <c r="Y35" s="171"/>
      <c r="Z35" s="171"/>
      <c r="AA35" s="164">
        <v>5962</v>
      </c>
      <c r="AB35" s="197">
        <v>265</v>
      </c>
    </row>
    <row r="36" spans="1:28" ht="15.75" thickBot="1">
      <c r="A36">
        <f>IF(EventTeam!$A:$A=0,"",EventTeam!$A:$A)</f>
        <v>5686</v>
      </c>
      <c r="B36" t="str">
        <f t="shared" si="1"/>
        <v>401</v>
      </c>
      <c r="C36" t="str">
        <f>IFERROR(VLOOKUP($A36,TBAranking!$A:$Z,4,FALSE),-1000)</f>
        <v>401</v>
      </c>
      <c r="D36">
        <f t="shared" si="12"/>
        <v>-1000</v>
      </c>
      <c r="E36">
        <f t="shared" si="2"/>
        <v>212</v>
      </c>
      <c r="F36">
        <f t="shared" si="3"/>
        <v>-1000</v>
      </c>
      <c r="G36">
        <f t="shared" si="4"/>
        <v>-1000</v>
      </c>
      <c r="H36">
        <f t="shared" si="5"/>
        <v>-1000</v>
      </c>
      <c r="I36">
        <f t="shared" si="6"/>
        <v>-1000</v>
      </c>
      <c r="J36">
        <f t="shared" si="0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4">
        <v>5491</v>
      </c>
      <c r="R36" s="195">
        <v>185</v>
      </c>
      <c r="S36" s="166">
        <v>7314</v>
      </c>
      <c r="T36" s="201">
        <v>119</v>
      </c>
      <c r="W36" s="164">
        <v>6301</v>
      </c>
      <c r="X36" s="196">
        <v>148</v>
      </c>
      <c r="Y36" s="171"/>
      <c r="Z36" s="171"/>
      <c r="AA36" s="164">
        <v>6324</v>
      </c>
      <c r="AB36" s="196">
        <v>376</v>
      </c>
    </row>
    <row r="37" spans="1:28">
      <c r="A37">
        <f>IF(EventTeam!$A:$A=0,"",EventTeam!$A:$A)</f>
        <v>5746</v>
      </c>
      <c r="B37" t="str">
        <f t="shared" si="1"/>
        <v>321</v>
      </c>
      <c r="C37" t="str">
        <f>IFERROR(VLOOKUP($A37,TBAranking!$A:$Z,4,FALSE),-1000)</f>
        <v>321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5"/>
        <v>316</v>
      </c>
      <c r="I37">
        <f t="shared" si="6"/>
        <v>-1000</v>
      </c>
      <c r="J37">
        <f t="shared" si="0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4">
        <v>5494</v>
      </c>
      <c r="R37" s="195">
        <v>226</v>
      </c>
      <c r="W37" s="164">
        <v>6328</v>
      </c>
      <c r="X37" s="197">
        <v>236</v>
      </c>
      <c r="Y37" s="171"/>
      <c r="Z37" s="171"/>
      <c r="AA37" s="164">
        <v>6335</v>
      </c>
      <c r="AB37" s="197">
        <v>236</v>
      </c>
    </row>
    <row r="38" spans="1:28">
      <c r="A38">
        <f>IF(EventTeam!$A:$A=0,"",EventTeam!$A:$A)</f>
        <v>6333</v>
      </c>
      <c r="B38" t="str">
        <f t="shared" si="1"/>
        <v>329</v>
      </c>
      <c r="C38" t="str">
        <f>IFERROR(VLOOKUP($A38,TBAranking!$A:$Z,4,FALSE),-1000)</f>
        <v>329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5"/>
        <v>-1000</v>
      </c>
      <c r="I38">
        <f t="shared" si="6"/>
        <v>-1000</v>
      </c>
      <c r="J38">
        <f t="shared" si="0"/>
        <v>-1000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4">
        <v>5735</v>
      </c>
      <c r="R38" s="195">
        <v>327</v>
      </c>
      <c r="W38" s="164">
        <v>6337</v>
      </c>
      <c r="X38" s="196">
        <v>229</v>
      </c>
      <c r="Y38" s="171"/>
      <c r="Z38" s="171"/>
      <c r="AA38" s="164">
        <v>6731</v>
      </c>
      <c r="AB38" s="196">
        <v>342</v>
      </c>
    </row>
    <row r="39" spans="1:28">
      <c r="A39">
        <f>IF(EventTeam!$A:$A=0,"",EventTeam!$A:$A)</f>
        <v>6346</v>
      </c>
      <c r="B39" t="str">
        <f t="shared" si="1"/>
        <v>396</v>
      </c>
      <c r="C39" t="str">
        <f>IFERROR(VLOOKUP($A39,TBAranking!$A:$Z,4,FALSE),-1000)</f>
        <v>396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5"/>
        <v>237</v>
      </c>
      <c r="I39">
        <f t="shared" si="6"/>
        <v>-1000</v>
      </c>
      <c r="J39">
        <f t="shared" si="0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4">
        <v>6329</v>
      </c>
      <c r="R39" s="195">
        <v>334</v>
      </c>
      <c r="W39" s="164">
        <v>6529</v>
      </c>
      <c r="X39" s="197">
        <v>200</v>
      </c>
      <c r="Y39" s="171"/>
      <c r="Z39" s="171"/>
      <c r="AA39" s="164">
        <v>6762</v>
      </c>
      <c r="AB39" s="197">
        <v>271</v>
      </c>
    </row>
    <row r="40" spans="1:28">
      <c r="A40">
        <f>IF(EventTeam!$A:$A=0,"",EventTeam!$A:$A)</f>
        <v>6811</v>
      </c>
      <c r="B40" t="str">
        <f t="shared" si="1"/>
        <v>287</v>
      </c>
      <c r="C40" t="str">
        <f>IFERROR(VLOOKUP($A40,TBAranking!$A:$Z,4,FALSE),-1000)</f>
        <v>287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5"/>
        <v>304</v>
      </c>
      <c r="I40">
        <f t="shared" si="6"/>
        <v>-1000</v>
      </c>
      <c r="J40">
        <f t="shared" si="0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4">
        <v>6723</v>
      </c>
      <c r="R40" s="195">
        <v>215</v>
      </c>
      <c r="W40" s="164">
        <v>6620</v>
      </c>
      <c r="X40" s="196">
        <v>199</v>
      </c>
      <c r="Y40" s="171"/>
      <c r="Z40" s="171"/>
      <c r="AA40" s="164">
        <v>6763</v>
      </c>
      <c r="AB40" s="196">
        <v>282</v>
      </c>
    </row>
    <row r="41" spans="1:28" ht="15.75" thickBot="1">
      <c r="A41">
        <f>IF(EventTeam!$A:$A=0,"",EventTeam!$A:$A)</f>
        <v>6812</v>
      </c>
      <c r="B41" t="str">
        <f t="shared" si="1"/>
        <v>278</v>
      </c>
      <c r="C41" t="str">
        <f>IFERROR(VLOOKUP($A41,TBAranking!$A:$Z,4,FALSE),-1000)</f>
        <v>278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5"/>
        <v>-1000</v>
      </c>
      <c r="I41">
        <f t="shared" si="6"/>
        <v>-1000</v>
      </c>
      <c r="J41">
        <f t="shared" si="0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4">
        <v>7164</v>
      </c>
      <c r="R41" s="195">
        <v>259</v>
      </c>
      <c r="W41" s="166">
        <v>6731</v>
      </c>
      <c r="X41" s="198">
        <v>199</v>
      </c>
      <c r="Y41" s="171"/>
      <c r="Z41" s="171"/>
      <c r="AA41" s="166">
        <v>7240</v>
      </c>
      <c r="AB41" s="198">
        <v>240</v>
      </c>
    </row>
    <row r="42" spans="1:28" ht="15.75" thickBot="1">
      <c r="A42">
        <f>IF(EventTeam!$A:$A=0,"",EventTeam!$A:$A)</f>
        <v>6895</v>
      </c>
      <c r="B42" t="str">
        <f t="shared" si="1"/>
        <v>279</v>
      </c>
      <c r="C42" t="str">
        <f>IFERROR(VLOOKUP($A42,TBAranking!$A:$Z,4,FALSE),-1000)</f>
        <v>279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5"/>
        <v>-1000</v>
      </c>
      <c r="I42">
        <f t="shared" si="6"/>
        <v>-1000</v>
      </c>
      <c r="J42">
        <f t="shared" si="0"/>
        <v>-1000</v>
      </c>
      <c r="K42">
        <f t="shared" si="7"/>
        <v>-1000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6">
        <v>7259</v>
      </c>
      <c r="R42" s="202">
        <v>311</v>
      </c>
    </row>
    <row r="43" spans="1:28">
      <c r="A43">
        <f>IF(EventTeam!$A:$A=0,"",EventTeam!$A:$A)</f>
        <v>7127</v>
      </c>
      <c r="B43" t="str">
        <f t="shared" si="1"/>
        <v>377</v>
      </c>
      <c r="C43" t="str">
        <f>IFERROR(VLOOKUP($A43,TBAranking!$A:$Z,4,FALSE),-1000)</f>
        <v>377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5"/>
        <v>300</v>
      </c>
      <c r="I43">
        <f t="shared" si="6"/>
        <v>-1000</v>
      </c>
      <c r="J43">
        <f t="shared" si="0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28">
      <c r="A44">
        <f>IF(EventTeam!$A:$A=0,"",EventTeam!$A:$A)</f>
        <v>7153</v>
      </c>
      <c r="B44" t="str">
        <f t="shared" si="1"/>
        <v>307</v>
      </c>
      <c r="C44" t="str">
        <f>IFERROR(VLOOKUP($A44,TBAranking!$A:$Z,4,FALSE),-1000)</f>
        <v>307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5"/>
        <v>307</v>
      </c>
      <c r="I44">
        <f t="shared" si="6"/>
        <v>-1000</v>
      </c>
      <c r="J44">
        <f t="shared" si="0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28">
      <c r="A45" t="str">
        <f>IF(EventTeam!$A:$A=0,"",EventTeam!$A:$A)</f>
        <v/>
      </c>
      <c r="B45">
        <f t="shared" si="1"/>
        <v>-1000</v>
      </c>
      <c r="C45">
        <f>IFERROR(VLOOKUP($A45,TBAranking!$A:$Z,4,FALSE),-1000)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5"/>
        <v>-1000</v>
      </c>
      <c r="I45">
        <f t="shared" si="6"/>
        <v>-1000</v>
      </c>
      <c r="J45">
        <f t="shared" si="0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28">
      <c r="A46" t="str">
        <f>IF(EventTeam!$A:$A=0,"",EventTeam!$A:$A)</f>
        <v/>
      </c>
      <c r="B46">
        <f t="shared" si="1"/>
        <v>-1000</v>
      </c>
      <c r="C46">
        <f>IFERROR(VLOOKUP($A46,TBAranking!$A:$Z,4,FALSE),-1000)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5"/>
        <v>-1000</v>
      </c>
      <c r="I46">
        <f t="shared" si="6"/>
        <v>-1000</v>
      </c>
      <c r="J46">
        <f t="shared" si="0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28">
      <c r="A47" t="str">
        <f>IF(EventTeam!$A:$A=0,"",EventTeam!$A:$A)</f>
        <v/>
      </c>
      <c r="B47">
        <f t="shared" si="1"/>
        <v>-1000</v>
      </c>
      <c r="C47">
        <f>IFERROR(VLOOKUP($A47,TBAranking!$A:$Z,4,FALSE),-1000)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5"/>
        <v>-1000</v>
      </c>
      <c r="I47">
        <f t="shared" si="6"/>
        <v>-1000</v>
      </c>
      <c r="J47">
        <f t="shared" si="0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28">
      <c r="A48" t="str">
        <f>IF(EventTeam!$A:$A=0,"",EventTeam!$A:$A)</f>
        <v/>
      </c>
      <c r="B48">
        <f t="shared" si="1"/>
        <v>-1000</v>
      </c>
      <c r="C48">
        <f>IFERROR(VLOOKUP($A48,TBAranking!$A:$Z,4,FALSE),-1000)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5"/>
        <v>-1000</v>
      </c>
      <c r="I48">
        <f t="shared" si="6"/>
        <v>-1000</v>
      </c>
      <c r="J48">
        <f t="shared" si="0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IFERROR(VLOOKUP($A49,TBAranking!$A:$Z,4,FALSE),-1000)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5"/>
        <v>-1000</v>
      </c>
      <c r="I49">
        <f t="shared" si="6"/>
        <v>-1000</v>
      </c>
      <c r="J49">
        <f t="shared" si="0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IFERROR(VLOOKUP($A50,TBAranking!$A:$Z,4,FALSE),-1000)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5"/>
        <v>-1000</v>
      </c>
      <c r="I50">
        <f t="shared" si="6"/>
        <v>-1000</v>
      </c>
      <c r="J50">
        <f t="shared" si="0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IFERROR(VLOOKUP($A51,TBAranking!$A:$Z,4,FALSE),-1000)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5"/>
        <v>-1000</v>
      </c>
      <c r="I51">
        <f t="shared" si="6"/>
        <v>-1000</v>
      </c>
      <c r="J51">
        <f t="shared" si="0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IFERROR(VLOOKUP($A52,TBAranking!$A:$Z,4,FALSE),-1000)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5"/>
        <v>-1000</v>
      </c>
      <c r="I52">
        <f t="shared" si="6"/>
        <v>-1000</v>
      </c>
      <c r="J52">
        <f t="shared" si="0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IFERROR(VLOOKUP($A53,TBAranking!$A:$Z,4,FALSE),-1000)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5"/>
        <v>-1000</v>
      </c>
      <c r="I53">
        <f t="shared" si="6"/>
        <v>-1000</v>
      </c>
      <c r="J53">
        <f t="shared" si="0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IFERROR(VLOOKUP($A54,TBAranking!$A:$Z,4,FALSE),-1000)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5"/>
        <v>-1000</v>
      </c>
      <c r="I54">
        <f t="shared" si="6"/>
        <v>-1000</v>
      </c>
      <c r="J54">
        <f t="shared" si="0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IFERROR(VLOOKUP($A55,TBAranking!$A:$Z,4,FALSE),-1000)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5"/>
        <v>-1000</v>
      </c>
      <c r="I55">
        <f t="shared" si="6"/>
        <v>-1000</v>
      </c>
      <c r="J55">
        <f t="shared" si="0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IFERROR(VLOOKUP($A56,TBAranking!$A:$Z,4,FALSE),-1000)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5"/>
        <v>-1000</v>
      </c>
      <c r="I56">
        <f t="shared" si="6"/>
        <v>-1000</v>
      </c>
      <c r="J56">
        <f t="shared" si="0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IFERROR(VLOOKUP($A57,TBAranking!$A:$Z,4,FALSE),-1000)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5"/>
        <v>-1000</v>
      </c>
      <c r="I57">
        <f t="shared" si="6"/>
        <v>-1000</v>
      </c>
      <c r="J57">
        <f t="shared" si="0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IFERROR(VLOOKUP($A58,TBAranking!$A:$Z,4,FALSE),-1000)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5"/>
        <v>-1000</v>
      </c>
      <c r="I58">
        <f t="shared" si="6"/>
        <v>-1000</v>
      </c>
      <c r="J58">
        <f t="shared" si="0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IFERROR(VLOOKUP($A59,TBAranking!$A:$Z,4,FALSE),-1000)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5"/>
        <v>-1000</v>
      </c>
      <c r="I59">
        <f t="shared" si="6"/>
        <v>-1000</v>
      </c>
      <c r="J59">
        <f t="shared" si="0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IFERROR(VLOOKUP($A60,TBAranking!$A:$Z,4,FALSE),-1000)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5"/>
        <v>-1000</v>
      </c>
      <c r="I60">
        <f t="shared" si="6"/>
        <v>-1000</v>
      </c>
      <c r="J60">
        <f t="shared" si="0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IFERROR(VLOOKUP($A61,TBAranking!$A:$Z,4,FALSE),-1000)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5"/>
        <v>-1000</v>
      </c>
      <c r="I61">
        <f t="shared" si="6"/>
        <v>-1000</v>
      </c>
      <c r="J61">
        <f t="shared" si="0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IFERROR(VLOOKUP($A62,TBAranking!$A:$Z,4,FALSE),-1000)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5"/>
        <v>-1000</v>
      </c>
      <c r="I62">
        <f t="shared" si="6"/>
        <v>-1000</v>
      </c>
      <c r="J62">
        <f t="shared" si="0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IFERROR(VLOOKUP($A63,TBAranking!$A:$Z,4,FALSE),-1000)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5"/>
        <v>-1000</v>
      </c>
      <c r="I63">
        <f t="shared" si="6"/>
        <v>-1000</v>
      </c>
      <c r="J63">
        <f t="shared" si="0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IFERROR(VLOOKUP($A64,TBAranking!$A:$Z,4,FALSE),-1000)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5"/>
        <v>-1000</v>
      </c>
      <c r="I64">
        <f t="shared" si="6"/>
        <v>-1000</v>
      </c>
      <c r="J64">
        <f t="shared" si="0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IFERROR(VLOOKUP($A65,TBAranking!$A:$Z,4,FALSE),-1000)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5"/>
        <v>-1000</v>
      </c>
      <c r="I65">
        <f t="shared" si="6"/>
        <v>-1000</v>
      </c>
      <c r="J65">
        <f t="shared" si="0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IFERROR(VLOOKUP($A66,TBAranking!$A:$Z,4,FALSE),-1000)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5"/>
        <v>-1000</v>
      </c>
      <c r="I66">
        <f t="shared" si="6"/>
        <v>-1000</v>
      </c>
      <c r="J66">
        <f t="shared" ref="J66:J100" si="13">IFERROR(VLOOKUP($A66,$AC:$AD,2,FALSE),-1000)</f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4">IF($C67&lt;&gt;-1000,$C67, MAX($D67:$O67))</f>
        <v>-1000</v>
      </c>
      <c r="C67">
        <f>IFERROR(VLOOKUP($A67,TBAranking!$A:$Z,4,FALSE),-1000)</f>
        <v>-1000</v>
      </c>
      <c r="D67">
        <f t="shared" si="12"/>
        <v>-1000</v>
      </c>
      <c r="E67">
        <f t="shared" ref="E67:E100" si="15">IFERROR(VLOOKUP($A67,$S:$T,2,FALSE),-1000)</f>
        <v>-1000</v>
      </c>
      <c r="F67">
        <f t="shared" ref="F67:F100" si="16">IFERROR(VLOOKUP($A67,$U:$V,2,FALSE),-1000)</f>
        <v>-1000</v>
      </c>
      <c r="G67">
        <f t="shared" ref="G67:G100" si="17">IFERROR(VLOOKUP($A67,$W:$X,2,FALSE),-1000)</f>
        <v>-1000</v>
      </c>
      <c r="H67">
        <f t="shared" ref="H67:H100" si="18">IFERROR(VLOOKUP($A67,$Y:$Z,2,FALSE),-1000)</f>
        <v>-1000</v>
      </c>
      <c r="I67">
        <f t="shared" ref="I67:I100" si="19">IFERROR(VLOOKUP($A67,$AA:$AB,2,FALSE),-1000)</f>
        <v>-1000</v>
      </c>
      <c r="J67">
        <f t="shared" si="13"/>
        <v>-1000</v>
      </c>
      <c r="K67">
        <f t="shared" ref="K67:K100" si="20">IFERROR(VLOOKUP($A67,$AE:$AF,2,FALSE),-1000)</f>
        <v>-1000</v>
      </c>
      <c r="L67">
        <f t="shared" ref="L67:L100" si="21">IFERROR(VLOOKUP($A67,$AG:$AH,2,FALSE),-1000)</f>
        <v>-1000</v>
      </c>
      <c r="M67">
        <f t="shared" ref="M67:M100" si="22">IFERROR(VLOOKUP($A67,$AI:$AJ,2,FALSE),-1000)</f>
        <v>-1000</v>
      </c>
      <c r="N67">
        <f t="shared" ref="N67:N100" si="23">IFERROR(VLOOKUP($A67,$AK:$AL,2,FALSE),-1000)</f>
        <v>-1000</v>
      </c>
      <c r="O67">
        <f t="shared" ref="O67:O100" si="24">IFERROR(VLOOKUP($A67,$AM:$AN,2,FALSE),-1000)</f>
        <v>-1000</v>
      </c>
    </row>
    <row r="68" spans="1:15">
      <c r="A68" t="str">
        <f>IF(EventTeam!$A:$A=0,"",EventTeam!$A:$A)</f>
        <v/>
      </c>
      <c r="B68">
        <f t="shared" si="14"/>
        <v>-1000</v>
      </c>
      <c r="C68">
        <f>IFERROR(VLOOKUP($A68,TBAranking!$A:$Z,4,FALSE),-1000)</f>
        <v>-1000</v>
      </c>
      <c r="D68">
        <f t="shared" ref="D68:D100" si="25">IFERROR(VLOOKUP($A68,$Q:$R,2,FALSE),-1000)</f>
        <v>-1000</v>
      </c>
      <c r="E68">
        <f t="shared" si="15"/>
        <v>-1000</v>
      </c>
      <c r="F68">
        <f t="shared" si="16"/>
        <v>-1000</v>
      </c>
      <c r="G68">
        <f t="shared" si="17"/>
        <v>-1000</v>
      </c>
      <c r="H68">
        <f t="shared" si="18"/>
        <v>-1000</v>
      </c>
      <c r="I68">
        <f t="shared" si="19"/>
        <v>-1000</v>
      </c>
      <c r="J68">
        <f t="shared" si="13"/>
        <v>-1000</v>
      </c>
      <c r="K68">
        <f t="shared" si="20"/>
        <v>-1000</v>
      </c>
      <c r="L68">
        <f t="shared" si="21"/>
        <v>-1000</v>
      </c>
      <c r="M68">
        <f t="shared" si="22"/>
        <v>-1000</v>
      </c>
      <c r="N68">
        <f t="shared" si="23"/>
        <v>-1000</v>
      </c>
      <c r="O68">
        <f t="shared" si="24"/>
        <v>-1000</v>
      </c>
    </row>
    <row r="69" spans="1:15">
      <c r="A69" t="str">
        <f>IF(EventTeam!$A:$A=0,"",EventTeam!$A:$A)</f>
        <v/>
      </c>
      <c r="B69">
        <f t="shared" si="14"/>
        <v>-1000</v>
      </c>
      <c r="C69">
        <f>IFERROR(VLOOKUP($A69,TBAranking!$A:$Z,4,FALSE),-1000)</f>
        <v>-1000</v>
      </c>
      <c r="D69">
        <f t="shared" si="25"/>
        <v>-1000</v>
      </c>
      <c r="E69">
        <f t="shared" si="15"/>
        <v>-1000</v>
      </c>
      <c r="F69">
        <f t="shared" si="16"/>
        <v>-1000</v>
      </c>
      <c r="G69">
        <f t="shared" si="17"/>
        <v>-1000</v>
      </c>
      <c r="H69">
        <f t="shared" si="18"/>
        <v>-1000</v>
      </c>
      <c r="I69">
        <f t="shared" si="19"/>
        <v>-1000</v>
      </c>
      <c r="J69">
        <f t="shared" si="13"/>
        <v>-1000</v>
      </c>
      <c r="K69">
        <f t="shared" si="20"/>
        <v>-1000</v>
      </c>
      <c r="L69">
        <f t="shared" si="21"/>
        <v>-1000</v>
      </c>
      <c r="M69">
        <f t="shared" si="22"/>
        <v>-1000</v>
      </c>
      <c r="N69">
        <f t="shared" si="23"/>
        <v>-1000</v>
      </c>
      <c r="O69">
        <f t="shared" si="24"/>
        <v>-1000</v>
      </c>
    </row>
    <row r="70" spans="1:15">
      <c r="A70" t="str">
        <f>IF(EventTeam!$A:$A=0,"",EventTeam!$A:$A)</f>
        <v/>
      </c>
      <c r="B70">
        <f t="shared" si="14"/>
        <v>-1000</v>
      </c>
      <c r="C70">
        <f>IFERROR(VLOOKUP($A70,TBAranking!$A:$Z,4,FALSE),-1000)</f>
        <v>-1000</v>
      </c>
      <c r="D70">
        <f t="shared" si="25"/>
        <v>-1000</v>
      </c>
      <c r="E70">
        <f t="shared" si="15"/>
        <v>-1000</v>
      </c>
      <c r="F70">
        <f t="shared" si="16"/>
        <v>-1000</v>
      </c>
      <c r="G70">
        <f t="shared" si="17"/>
        <v>-1000</v>
      </c>
      <c r="H70">
        <f t="shared" si="18"/>
        <v>-1000</v>
      </c>
      <c r="I70">
        <f t="shared" si="19"/>
        <v>-1000</v>
      </c>
      <c r="J70">
        <f t="shared" si="13"/>
        <v>-1000</v>
      </c>
      <c r="K70">
        <f t="shared" si="20"/>
        <v>-1000</v>
      </c>
      <c r="L70">
        <f t="shared" si="21"/>
        <v>-1000</v>
      </c>
      <c r="M70">
        <f t="shared" si="22"/>
        <v>-1000</v>
      </c>
      <c r="N70">
        <f t="shared" si="23"/>
        <v>-1000</v>
      </c>
      <c r="O70">
        <f t="shared" si="24"/>
        <v>-1000</v>
      </c>
    </row>
    <row r="71" spans="1:15">
      <c r="A71" t="str">
        <f>IF(EventTeam!$A:$A=0,"",EventTeam!$A:$A)</f>
        <v/>
      </c>
      <c r="B71">
        <f t="shared" si="14"/>
        <v>-1000</v>
      </c>
      <c r="C71">
        <f>IFERROR(VLOOKUP($A71,TBAranking!$A:$Z,4,FALSE),-1000)</f>
        <v>-1000</v>
      </c>
      <c r="D71">
        <f t="shared" si="25"/>
        <v>-1000</v>
      </c>
      <c r="E71">
        <f t="shared" si="15"/>
        <v>-1000</v>
      </c>
      <c r="F71">
        <f t="shared" si="16"/>
        <v>-1000</v>
      </c>
      <c r="G71">
        <f t="shared" si="17"/>
        <v>-1000</v>
      </c>
      <c r="H71">
        <f t="shared" si="18"/>
        <v>-1000</v>
      </c>
      <c r="I71">
        <f t="shared" si="19"/>
        <v>-1000</v>
      </c>
      <c r="J71">
        <f t="shared" si="13"/>
        <v>-1000</v>
      </c>
      <c r="K71">
        <f t="shared" si="20"/>
        <v>-1000</v>
      </c>
      <c r="L71">
        <f t="shared" si="21"/>
        <v>-1000</v>
      </c>
      <c r="M71">
        <f t="shared" si="22"/>
        <v>-1000</v>
      </c>
      <c r="N71">
        <f t="shared" si="23"/>
        <v>-1000</v>
      </c>
      <c r="O71">
        <f t="shared" si="24"/>
        <v>-1000</v>
      </c>
    </row>
    <row r="72" spans="1:15">
      <c r="A72" t="str">
        <f>IF(EventTeam!$A:$A=0,"",EventTeam!$A:$A)</f>
        <v/>
      </c>
      <c r="B72">
        <f t="shared" si="14"/>
        <v>-1000</v>
      </c>
      <c r="C72">
        <f>IFERROR(VLOOKUP($A72,TBAranking!$A:$Z,4,FALSE),-1000)</f>
        <v>-1000</v>
      </c>
      <c r="D72">
        <f t="shared" si="25"/>
        <v>-1000</v>
      </c>
      <c r="E72">
        <f t="shared" si="15"/>
        <v>-1000</v>
      </c>
      <c r="F72">
        <f t="shared" si="16"/>
        <v>-1000</v>
      </c>
      <c r="G72">
        <f t="shared" si="17"/>
        <v>-1000</v>
      </c>
      <c r="H72">
        <f t="shared" si="18"/>
        <v>-1000</v>
      </c>
      <c r="I72">
        <f t="shared" si="19"/>
        <v>-1000</v>
      </c>
      <c r="J72">
        <f t="shared" si="13"/>
        <v>-1000</v>
      </c>
      <c r="K72">
        <f t="shared" si="20"/>
        <v>-1000</v>
      </c>
      <c r="L72">
        <f t="shared" si="21"/>
        <v>-1000</v>
      </c>
      <c r="M72">
        <f t="shared" si="22"/>
        <v>-1000</v>
      </c>
      <c r="N72">
        <f t="shared" si="23"/>
        <v>-1000</v>
      </c>
      <c r="O72">
        <f t="shared" si="24"/>
        <v>-1000</v>
      </c>
    </row>
    <row r="73" spans="1:15">
      <c r="A73" t="str">
        <f>IF(EventTeam!$A:$A=0,"",EventTeam!$A:$A)</f>
        <v/>
      </c>
      <c r="B73">
        <f t="shared" si="14"/>
        <v>-1000</v>
      </c>
      <c r="C73">
        <f>IFERROR(VLOOKUP($A73,TBAranking!$A:$Z,4,FALSE),-1000)</f>
        <v>-1000</v>
      </c>
      <c r="D73">
        <f t="shared" si="25"/>
        <v>-1000</v>
      </c>
      <c r="E73">
        <f t="shared" si="15"/>
        <v>-1000</v>
      </c>
      <c r="F73">
        <f t="shared" si="16"/>
        <v>-1000</v>
      </c>
      <c r="G73">
        <f t="shared" si="17"/>
        <v>-1000</v>
      </c>
      <c r="H73">
        <f t="shared" si="18"/>
        <v>-1000</v>
      </c>
      <c r="I73">
        <f t="shared" si="19"/>
        <v>-1000</v>
      </c>
      <c r="J73">
        <f t="shared" si="13"/>
        <v>-1000</v>
      </c>
      <c r="K73">
        <f t="shared" si="20"/>
        <v>-1000</v>
      </c>
      <c r="L73">
        <f t="shared" si="21"/>
        <v>-1000</v>
      </c>
      <c r="M73">
        <f t="shared" si="22"/>
        <v>-1000</v>
      </c>
      <c r="N73">
        <f t="shared" si="23"/>
        <v>-1000</v>
      </c>
      <c r="O73">
        <f t="shared" si="24"/>
        <v>-1000</v>
      </c>
    </row>
    <row r="74" spans="1:15">
      <c r="A74" t="str">
        <f>IF(EventTeam!$A:$A=0,"",EventTeam!$A:$A)</f>
        <v/>
      </c>
      <c r="B74">
        <f t="shared" si="14"/>
        <v>-1000</v>
      </c>
      <c r="C74">
        <f>IFERROR(VLOOKUP($A74,TBAranking!$A:$Z,4,FALSE),-1000)</f>
        <v>-1000</v>
      </c>
      <c r="D74">
        <f t="shared" si="25"/>
        <v>-1000</v>
      </c>
      <c r="E74">
        <f t="shared" si="15"/>
        <v>-1000</v>
      </c>
      <c r="F74">
        <f t="shared" si="16"/>
        <v>-1000</v>
      </c>
      <c r="G74">
        <f t="shared" si="17"/>
        <v>-1000</v>
      </c>
      <c r="H74">
        <f t="shared" si="18"/>
        <v>-1000</v>
      </c>
      <c r="I74">
        <f t="shared" si="19"/>
        <v>-1000</v>
      </c>
      <c r="J74">
        <f t="shared" si="13"/>
        <v>-1000</v>
      </c>
      <c r="K74">
        <f t="shared" si="20"/>
        <v>-1000</v>
      </c>
      <c r="L74">
        <f t="shared" si="21"/>
        <v>-1000</v>
      </c>
      <c r="M74">
        <f t="shared" si="22"/>
        <v>-1000</v>
      </c>
      <c r="N74">
        <f t="shared" si="23"/>
        <v>-1000</v>
      </c>
      <c r="O74">
        <f t="shared" si="24"/>
        <v>-1000</v>
      </c>
    </row>
    <row r="75" spans="1:15">
      <c r="A75" t="str">
        <f>IF(EventTeam!$A:$A=0,"",EventTeam!$A:$A)</f>
        <v/>
      </c>
      <c r="B75">
        <f t="shared" si="14"/>
        <v>-1000</v>
      </c>
      <c r="C75">
        <f>IFERROR(VLOOKUP($A75,TBAranking!$A:$Z,4,FALSE),-1000)</f>
        <v>-1000</v>
      </c>
      <c r="D75">
        <f t="shared" si="25"/>
        <v>-1000</v>
      </c>
      <c r="E75">
        <f t="shared" si="15"/>
        <v>-1000</v>
      </c>
      <c r="F75">
        <f t="shared" si="16"/>
        <v>-1000</v>
      </c>
      <c r="G75">
        <f t="shared" si="17"/>
        <v>-1000</v>
      </c>
      <c r="H75">
        <f t="shared" si="18"/>
        <v>-1000</v>
      </c>
      <c r="I75">
        <f t="shared" si="19"/>
        <v>-1000</v>
      </c>
      <c r="J75">
        <f t="shared" si="13"/>
        <v>-1000</v>
      </c>
      <c r="K75">
        <f t="shared" si="20"/>
        <v>-1000</v>
      </c>
      <c r="L75">
        <f t="shared" si="21"/>
        <v>-1000</v>
      </c>
      <c r="M75">
        <f t="shared" si="22"/>
        <v>-1000</v>
      </c>
      <c r="N75">
        <f t="shared" si="23"/>
        <v>-1000</v>
      </c>
      <c r="O75">
        <f t="shared" si="24"/>
        <v>-1000</v>
      </c>
    </row>
    <row r="76" spans="1:15">
      <c r="A76" t="str">
        <f>IF(EventTeam!$A:$A=0,"",EventTeam!$A:$A)</f>
        <v/>
      </c>
      <c r="B76">
        <f t="shared" si="14"/>
        <v>-1000</v>
      </c>
      <c r="C76">
        <f>IFERROR(VLOOKUP($A76,TBAranking!$A:$Z,4,FALSE),-1000)</f>
        <v>-1000</v>
      </c>
      <c r="D76">
        <f t="shared" si="25"/>
        <v>-1000</v>
      </c>
      <c r="E76">
        <f t="shared" si="15"/>
        <v>-1000</v>
      </c>
      <c r="F76">
        <f t="shared" si="16"/>
        <v>-1000</v>
      </c>
      <c r="G76">
        <f t="shared" si="17"/>
        <v>-1000</v>
      </c>
      <c r="H76">
        <f t="shared" si="18"/>
        <v>-1000</v>
      </c>
      <c r="I76">
        <f t="shared" si="19"/>
        <v>-1000</v>
      </c>
      <c r="J76">
        <f t="shared" si="13"/>
        <v>-1000</v>
      </c>
      <c r="K76">
        <f t="shared" si="20"/>
        <v>-1000</v>
      </c>
      <c r="L76">
        <f t="shared" si="21"/>
        <v>-1000</v>
      </c>
      <c r="M76">
        <f t="shared" si="22"/>
        <v>-1000</v>
      </c>
      <c r="N76">
        <f t="shared" si="23"/>
        <v>-1000</v>
      </c>
      <c r="O76">
        <f t="shared" si="24"/>
        <v>-1000</v>
      </c>
    </row>
    <row r="77" spans="1:15">
      <c r="A77" t="str">
        <f>IF(EventTeam!$A:$A=0,"",EventTeam!$A:$A)</f>
        <v/>
      </c>
      <c r="B77">
        <f t="shared" si="14"/>
        <v>-1000</v>
      </c>
      <c r="C77">
        <f>IFERROR(VLOOKUP($A77,TBAranking!$A:$Z,4,FALSE),-1000)</f>
        <v>-1000</v>
      </c>
      <c r="D77">
        <f t="shared" si="25"/>
        <v>-1000</v>
      </c>
      <c r="E77">
        <f t="shared" si="15"/>
        <v>-1000</v>
      </c>
      <c r="F77">
        <f t="shared" si="16"/>
        <v>-1000</v>
      </c>
      <c r="G77">
        <f t="shared" si="17"/>
        <v>-1000</v>
      </c>
      <c r="H77">
        <f t="shared" si="18"/>
        <v>-1000</v>
      </c>
      <c r="I77">
        <f t="shared" si="19"/>
        <v>-1000</v>
      </c>
      <c r="J77">
        <f t="shared" si="13"/>
        <v>-1000</v>
      </c>
      <c r="K77">
        <f t="shared" si="20"/>
        <v>-1000</v>
      </c>
      <c r="L77">
        <f t="shared" si="21"/>
        <v>-1000</v>
      </c>
      <c r="M77">
        <f t="shared" si="22"/>
        <v>-1000</v>
      </c>
      <c r="N77">
        <f t="shared" si="23"/>
        <v>-1000</v>
      </c>
      <c r="O77">
        <f t="shared" si="24"/>
        <v>-1000</v>
      </c>
    </row>
    <row r="78" spans="1:15">
      <c r="A78" t="str">
        <f>IF(EventTeam!$A:$A=0,"",EventTeam!$A:$A)</f>
        <v/>
      </c>
      <c r="B78">
        <f t="shared" si="14"/>
        <v>-1000</v>
      </c>
      <c r="C78">
        <f>IFERROR(VLOOKUP($A78,TBAranking!$A:$Z,4,FALSE),-1000)</f>
        <v>-1000</v>
      </c>
      <c r="D78">
        <f t="shared" si="25"/>
        <v>-1000</v>
      </c>
      <c r="E78">
        <f t="shared" si="15"/>
        <v>-1000</v>
      </c>
      <c r="F78">
        <f t="shared" si="16"/>
        <v>-1000</v>
      </c>
      <c r="G78">
        <f t="shared" si="17"/>
        <v>-1000</v>
      </c>
      <c r="H78">
        <f t="shared" si="18"/>
        <v>-1000</v>
      </c>
      <c r="I78">
        <f t="shared" si="19"/>
        <v>-1000</v>
      </c>
      <c r="J78">
        <f t="shared" si="13"/>
        <v>-1000</v>
      </c>
      <c r="K78">
        <f t="shared" si="20"/>
        <v>-1000</v>
      </c>
      <c r="L78">
        <f t="shared" si="21"/>
        <v>-1000</v>
      </c>
      <c r="M78">
        <f t="shared" si="22"/>
        <v>-1000</v>
      </c>
      <c r="N78">
        <f t="shared" si="23"/>
        <v>-1000</v>
      </c>
      <c r="O78">
        <f t="shared" si="24"/>
        <v>-1000</v>
      </c>
    </row>
    <row r="79" spans="1:15">
      <c r="A79" t="str">
        <f>IF(EventTeam!$A:$A=0,"",EventTeam!$A:$A)</f>
        <v/>
      </c>
      <c r="B79">
        <f t="shared" si="14"/>
        <v>-1000</v>
      </c>
      <c r="C79">
        <f>IFERROR(VLOOKUP($A79,TBAranking!$A:$Z,4,FALSE),-1000)</f>
        <v>-1000</v>
      </c>
      <c r="D79">
        <f t="shared" si="25"/>
        <v>-1000</v>
      </c>
      <c r="E79">
        <f t="shared" si="15"/>
        <v>-1000</v>
      </c>
      <c r="F79">
        <f t="shared" si="16"/>
        <v>-1000</v>
      </c>
      <c r="G79">
        <f t="shared" si="17"/>
        <v>-1000</v>
      </c>
      <c r="H79">
        <f t="shared" si="18"/>
        <v>-1000</v>
      </c>
      <c r="I79">
        <f t="shared" si="19"/>
        <v>-1000</v>
      </c>
      <c r="J79">
        <f t="shared" si="13"/>
        <v>-1000</v>
      </c>
      <c r="K79">
        <f t="shared" si="20"/>
        <v>-1000</v>
      </c>
      <c r="L79">
        <f t="shared" si="21"/>
        <v>-1000</v>
      </c>
      <c r="M79">
        <f t="shared" si="22"/>
        <v>-1000</v>
      </c>
      <c r="N79">
        <f t="shared" si="23"/>
        <v>-1000</v>
      </c>
      <c r="O79">
        <f t="shared" si="24"/>
        <v>-1000</v>
      </c>
    </row>
    <row r="80" spans="1:15">
      <c r="A80" t="str">
        <f>IF(EventTeam!$A:$A=0,"",EventTeam!$A:$A)</f>
        <v/>
      </c>
      <c r="B80">
        <f t="shared" si="14"/>
        <v>-1000</v>
      </c>
      <c r="C80">
        <f>IFERROR(VLOOKUP($A80,TBAranking!$A:$Z,4,FALSE),-1000)</f>
        <v>-1000</v>
      </c>
      <c r="D80">
        <f t="shared" si="25"/>
        <v>-1000</v>
      </c>
      <c r="E80">
        <f t="shared" si="15"/>
        <v>-1000</v>
      </c>
      <c r="F80">
        <f t="shared" si="16"/>
        <v>-1000</v>
      </c>
      <c r="G80">
        <f t="shared" si="17"/>
        <v>-1000</v>
      </c>
      <c r="H80">
        <f t="shared" si="18"/>
        <v>-1000</v>
      </c>
      <c r="I80">
        <f t="shared" si="19"/>
        <v>-1000</v>
      </c>
      <c r="J80">
        <f t="shared" si="13"/>
        <v>-1000</v>
      </c>
      <c r="K80">
        <f t="shared" si="20"/>
        <v>-1000</v>
      </c>
      <c r="L80">
        <f t="shared" si="21"/>
        <v>-1000</v>
      </c>
      <c r="M80">
        <f t="shared" si="22"/>
        <v>-1000</v>
      </c>
      <c r="N80">
        <f t="shared" si="23"/>
        <v>-1000</v>
      </c>
      <c r="O80">
        <f t="shared" si="24"/>
        <v>-1000</v>
      </c>
    </row>
    <row r="81" spans="1:15">
      <c r="A81" t="str">
        <f>IF(EventTeam!$A:$A=0,"",EventTeam!$A:$A)</f>
        <v/>
      </c>
      <c r="B81">
        <f t="shared" si="14"/>
        <v>-1000</v>
      </c>
      <c r="C81">
        <f>IFERROR(VLOOKUP($A81,TBAranking!$A:$Z,4,FALSE),-1000)</f>
        <v>-1000</v>
      </c>
      <c r="D81">
        <f t="shared" si="25"/>
        <v>-1000</v>
      </c>
      <c r="E81">
        <f t="shared" si="15"/>
        <v>-1000</v>
      </c>
      <c r="F81">
        <f t="shared" si="16"/>
        <v>-1000</v>
      </c>
      <c r="G81">
        <f t="shared" si="17"/>
        <v>-1000</v>
      </c>
      <c r="H81">
        <f t="shared" si="18"/>
        <v>-1000</v>
      </c>
      <c r="I81">
        <f t="shared" si="19"/>
        <v>-1000</v>
      </c>
      <c r="J81">
        <f t="shared" si="13"/>
        <v>-1000</v>
      </c>
      <c r="K81">
        <f t="shared" si="20"/>
        <v>-1000</v>
      </c>
      <c r="L81">
        <f t="shared" si="21"/>
        <v>-1000</v>
      </c>
      <c r="M81">
        <f t="shared" si="22"/>
        <v>-1000</v>
      </c>
      <c r="N81">
        <f t="shared" si="23"/>
        <v>-1000</v>
      </c>
      <c r="O81">
        <f t="shared" si="24"/>
        <v>-1000</v>
      </c>
    </row>
    <row r="82" spans="1:15">
      <c r="A82" t="str">
        <f>IF(EventTeam!$A:$A=0,"",EventTeam!$A:$A)</f>
        <v/>
      </c>
      <c r="B82">
        <f t="shared" si="14"/>
        <v>-1000</v>
      </c>
      <c r="C82">
        <f>IFERROR(VLOOKUP($A82,TBAranking!$A:$Z,4,FALSE),-1000)</f>
        <v>-1000</v>
      </c>
      <c r="D82">
        <f t="shared" si="25"/>
        <v>-1000</v>
      </c>
      <c r="E82">
        <f t="shared" si="15"/>
        <v>-1000</v>
      </c>
      <c r="F82">
        <f t="shared" si="16"/>
        <v>-1000</v>
      </c>
      <c r="G82">
        <f t="shared" si="17"/>
        <v>-1000</v>
      </c>
      <c r="H82">
        <f t="shared" si="18"/>
        <v>-1000</v>
      </c>
      <c r="I82">
        <f t="shared" si="19"/>
        <v>-1000</v>
      </c>
      <c r="J82">
        <f t="shared" si="13"/>
        <v>-1000</v>
      </c>
      <c r="K82">
        <f t="shared" si="20"/>
        <v>-1000</v>
      </c>
      <c r="L82">
        <f t="shared" si="21"/>
        <v>-1000</v>
      </c>
      <c r="M82">
        <f t="shared" si="22"/>
        <v>-1000</v>
      </c>
      <c r="N82">
        <f t="shared" si="23"/>
        <v>-1000</v>
      </c>
      <c r="O82">
        <f t="shared" si="24"/>
        <v>-1000</v>
      </c>
    </row>
    <row r="83" spans="1:15">
      <c r="A83" t="str">
        <f>IF(EventTeam!$A:$A=0,"",EventTeam!$A:$A)</f>
        <v/>
      </c>
      <c r="B83">
        <f t="shared" si="14"/>
        <v>-1000</v>
      </c>
      <c r="C83">
        <f>IFERROR(VLOOKUP($A83,TBAranking!$A:$Z,4,FALSE),-1000)</f>
        <v>-1000</v>
      </c>
      <c r="D83">
        <f t="shared" si="25"/>
        <v>-1000</v>
      </c>
      <c r="E83">
        <f t="shared" si="15"/>
        <v>-1000</v>
      </c>
      <c r="F83">
        <f t="shared" si="16"/>
        <v>-1000</v>
      </c>
      <c r="G83">
        <f t="shared" si="17"/>
        <v>-1000</v>
      </c>
      <c r="H83">
        <f t="shared" si="18"/>
        <v>-1000</v>
      </c>
      <c r="I83">
        <f t="shared" si="19"/>
        <v>-1000</v>
      </c>
      <c r="J83">
        <f t="shared" si="13"/>
        <v>-1000</v>
      </c>
      <c r="K83">
        <f t="shared" si="20"/>
        <v>-1000</v>
      </c>
      <c r="L83">
        <f t="shared" si="21"/>
        <v>-1000</v>
      </c>
      <c r="M83">
        <f t="shared" si="22"/>
        <v>-1000</v>
      </c>
      <c r="N83">
        <f t="shared" si="23"/>
        <v>-1000</v>
      </c>
      <c r="O83">
        <f t="shared" si="24"/>
        <v>-1000</v>
      </c>
    </row>
    <row r="84" spans="1:15">
      <c r="A84" t="str">
        <f>IF(EventTeam!$A:$A=0,"",EventTeam!$A:$A)</f>
        <v/>
      </c>
      <c r="B84">
        <f t="shared" si="14"/>
        <v>-1000</v>
      </c>
      <c r="C84">
        <f>IFERROR(VLOOKUP($A84,TBAranking!$A:$Z,4,FALSE),-1000)</f>
        <v>-1000</v>
      </c>
      <c r="D84">
        <f t="shared" si="25"/>
        <v>-1000</v>
      </c>
      <c r="E84">
        <f t="shared" si="15"/>
        <v>-1000</v>
      </c>
      <c r="F84">
        <f t="shared" si="16"/>
        <v>-1000</v>
      </c>
      <c r="G84">
        <f t="shared" si="17"/>
        <v>-1000</v>
      </c>
      <c r="H84">
        <f t="shared" si="18"/>
        <v>-1000</v>
      </c>
      <c r="I84">
        <f t="shared" si="19"/>
        <v>-1000</v>
      </c>
      <c r="J84">
        <f t="shared" si="13"/>
        <v>-1000</v>
      </c>
      <c r="K84">
        <f t="shared" si="20"/>
        <v>-1000</v>
      </c>
      <c r="L84">
        <f t="shared" si="21"/>
        <v>-1000</v>
      </c>
      <c r="M84">
        <f t="shared" si="22"/>
        <v>-1000</v>
      </c>
      <c r="N84">
        <f t="shared" si="23"/>
        <v>-1000</v>
      </c>
      <c r="O84">
        <f t="shared" si="24"/>
        <v>-1000</v>
      </c>
    </row>
    <row r="85" spans="1:15">
      <c r="A85" t="str">
        <f>IF(EventTeam!$A:$A=0,"",EventTeam!$A:$A)</f>
        <v/>
      </c>
      <c r="B85">
        <f t="shared" si="14"/>
        <v>-1000</v>
      </c>
      <c r="C85">
        <f>IFERROR(VLOOKUP($A85,TBAranking!$A:$Z,4,FALSE),-1000)</f>
        <v>-1000</v>
      </c>
      <c r="D85">
        <f t="shared" si="25"/>
        <v>-1000</v>
      </c>
      <c r="E85">
        <f t="shared" si="15"/>
        <v>-1000</v>
      </c>
      <c r="F85">
        <f t="shared" si="16"/>
        <v>-1000</v>
      </c>
      <c r="G85">
        <f t="shared" si="17"/>
        <v>-1000</v>
      </c>
      <c r="H85">
        <f t="shared" si="18"/>
        <v>-1000</v>
      </c>
      <c r="I85">
        <f t="shared" si="19"/>
        <v>-1000</v>
      </c>
      <c r="J85">
        <f t="shared" si="13"/>
        <v>-1000</v>
      </c>
      <c r="K85">
        <f t="shared" si="20"/>
        <v>-1000</v>
      </c>
      <c r="L85">
        <f t="shared" si="21"/>
        <v>-1000</v>
      </c>
      <c r="M85">
        <f t="shared" si="22"/>
        <v>-1000</v>
      </c>
      <c r="N85">
        <f t="shared" si="23"/>
        <v>-1000</v>
      </c>
      <c r="O85">
        <f t="shared" si="24"/>
        <v>-1000</v>
      </c>
    </row>
    <row r="86" spans="1:15">
      <c r="A86" t="str">
        <f>IF(EventTeam!$A:$A=0,"",EventTeam!$A:$A)</f>
        <v/>
      </c>
      <c r="B86">
        <f t="shared" si="14"/>
        <v>-1000</v>
      </c>
      <c r="C86">
        <f>IFERROR(VLOOKUP($A86,TBAranking!$A:$Z,4,FALSE),-1000)</f>
        <v>-1000</v>
      </c>
      <c r="D86">
        <f t="shared" si="25"/>
        <v>-1000</v>
      </c>
      <c r="E86">
        <f t="shared" si="15"/>
        <v>-1000</v>
      </c>
      <c r="F86">
        <f t="shared" si="16"/>
        <v>-1000</v>
      </c>
      <c r="G86">
        <f t="shared" si="17"/>
        <v>-1000</v>
      </c>
      <c r="H86">
        <f t="shared" si="18"/>
        <v>-1000</v>
      </c>
      <c r="I86">
        <f t="shared" si="19"/>
        <v>-1000</v>
      </c>
      <c r="J86">
        <f t="shared" si="13"/>
        <v>-1000</v>
      </c>
      <c r="K86">
        <f t="shared" si="20"/>
        <v>-1000</v>
      </c>
      <c r="L86">
        <f t="shared" si="21"/>
        <v>-1000</v>
      </c>
      <c r="M86">
        <f t="shared" si="22"/>
        <v>-1000</v>
      </c>
      <c r="N86">
        <f t="shared" si="23"/>
        <v>-1000</v>
      </c>
      <c r="O86">
        <f t="shared" si="24"/>
        <v>-1000</v>
      </c>
    </row>
    <row r="87" spans="1:15">
      <c r="A87" t="str">
        <f>IF(EventTeam!$A:$A=0,"",EventTeam!$A:$A)</f>
        <v/>
      </c>
      <c r="B87">
        <f t="shared" si="14"/>
        <v>-1000</v>
      </c>
      <c r="C87">
        <f>IFERROR(VLOOKUP($A87,TBAranking!$A:$Z,4,FALSE),-1000)</f>
        <v>-1000</v>
      </c>
      <c r="D87">
        <f t="shared" si="25"/>
        <v>-1000</v>
      </c>
      <c r="E87">
        <f t="shared" si="15"/>
        <v>-1000</v>
      </c>
      <c r="F87">
        <f t="shared" si="16"/>
        <v>-1000</v>
      </c>
      <c r="G87">
        <f t="shared" si="17"/>
        <v>-1000</v>
      </c>
      <c r="H87">
        <f t="shared" si="18"/>
        <v>-1000</v>
      </c>
      <c r="I87">
        <f t="shared" si="19"/>
        <v>-1000</v>
      </c>
      <c r="J87">
        <f t="shared" si="13"/>
        <v>-1000</v>
      </c>
      <c r="K87">
        <f t="shared" si="20"/>
        <v>-1000</v>
      </c>
      <c r="L87">
        <f t="shared" si="21"/>
        <v>-1000</v>
      </c>
      <c r="M87">
        <f t="shared" si="22"/>
        <v>-1000</v>
      </c>
      <c r="N87">
        <f t="shared" si="23"/>
        <v>-1000</v>
      </c>
      <c r="O87">
        <f t="shared" si="24"/>
        <v>-1000</v>
      </c>
    </row>
    <row r="88" spans="1:15">
      <c r="A88" t="str">
        <f>IF(EventTeam!$A:$A=0,"",EventTeam!$A:$A)</f>
        <v/>
      </c>
      <c r="B88">
        <f t="shared" si="14"/>
        <v>-1000</v>
      </c>
      <c r="C88">
        <f>IFERROR(VLOOKUP($A88,TBAranking!$A:$Z,4,FALSE),-1000)</f>
        <v>-1000</v>
      </c>
      <c r="D88">
        <f t="shared" si="25"/>
        <v>-1000</v>
      </c>
      <c r="E88">
        <f t="shared" si="15"/>
        <v>-1000</v>
      </c>
      <c r="F88">
        <f t="shared" si="16"/>
        <v>-1000</v>
      </c>
      <c r="G88">
        <f t="shared" si="17"/>
        <v>-1000</v>
      </c>
      <c r="H88">
        <f t="shared" si="18"/>
        <v>-1000</v>
      </c>
      <c r="I88">
        <f t="shared" si="19"/>
        <v>-1000</v>
      </c>
      <c r="J88">
        <f t="shared" si="13"/>
        <v>-1000</v>
      </c>
      <c r="K88">
        <f t="shared" si="20"/>
        <v>-1000</v>
      </c>
      <c r="L88">
        <f t="shared" si="21"/>
        <v>-1000</v>
      </c>
      <c r="M88">
        <f t="shared" si="22"/>
        <v>-1000</v>
      </c>
      <c r="N88">
        <f t="shared" si="23"/>
        <v>-1000</v>
      </c>
      <c r="O88">
        <f t="shared" si="24"/>
        <v>-1000</v>
      </c>
    </row>
    <row r="89" spans="1:15">
      <c r="A89" t="str">
        <f>IF(EventTeam!$A:$A=0,"",EventTeam!$A:$A)</f>
        <v/>
      </c>
      <c r="B89">
        <f t="shared" si="14"/>
        <v>-1000</v>
      </c>
      <c r="C89">
        <f>IFERROR(VLOOKUP($A89,TBAranking!$A:$Z,4,FALSE),-1000)</f>
        <v>-1000</v>
      </c>
      <c r="D89">
        <f t="shared" si="25"/>
        <v>-1000</v>
      </c>
      <c r="E89">
        <f t="shared" si="15"/>
        <v>-1000</v>
      </c>
      <c r="F89">
        <f t="shared" si="16"/>
        <v>-1000</v>
      </c>
      <c r="G89">
        <f t="shared" si="17"/>
        <v>-1000</v>
      </c>
      <c r="H89">
        <f t="shared" si="18"/>
        <v>-1000</v>
      </c>
      <c r="I89">
        <f t="shared" si="19"/>
        <v>-1000</v>
      </c>
      <c r="J89">
        <f t="shared" si="13"/>
        <v>-1000</v>
      </c>
      <c r="K89">
        <f t="shared" si="20"/>
        <v>-1000</v>
      </c>
      <c r="L89">
        <f t="shared" si="21"/>
        <v>-1000</v>
      </c>
      <c r="M89">
        <f t="shared" si="22"/>
        <v>-1000</v>
      </c>
      <c r="N89">
        <f t="shared" si="23"/>
        <v>-1000</v>
      </c>
      <c r="O89">
        <f t="shared" si="24"/>
        <v>-1000</v>
      </c>
    </row>
    <row r="90" spans="1:15">
      <c r="A90" t="str">
        <f>IF(EventTeam!$A:$A=0,"",EventTeam!$A:$A)</f>
        <v/>
      </c>
      <c r="B90">
        <f t="shared" si="14"/>
        <v>-1000</v>
      </c>
      <c r="C90">
        <f>IFERROR(VLOOKUP($A90,TBAranking!$A:$Z,4,FALSE),-1000)</f>
        <v>-1000</v>
      </c>
      <c r="D90">
        <f t="shared" si="25"/>
        <v>-1000</v>
      </c>
      <c r="E90">
        <f t="shared" si="15"/>
        <v>-1000</v>
      </c>
      <c r="F90">
        <f t="shared" si="16"/>
        <v>-1000</v>
      </c>
      <c r="G90">
        <f t="shared" si="17"/>
        <v>-1000</v>
      </c>
      <c r="H90">
        <f t="shared" si="18"/>
        <v>-1000</v>
      </c>
      <c r="I90">
        <f t="shared" si="19"/>
        <v>-1000</v>
      </c>
      <c r="J90">
        <f t="shared" si="13"/>
        <v>-1000</v>
      </c>
      <c r="K90">
        <f t="shared" si="20"/>
        <v>-1000</v>
      </c>
      <c r="L90">
        <f t="shared" si="21"/>
        <v>-1000</v>
      </c>
      <c r="M90">
        <f t="shared" si="22"/>
        <v>-1000</v>
      </c>
      <c r="N90">
        <f t="shared" si="23"/>
        <v>-1000</v>
      </c>
      <c r="O90">
        <f t="shared" si="24"/>
        <v>-1000</v>
      </c>
    </row>
    <row r="91" spans="1:15">
      <c r="A91" t="str">
        <f>IF(EventTeam!$A:$A=0,"",EventTeam!$A:$A)</f>
        <v/>
      </c>
      <c r="B91">
        <f t="shared" si="14"/>
        <v>-1000</v>
      </c>
      <c r="C91">
        <f>IFERROR(VLOOKUP($A91,TBAranking!$A:$Z,4,FALSE),-1000)</f>
        <v>-1000</v>
      </c>
      <c r="D91">
        <f t="shared" si="25"/>
        <v>-1000</v>
      </c>
      <c r="E91">
        <f t="shared" si="15"/>
        <v>-1000</v>
      </c>
      <c r="F91">
        <f t="shared" si="16"/>
        <v>-1000</v>
      </c>
      <c r="G91">
        <f t="shared" si="17"/>
        <v>-1000</v>
      </c>
      <c r="H91">
        <f t="shared" si="18"/>
        <v>-1000</v>
      </c>
      <c r="I91">
        <f t="shared" si="19"/>
        <v>-1000</v>
      </c>
      <c r="J91">
        <f t="shared" si="13"/>
        <v>-1000</v>
      </c>
      <c r="K91">
        <f t="shared" si="20"/>
        <v>-1000</v>
      </c>
      <c r="L91">
        <f t="shared" si="21"/>
        <v>-1000</v>
      </c>
      <c r="M91">
        <f t="shared" si="22"/>
        <v>-1000</v>
      </c>
      <c r="N91">
        <f t="shared" si="23"/>
        <v>-1000</v>
      </c>
      <c r="O91">
        <f t="shared" si="24"/>
        <v>-1000</v>
      </c>
    </row>
    <row r="92" spans="1:15">
      <c r="A92" t="str">
        <f>IF(EventTeam!$A:$A=0,"",EventTeam!$A:$A)</f>
        <v/>
      </c>
      <c r="B92">
        <f t="shared" si="14"/>
        <v>-1000</v>
      </c>
      <c r="C92">
        <f>IFERROR(VLOOKUP($A92,TBAranking!$A:$Z,4,FALSE),-1000)</f>
        <v>-1000</v>
      </c>
      <c r="D92">
        <f t="shared" si="25"/>
        <v>-1000</v>
      </c>
      <c r="E92">
        <f t="shared" si="15"/>
        <v>-1000</v>
      </c>
      <c r="F92">
        <f t="shared" si="16"/>
        <v>-1000</v>
      </c>
      <c r="G92">
        <f t="shared" si="17"/>
        <v>-1000</v>
      </c>
      <c r="H92">
        <f t="shared" si="18"/>
        <v>-1000</v>
      </c>
      <c r="I92">
        <f t="shared" si="19"/>
        <v>-1000</v>
      </c>
      <c r="J92">
        <f t="shared" si="13"/>
        <v>-1000</v>
      </c>
      <c r="K92">
        <f t="shared" si="20"/>
        <v>-1000</v>
      </c>
      <c r="L92">
        <f t="shared" si="21"/>
        <v>-1000</v>
      </c>
      <c r="M92">
        <f t="shared" si="22"/>
        <v>-1000</v>
      </c>
      <c r="N92">
        <f t="shared" si="23"/>
        <v>-1000</v>
      </c>
      <c r="O92">
        <f t="shared" si="24"/>
        <v>-1000</v>
      </c>
    </row>
    <row r="93" spans="1:15">
      <c r="A93" t="str">
        <f>IF(EventTeam!$A:$A=0,"",EventTeam!$A:$A)</f>
        <v/>
      </c>
      <c r="B93">
        <f t="shared" si="14"/>
        <v>-1000</v>
      </c>
      <c r="C93">
        <f>IFERROR(VLOOKUP($A93,TBAranking!$A:$Z,4,FALSE),-1000)</f>
        <v>-1000</v>
      </c>
      <c r="D93">
        <f t="shared" si="25"/>
        <v>-1000</v>
      </c>
      <c r="E93">
        <f t="shared" si="15"/>
        <v>-1000</v>
      </c>
      <c r="F93">
        <f t="shared" si="16"/>
        <v>-1000</v>
      </c>
      <c r="G93">
        <f t="shared" si="17"/>
        <v>-1000</v>
      </c>
      <c r="H93">
        <f t="shared" si="18"/>
        <v>-1000</v>
      </c>
      <c r="I93">
        <f t="shared" si="19"/>
        <v>-1000</v>
      </c>
      <c r="J93">
        <f t="shared" si="13"/>
        <v>-1000</v>
      </c>
      <c r="K93">
        <f t="shared" si="20"/>
        <v>-1000</v>
      </c>
      <c r="L93">
        <f t="shared" si="21"/>
        <v>-1000</v>
      </c>
      <c r="M93">
        <f t="shared" si="22"/>
        <v>-1000</v>
      </c>
      <c r="N93">
        <f t="shared" si="23"/>
        <v>-1000</v>
      </c>
      <c r="O93">
        <f t="shared" si="24"/>
        <v>-1000</v>
      </c>
    </row>
    <row r="94" spans="1:15">
      <c r="A94" t="str">
        <f>IF(EventTeam!$A:$A=0,"",EventTeam!$A:$A)</f>
        <v/>
      </c>
      <c r="B94">
        <f t="shared" si="14"/>
        <v>-1000</v>
      </c>
      <c r="C94">
        <f>IFERROR(VLOOKUP($A94,TBAranking!$A:$Z,4,FALSE),-1000)</f>
        <v>-1000</v>
      </c>
      <c r="D94">
        <f t="shared" si="25"/>
        <v>-1000</v>
      </c>
      <c r="E94">
        <f t="shared" si="15"/>
        <v>-1000</v>
      </c>
      <c r="F94">
        <f t="shared" si="16"/>
        <v>-1000</v>
      </c>
      <c r="G94">
        <f t="shared" si="17"/>
        <v>-1000</v>
      </c>
      <c r="H94">
        <f t="shared" si="18"/>
        <v>-1000</v>
      </c>
      <c r="I94">
        <f t="shared" si="19"/>
        <v>-1000</v>
      </c>
      <c r="J94">
        <f t="shared" si="13"/>
        <v>-1000</v>
      </c>
      <c r="K94">
        <f t="shared" si="20"/>
        <v>-1000</v>
      </c>
      <c r="L94">
        <f t="shared" si="21"/>
        <v>-1000</v>
      </c>
      <c r="M94">
        <f t="shared" si="22"/>
        <v>-1000</v>
      </c>
      <c r="N94">
        <f t="shared" si="23"/>
        <v>-1000</v>
      </c>
      <c r="O94">
        <f t="shared" si="24"/>
        <v>-1000</v>
      </c>
    </row>
    <row r="95" spans="1:15">
      <c r="A95" t="str">
        <f>IF(EventTeam!$A:$A=0,"",EventTeam!$A:$A)</f>
        <v/>
      </c>
      <c r="B95">
        <f t="shared" si="14"/>
        <v>-1000</v>
      </c>
      <c r="C95">
        <f>IFERROR(VLOOKUP($A95,TBAranking!$A:$Z,4,FALSE),-1000)</f>
        <v>-1000</v>
      </c>
      <c r="D95">
        <f t="shared" si="25"/>
        <v>-1000</v>
      </c>
      <c r="E95">
        <f t="shared" si="15"/>
        <v>-1000</v>
      </c>
      <c r="F95">
        <f t="shared" si="16"/>
        <v>-1000</v>
      </c>
      <c r="G95">
        <f t="shared" si="17"/>
        <v>-1000</v>
      </c>
      <c r="H95">
        <f t="shared" si="18"/>
        <v>-1000</v>
      </c>
      <c r="I95">
        <f t="shared" si="19"/>
        <v>-1000</v>
      </c>
      <c r="J95">
        <f t="shared" si="13"/>
        <v>-1000</v>
      </c>
      <c r="K95">
        <f t="shared" si="20"/>
        <v>-1000</v>
      </c>
      <c r="L95">
        <f t="shared" si="21"/>
        <v>-1000</v>
      </c>
      <c r="M95">
        <f t="shared" si="22"/>
        <v>-1000</v>
      </c>
      <c r="N95">
        <f t="shared" si="23"/>
        <v>-1000</v>
      </c>
      <c r="O95">
        <f t="shared" si="24"/>
        <v>-1000</v>
      </c>
    </row>
    <row r="96" spans="1:15">
      <c r="A96" t="str">
        <f>IF(EventTeam!$A:$A=0,"",EventTeam!$A:$A)</f>
        <v/>
      </c>
      <c r="B96">
        <f t="shared" si="14"/>
        <v>-1000</v>
      </c>
      <c r="C96">
        <f>IFERROR(VLOOKUP($A96,TBAranking!$A:$Z,4,FALSE),-1000)</f>
        <v>-1000</v>
      </c>
      <c r="D96">
        <f t="shared" si="25"/>
        <v>-1000</v>
      </c>
      <c r="E96">
        <f t="shared" si="15"/>
        <v>-1000</v>
      </c>
      <c r="F96">
        <f t="shared" si="16"/>
        <v>-1000</v>
      </c>
      <c r="G96">
        <f t="shared" si="17"/>
        <v>-1000</v>
      </c>
      <c r="H96">
        <f t="shared" si="18"/>
        <v>-1000</v>
      </c>
      <c r="I96">
        <f t="shared" si="19"/>
        <v>-1000</v>
      </c>
      <c r="J96">
        <f t="shared" si="13"/>
        <v>-1000</v>
      </c>
      <c r="K96">
        <f t="shared" si="20"/>
        <v>-1000</v>
      </c>
      <c r="L96">
        <f t="shared" si="21"/>
        <v>-1000</v>
      </c>
      <c r="M96">
        <f t="shared" si="22"/>
        <v>-1000</v>
      </c>
      <c r="N96">
        <f t="shared" si="23"/>
        <v>-1000</v>
      </c>
      <c r="O96">
        <f t="shared" si="24"/>
        <v>-1000</v>
      </c>
    </row>
    <row r="97" spans="1:15">
      <c r="A97" t="str">
        <f>IF(EventTeam!$A:$A=0,"",EventTeam!$A:$A)</f>
        <v/>
      </c>
      <c r="B97">
        <f t="shared" si="14"/>
        <v>-1000</v>
      </c>
      <c r="C97">
        <f>IFERROR(VLOOKUP($A97,TBAranking!$A:$Z,4,FALSE),-1000)</f>
        <v>-1000</v>
      </c>
      <c r="D97">
        <f t="shared" si="25"/>
        <v>-1000</v>
      </c>
      <c r="E97">
        <f t="shared" si="15"/>
        <v>-1000</v>
      </c>
      <c r="F97">
        <f t="shared" si="16"/>
        <v>-1000</v>
      </c>
      <c r="G97">
        <f t="shared" si="17"/>
        <v>-1000</v>
      </c>
      <c r="H97">
        <f t="shared" si="18"/>
        <v>-1000</v>
      </c>
      <c r="I97">
        <f t="shared" si="19"/>
        <v>-1000</v>
      </c>
      <c r="J97">
        <f t="shared" si="13"/>
        <v>-1000</v>
      </c>
      <c r="K97">
        <f t="shared" si="20"/>
        <v>-1000</v>
      </c>
      <c r="L97">
        <f t="shared" si="21"/>
        <v>-1000</v>
      </c>
      <c r="M97">
        <f t="shared" si="22"/>
        <v>-1000</v>
      </c>
      <c r="N97">
        <f t="shared" si="23"/>
        <v>-1000</v>
      </c>
      <c r="O97">
        <f t="shared" si="24"/>
        <v>-1000</v>
      </c>
    </row>
    <row r="98" spans="1:15">
      <c r="A98" t="str">
        <f>IF(EventTeam!$A:$A=0,"",EventTeam!$A:$A)</f>
        <v/>
      </c>
      <c r="B98">
        <f t="shared" si="14"/>
        <v>-1000</v>
      </c>
      <c r="C98">
        <f>IFERROR(VLOOKUP($A98,TBAranking!$A:$Z,4,FALSE),-1000)</f>
        <v>-1000</v>
      </c>
      <c r="D98">
        <f t="shared" si="25"/>
        <v>-1000</v>
      </c>
      <c r="E98">
        <f t="shared" si="15"/>
        <v>-1000</v>
      </c>
      <c r="F98">
        <f t="shared" si="16"/>
        <v>-1000</v>
      </c>
      <c r="G98">
        <f t="shared" si="17"/>
        <v>-1000</v>
      </c>
      <c r="H98">
        <f t="shared" si="18"/>
        <v>-1000</v>
      </c>
      <c r="I98">
        <f t="shared" si="19"/>
        <v>-1000</v>
      </c>
      <c r="J98">
        <f t="shared" si="13"/>
        <v>-1000</v>
      </c>
      <c r="K98">
        <f t="shared" si="20"/>
        <v>-1000</v>
      </c>
      <c r="L98">
        <f t="shared" si="21"/>
        <v>-1000</v>
      </c>
      <c r="M98">
        <f t="shared" si="22"/>
        <v>-1000</v>
      </c>
      <c r="N98">
        <f t="shared" si="23"/>
        <v>-1000</v>
      </c>
      <c r="O98">
        <f t="shared" si="24"/>
        <v>-1000</v>
      </c>
    </row>
    <row r="99" spans="1:15">
      <c r="A99" t="str">
        <f>IF(EventTeam!$A:$A=0,"",EventTeam!$A:$A)</f>
        <v/>
      </c>
      <c r="B99">
        <f t="shared" si="14"/>
        <v>-1000</v>
      </c>
      <c r="C99">
        <f>IFERROR(VLOOKUP($A99,TBAranking!$A:$Z,4,FALSE),-1000)</f>
        <v>-1000</v>
      </c>
      <c r="D99">
        <f t="shared" si="25"/>
        <v>-1000</v>
      </c>
      <c r="E99">
        <f t="shared" si="15"/>
        <v>-1000</v>
      </c>
      <c r="F99">
        <f t="shared" si="16"/>
        <v>-1000</v>
      </c>
      <c r="G99">
        <f t="shared" si="17"/>
        <v>-1000</v>
      </c>
      <c r="H99">
        <f t="shared" si="18"/>
        <v>-1000</v>
      </c>
      <c r="I99">
        <f t="shared" si="19"/>
        <v>-1000</v>
      </c>
      <c r="J99">
        <f t="shared" si="13"/>
        <v>-1000</v>
      </c>
      <c r="K99">
        <f t="shared" si="20"/>
        <v>-1000</v>
      </c>
      <c r="L99">
        <f t="shared" si="21"/>
        <v>-1000</v>
      </c>
      <c r="M99">
        <f t="shared" si="22"/>
        <v>-1000</v>
      </c>
      <c r="N99">
        <f t="shared" si="23"/>
        <v>-1000</v>
      </c>
      <c r="O99">
        <f t="shared" si="24"/>
        <v>-1000</v>
      </c>
    </row>
    <row r="100" spans="1:15">
      <c r="A100" t="str">
        <f>IF(EventTeam!$A:$A=0,"",EventTeam!$A:$A)</f>
        <v/>
      </c>
      <c r="B100">
        <f t="shared" si="14"/>
        <v>-1000</v>
      </c>
      <c r="C100">
        <f>IFERROR(VLOOKUP($A100,TBAranking!$A:$Z,4,FALSE),-1000)</f>
        <v>-1000</v>
      </c>
      <c r="D100">
        <f t="shared" si="25"/>
        <v>-1000</v>
      </c>
      <c r="E100">
        <f t="shared" si="15"/>
        <v>-1000</v>
      </c>
      <c r="F100">
        <f t="shared" si="16"/>
        <v>-1000</v>
      </c>
      <c r="G100">
        <f t="shared" si="17"/>
        <v>-1000</v>
      </c>
      <c r="H100">
        <f t="shared" si="18"/>
        <v>-1000</v>
      </c>
      <c r="I100">
        <f t="shared" si="19"/>
        <v>-1000</v>
      </c>
      <c r="J100">
        <f t="shared" si="13"/>
        <v>-1000</v>
      </c>
      <c r="K100">
        <f t="shared" si="20"/>
        <v>-1000</v>
      </c>
      <c r="L100">
        <f t="shared" si="21"/>
        <v>-1000</v>
      </c>
      <c r="M100">
        <f t="shared" si="22"/>
        <v>-1000</v>
      </c>
      <c r="N100">
        <f t="shared" si="23"/>
        <v>-1000</v>
      </c>
      <c r="O100">
        <f t="shared" si="24"/>
        <v>-1000</v>
      </c>
    </row>
  </sheetData>
  <conditionalFormatting sqref="T2:T36">
    <cfRule type="colorScale" priority="9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8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7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5">
      <colorScale>
        <cfvo type="min"/>
        <cfvo type="max"/>
        <color rgb="FFFCFCFF"/>
        <color rgb="FF63BE7B"/>
      </colorScale>
    </cfRule>
    <cfRule type="cellIs" dxfId="70" priority="6" operator="equal">
      <formula>-1000</formula>
    </cfRule>
  </conditionalFormatting>
  <conditionalFormatting sqref="H2:O100">
    <cfRule type="cellIs" dxfId="69" priority="4" operator="equal">
      <formula>-1000</formula>
    </cfRule>
  </conditionalFormatting>
  <conditionalFormatting sqref="G2:O100">
    <cfRule type="colorScale" priority="3">
      <colorScale>
        <cfvo type="min"/>
        <cfvo type="max"/>
        <color rgb="FF63BE7B"/>
        <color rgb="FFFCFCFF"/>
      </colorScale>
    </cfRule>
  </conditionalFormatting>
  <conditionalFormatting sqref="R2:R42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B100"/>
  <sheetViews>
    <sheetView topLeftCell="K1" workbookViewId="0">
      <selection activeCell="Q14" sqref="Q14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6" max="16" width="6.28515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28" ht="15.75" thickBot="1">
      <c r="A1" s="115" t="s">
        <v>1</v>
      </c>
      <c r="B1" s="116" t="s">
        <v>5984</v>
      </c>
      <c r="C1" s="117" t="s">
        <v>6093</v>
      </c>
      <c r="D1" s="160" t="s">
        <v>5982</v>
      </c>
      <c r="E1" s="161" t="s">
        <v>5986</v>
      </c>
      <c r="F1" s="160" t="s">
        <v>5987</v>
      </c>
      <c r="G1" s="161" t="s">
        <v>5988</v>
      </c>
      <c r="H1" s="160" t="s">
        <v>5989</v>
      </c>
      <c r="I1" s="161" t="s">
        <v>5990</v>
      </c>
      <c r="J1" s="160" t="s">
        <v>5991</v>
      </c>
      <c r="K1" s="161" t="s">
        <v>5992</v>
      </c>
      <c r="L1" s="162" t="s">
        <v>5993</v>
      </c>
      <c r="M1" s="160" t="s">
        <v>5994</v>
      </c>
      <c r="N1" s="161" t="s">
        <v>5995</v>
      </c>
      <c r="O1" s="162" t="s">
        <v>5996</v>
      </c>
      <c r="P1" s="157"/>
      <c r="Q1" s="168" t="s">
        <v>5997</v>
      </c>
      <c r="R1" s="169" t="s">
        <v>6099</v>
      </c>
      <c r="S1" s="168" t="s">
        <v>5998</v>
      </c>
      <c r="T1" s="169" t="s">
        <v>6100</v>
      </c>
      <c r="U1" s="200" t="s">
        <v>5999</v>
      </c>
      <c r="V1" s="169" t="s">
        <v>6099</v>
      </c>
      <c r="W1" s="168" t="s">
        <v>6000</v>
      </c>
      <c r="X1" s="169" t="s">
        <v>6099</v>
      </c>
      <c r="Y1" s="200" t="s">
        <v>6097</v>
      </c>
      <c r="Z1" s="200" t="s">
        <v>6099</v>
      </c>
      <c r="AA1" s="168" t="s">
        <v>6098</v>
      </c>
      <c r="AB1" s="169" t="s">
        <v>6099</v>
      </c>
    </row>
    <row r="2" spans="1:28">
      <c r="A2">
        <f>IF(EventTeam!$A:$A=0,"",EventTeam!$A:$A)</f>
        <v>155</v>
      </c>
      <c r="B2" t="str">
        <f>IF($C2&lt;&gt;-1000,$C2, MAX($D2:$O2))</f>
        <v>432</v>
      </c>
      <c r="C2" t="str">
        <f>IFERROR(VLOOKUP($A2,TBAranking!$A:$Z,4,FALSE),-1000)</f>
        <v>432</v>
      </c>
      <c r="D2">
        <f>IFERROR(VLOOKUP($A2,$Q:$R,2,FALSE),-1000)</f>
        <v>-1000</v>
      </c>
      <c r="E2">
        <f>IFERROR(VLOOKUP($A2,$S:$T,2,FALSE),-1000)</f>
        <v>160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324</v>
      </c>
      <c r="I2">
        <f>IFERROR(VLOOKUP($A2,$AA:$AB,2,FALSE),-1000)</f>
        <v>-1000</v>
      </c>
      <c r="J2">
        <f t="shared" ref="J2:J65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4">
        <v>23</v>
      </c>
      <c r="R2" s="193">
        <v>2416</v>
      </c>
      <c r="S2" s="164">
        <v>95</v>
      </c>
      <c r="T2" s="199">
        <v>228</v>
      </c>
      <c r="U2" s="171">
        <v>176</v>
      </c>
      <c r="V2" s="199">
        <v>388</v>
      </c>
      <c r="W2" s="164">
        <v>23</v>
      </c>
      <c r="X2" s="199">
        <v>284</v>
      </c>
      <c r="Y2" s="171">
        <v>69</v>
      </c>
      <c r="Z2" s="208">
        <v>257</v>
      </c>
      <c r="AA2" s="164">
        <v>125</v>
      </c>
      <c r="AB2" s="199">
        <v>399</v>
      </c>
    </row>
    <row r="3" spans="1:28">
      <c r="A3">
        <f>IF(EventTeam!$A:$A=0,"",EventTeam!$A:$A)</f>
        <v>173</v>
      </c>
      <c r="B3" t="str">
        <f t="shared" ref="B3:B66" si="1">IF($C3&lt;&gt;-1000,$C3, MAX($D3:$O3))</f>
        <v>348</v>
      </c>
      <c r="C3" t="str">
        <f>IFERROR(VLOOKUP($A3,TBAranking!$A:$Z,4,FALSE),-1000)</f>
        <v>348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66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-1000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4">
        <v>61</v>
      </c>
      <c r="R3" s="194">
        <v>2831</v>
      </c>
      <c r="S3" s="164">
        <v>131</v>
      </c>
      <c r="T3" s="197">
        <v>211</v>
      </c>
      <c r="U3" s="171">
        <v>177</v>
      </c>
      <c r="V3" s="197">
        <v>329</v>
      </c>
      <c r="W3" s="164">
        <v>58</v>
      </c>
      <c r="X3" s="197">
        <v>245</v>
      </c>
      <c r="Y3" s="171">
        <v>95</v>
      </c>
      <c r="Z3" s="194">
        <v>316</v>
      </c>
      <c r="AA3" s="164">
        <v>133</v>
      </c>
      <c r="AB3" s="197">
        <v>376</v>
      </c>
    </row>
    <row r="4" spans="1:28">
      <c r="A4">
        <f>IF(EventTeam!$A:$A=0,"",EventTeam!$A:$A)</f>
        <v>175</v>
      </c>
      <c r="B4" t="str">
        <f t="shared" si="1"/>
        <v>420</v>
      </c>
      <c r="C4" t="str">
        <f>IFERROR(VLOOKUP($A4,TBAranking!$A:$Z,4,FALSE),-1000)</f>
        <v>420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-1000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4">
        <v>78</v>
      </c>
      <c r="R4" s="193">
        <v>2587</v>
      </c>
      <c r="S4" s="164">
        <v>138</v>
      </c>
      <c r="T4" s="196">
        <v>207</v>
      </c>
      <c r="U4" s="171">
        <v>181</v>
      </c>
      <c r="V4" s="196">
        <v>257</v>
      </c>
      <c r="W4" s="164">
        <v>78</v>
      </c>
      <c r="X4" s="196">
        <v>374</v>
      </c>
      <c r="Y4" s="171">
        <v>155</v>
      </c>
      <c r="Z4" s="193">
        <v>324</v>
      </c>
      <c r="AA4" s="164">
        <v>238</v>
      </c>
      <c r="AB4" s="196">
        <v>406</v>
      </c>
    </row>
    <row r="5" spans="1:28">
      <c r="A5">
        <f>IF(EventTeam!$A:$A=0,"",EventTeam!$A:$A)</f>
        <v>176</v>
      </c>
      <c r="B5" t="str">
        <f t="shared" si="1"/>
        <v>481</v>
      </c>
      <c r="C5" t="str">
        <f>IFERROR(VLOOKUP($A5,TBAranking!$A:$Z,4,FALSE),-1000)</f>
        <v>481</v>
      </c>
      <c r="D5">
        <f t="shared" si="12"/>
        <v>-1000</v>
      </c>
      <c r="E5">
        <f t="shared" si="2"/>
        <v>-1000</v>
      </c>
      <c r="F5">
        <f t="shared" si="3"/>
        <v>388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4">
        <v>88</v>
      </c>
      <c r="R5" s="194">
        <v>2841</v>
      </c>
      <c r="S5" s="164">
        <v>151</v>
      </c>
      <c r="T5" s="197">
        <v>141</v>
      </c>
      <c r="U5" s="171">
        <v>228</v>
      </c>
      <c r="V5" s="197">
        <v>281</v>
      </c>
      <c r="W5" s="164">
        <v>88</v>
      </c>
      <c r="X5" s="197">
        <v>304</v>
      </c>
      <c r="Y5" s="171">
        <v>178</v>
      </c>
      <c r="Z5" s="194">
        <v>271</v>
      </c>
      <c r="AA5" s="164">
        <v>246</v>
      </c>
      <c r="AB5" s="197">
        <v>302</v>
      </c>
    </row>
    <row r="6" spans="1:28">
      <c r="A6">
        <f>IF(EventTeam!$A:$A=0,"",EventTeam!$A:$A)</f>
        <v>177</v>
      </c>
      <c r="B6" t="str">
        <f t="shared" si="1"/>
        <v>377</v>
      </c>
      <c r="C6" t="str">
        <f>IFERROR(VLOOKUP($A6,TBAranking!$A:$Z,4,FALSE),-1000)</f>
        <v>377</v>
      </c>
      <c r="D6">
        <f t="shared" si="12"/>
        <v>-1000</v>
      </c>
      <c r="E6">
        <f t="shared" si="2"/>
        <v>-1000</v>
      </c>
      <c r="F6">
        <f t="shared" si="3"/>
        <v>329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4">
        <v>126</v>
      </c>
      <c r="R6" s="193">
        <v>1747</v>
      </c>
      <c r="S6" s="164">
        <v>155</v>
      </c>
      <c r="T6" s="196">
        <v>160</v>
      </c>
      <c r="U6" s="171">
        <v>230</v>
      </c>
      <c r="V6" s="196">
        <v>474</v>
      </c>
      <c r="W6" s="164">
        <v>97</v>
      </c>
      <c r="X6" s="196">
        <v>211</v>
      </c>
      <c r="Y6" s="171">
        <v>195</v>
      </c>
      <c r="Z6" s="193">
        <v>464</v>
      </c>
      <c r="AA6" s="164">
        <v>319</v>
      </c>
      <c r="AB6" s="196">
        <v>376</v>
      </c>
    </row>
    <row r="7" spans="1:28">
      <c r="A7">
        <f>IF(EventTeam!$A:$A=0,"",EventTeam!$A:$A)</f>
        <v>181</v>
      </c>
      <c r="B7" t="str">
        <f t="shared" si="1"/>
        <v>370</v>
      </c>
      <c r="C7" t="str">
        <f>IFERROR(VLOOKUP($A7,TBAranking!$A:$Z,4,FALSE),-1000)</f>
        <v>370</v>
      </c>
      <c r="D7">
        <f t="shared" si="12"/>
        <v>-1000</v>
      </c>
      <c r="E7">
        <f t="shared" si="2"/>
        <v>-1000</v>
      </c>
      <c r="F7">
        <f t="shared" si="3"/>
        <v>257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4">
        <v>172</v>
      </c>
      <c r="R7" s="194">
        <v>1998</v>
      </c>
      <c r="S7" s="164">
        <v>238</v>
      </c>
      <c r="T7" s="197">
        <v>327</v>
      </c>
      <c r="U7" s="171">
        <v>236</v>
      </c>
      <c r="V7" s="197">
        <v>319</v>
      </c>
      <c r="W7" s="164">
        <v>121</v>
      </c>
      <c r="X7" s="197">
        <v>273</v>
      </c>
      <c r="Y7" s="171">
        <v>228</v>
      </c>
      <c r="Z7" s="194">
        <v>343</v>
      </c>
      <c r="AA7" s="164">
        <v>509</v>
      </c>
      <c r="AB7" s="197">
        <v>250</v>
      </c>
    </row>
    <row r="8" spans="1:28">
      <c r="A8">
        <f>IF(EventTeam!$A:$A=0,"",EventTeam!$A:$A)</f>
        <v>190</v>
      </c>
      <c r="B8" t="str">
        <f t="shared" si="1"/>
        <v>398</v>
      </c>
      <c r="C8" t="str">
        <f>IFERROR(VLOOKUP($A8,TBAranking!$A:$Z,4,FALSE),-1000)</f>
        <v>398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-1000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4">
        <v>213</v>
      </c>
      <c r="R8" s="193">
        <v>1883</v>
      </c>
      <c r="S8" s="164">
        <v>811</v>
      </c>
      <c r="T8" s="196">
        <v>250</v>
      </c>
      <c r="U8" s="171">
        <v>237</v>
      </c>
      <c r="V8" s="196">
        <v>334</v>
      </c>
      <c r="W8" s="164">
        <v>157</v>
      </c>
      <c r="X8" s="196">
        <v>241</v>
      </c>
      <c r="Y8" s="171">
        <v>230</v>
      </c>
      <c r="Z8" s="193">
        <v>444</v>
      </c>
      <c r="AA8" s="164">
        <v>811</v>
      </c>
      <c r="AB8" s="196">
        <v>356</v>
      </c>
    </row>
    <row r="9" spans="1:28">
      <c r="A9">
        <f>IF(EventTeam!$A:$A=0,"",EventTeam!$A:$A)</f>
        <v>195</v>
      </c>
      <c r="B9" t="str">
        <f t="shared" si="1"/>
        <v>481</v>
      </c>
      <c r="C9" t="str">
        <f>IFERROR(VLOOKUP($A9,TBAranking!$A:$Z,4,FALSE),-1000)</f>
        <v>481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464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4">
        <v>467</v>
      </c>
      <c r="R9" s="194">
        <v>2138</v>
      </c>
      <c r="S9" s="164">
        <v>885</v>
      </c>
      <c r="T9" s="197">
        <v>167</v>
      </c>
      <c r="U9" s="171">
        <v>501</v>
      </c>
      <c r="V9" s="197">
        <v>249</v>
      </c>
      <c r="W9" s="164">
        <v>166</v>
      </c>
      <c r="X9" s="197">
        <v>223</v>
      </c>
      <c r="Y9" s="171">
        <v>467</v>
      </c>
      <c r="Z9" s="194">
        <v>263</v>
      </c>
      <c r="AA9" s="164">
        <v>1058</v>
      </c>
      <c r="AB9" s="197">
        <v>259</v>
      </c>
    </row>
    <row r="10" spans="1:28">
      <c r="A10">
        <f>IF(EventTeam!$A:$A=0,"",EventTeam!$A:$A)</f>
        <v>230</v>
      </c>
      <c r="B10" t="str">
        <f t="shared" si="1"/>
        <v>452</v>
      </c>
      <c r="C10" t="str">
        <f>IFERROR(VLOOKUP($A10,TBAranking!$A:$Z,4,FALSE),-1000)</f>
        <v>452</v>
      </c>
      <c r="D10">
        <f t="shared" si="12"/>
        <v>-1000</v>
      </c>
      <c r="E10">
        <f t="shared" si="2"/>
        <v>-1000</v>
      </c>
      <c r="F10">
        <f t="shared" si="3"/>
        <v>474</v>
      </c>
      <c r="G10">
        <f t="shared" si="4"/>
        <v>-1000</v>
      </c>
      <c r="H10">
        <f t="shared" si="5"/>
        <v>444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4">
        <v>663</v>
      </c>
      <c r="R10" s="193">
        <v>2745</v>
      </c>
      <c r="S10" s="164">
        <v>1058</v>
      </c>
      <c r="T10" s="196">
        <v>181</v>
      </c>
      <c r="U10" s="171">
        <v>558</v>
      </c>
      <c r="V10" s="196">
        <v>361</v>
      </c>
      <c r="W10" s="164">
        <v>178</v>
      </c>
      <c r="X10" s="196">
        <v>237</v>
      </c>
      <c r="Y10" s="171">
        <v>1027</v>
      </c>
      <c r="Z10" s="193">
        <v>223</v>
      </c>
      <c r="AA10" s="164">
        <v>1289</v>
      </c>
      <c r="AB10" s="196">
        <v>269</v>
      </c>
    </row>
    <row r="11" spans="1:28">
      <c r="A11">
        <f>IF(EventTeam!$A:$A=0,"",EventTeam!$A:$A)</f>
        <v>236</v>
      </c>
      <c r="B11" t="str">
        <f t="shared" si="1"/>
        <v>413</v>
      </c>
      <c r="C11" t="str">
        <f>IFERROR(VLOOKUP($A11,TBAranking!$A:$Z,4,FALSE),-1000)</f>
        <v>413</v>
      </c>
      <c r="D11">
        <f t="shared" si="12"/>
        <v>-1000</v>
      </c>
      <c r="E11">
        <f t="shared" si="2"/>
        <v>-1000</v>
      </c>
      <c r="F11">
        <f t="shared" si="3"/>
        <v>319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4">
        <v>716</v>
      </c>
      <c r="R11" s="194">
        <v>2157</v>
      </c>
      <c r="S11" s="164">
        <v>1073</v>
      </c>
      <c r="T11" s="197">
        <v>171</v>
      </c>
      <c r="U11" s="171">
        <v>571</v>
      </c>
      <c r="V11" s="197">
        <v>299</v>
      </c>
      <c r="W11" s="164">
        <v>348</v>
      </c>
      <c r="X11" s="197">
        <v>240</v>
      </c>
      <c r="Y11" s="171">
        <v>1071</v>
      </c>
      <c r="Z11" s="194">
        <v>243</v>
      </c>
      <c r="AA11" s="164">
        <v>1474</v>
      </c>
      <c r="AB11" s="197">
        <v>261</v>
      </c>
    </row>
    <row r="12" spans="1:28">
      <c r="A12">
        <f>IF(EventTeam!$A:$A=0,"",EventTeam!$A:$A)</f>
        <v>558</v>
      </c>
      <c r="B12" t="str">
        <f t="shared" si="1"/>
        <v>422</v>
      </c>
      <c r="C12" t="str">
        <f>IFERROR(VLOOKUP($A12,TBAranking!$A:$Z,4,FALSE),-1000)</f>
        <v>422</v>
      </c>
      <c r="D12">
        <f t="shared" si="12"/>
        <v>-1000</v>
      </c>
      <c r="E12">
        <f t="shared" si="2"/>
        <v>-1000</v>
      </c>
      <c r="F12">
        <f t="shared" si="3"/>
        <v>361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4">
        <v>1100</v>
      </c>
      <c r="R12" s="193">
        <v>2415</v>
      </c>
      <c r="S12" s="164">
        <v>1247</v>
      </c>
      <c r="T12" s="196">
        <v>215</v>
      </c>
      <c r="U12" s="171">
        <v>999</v>
      </c>
      <c r="V12" s="196">
        <v>222</v>
      </c>
      <c r="W12" s="164">
        <v>839</v>
      </c>
      <c r="X12" s="196">
        <v>168</v>
      </c>
      <c r="Y12" s="171">
        <v>1099</v>
      </c>
      <c r="Z12" s="193">
        <v>351</v>
      </c>
      <c r="AA12" s="164">
        <v>1761</v>
      </c>
      <c r="AB12" s="196">
        <v>262</v>
      </c>
    </row>
    <row r="13" spans="1:28">
      <c r="A13">
        <f>IF(EventTeam!$A:$A=0,"",EventTeam!$A:$A)</f>
        <v>571</v>
      </c>
      <c r="B13" t="str">
        <f t="shared" si="1"/>
        <v>369</v>
      </c>
      <c r="C13" t="str">
        <f>IFERROR(VLOOKUP($A13,TBAranking!$A:$Z,4,FALSE),-1000)</f>
        <v>369</v>
      </c>
      <c r="D13">
        <f t="shared" si="12"/>
        <v>-1000</v>
      </c>
      <c r="E13">
        <f t="shared" si="2"/>
        <v>-1000</v>
      </c>
      <c r="F13">
        <f t="shared" si="3"/>
        <v>299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4">
        <v>1153</v>
      </c>
      <c r="R13" s="194">
        <v>2024</v>
      </c>
      <c r="S13" s="164">
        <v>1289</v>
      </c>
      <c r="T13" s="197">
        <v>232</v>
      </c>
      <c r="U13" s="171">
        <v>1085</v>
      </c>
      <c r="V13" s="197">
        <v>216</v>
      </c>
      <c r="W13" s="164">
        <v>1735</v>
      </c>
      <c r="X13" s="197">
        <v>201</v>
      </c>
      <c r="Y13" s="171">
        <v>2064</v>
      </c>
      <c r="Z13" s="194">
        <v>280</v>
      </c>
      <c r="AA13" s="164">
        <v>1965</v>
      </c>
      <c r="AB13" s="197">
        <v>279</v>
      </c>
    </row>
    <row r="14" spans="1:28">
      <c r="A14">
        <f>IF(EventTeam!$A:$A=0,"",EventTeam!$A:$A)</f>
        <v>839</v>
      </c>
      <c r="B14" t="str">
        <f t="shared" si="1"/>
        <v>342</v>
      </c>
      <c r="C14" t="str">
        <f>IFERROR(VLOOKUP($A14,TBAranking!$A:$Z,4,FALSE),-1000)</f>
        <v>342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168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4">
        <v>1277</v>
      </c>
      <c r="R14" s="193">
        <v>1686</v>
      </c>
      <c r="S14" s="164">
        <v>1307</v>
      </c>
      <c r="T14" s="196">
        <v>175</v>
      </c>
      <c r="U14" s="171">
        <v>1099</v>
      </c>
      <c r="V14" s="196">
        <v>330</v>
      </c>
      <c r="W14" s="164">
        <v>1757</v>
      </c>
      <c r="X14" s="196">
        <v>221</v>
      </c>
      <c r="Y14" s="171">
        <v>2067</v>
      </c>
      <c r="Z14" s="193">
        <v>362</v>
      </c>
      <c r="AA14" s="164">
        <v>2084</v>
      </c>
      <c r="AB14" s="196">
        <v>266</v>
      </c>
    </row>
    <row r="15" spans="1:28">
      <c r="A15">
        <f>IF(EventTeam!$A:$A=0,"",EventTeam!$A:$A)</f>
        <v>999</v>
      </c>
      <c r="B15" t="str">
        <f t="shared" si="1"/>
        <v>395</v>
      </c>
      <c r="C15" t="str">
        <f>IFERROR(VLOOKUP($A15,TBAranking!$A:$Z,4,FALSE),-1000)</f>
        <v>395</v>
      </c>
      <c r="D15">
        <f t="shared" si="12"/>
        <v>-1000</v>
      </c>
      <c r="E15">
        <f t="shared" si="2"/>
        <v>-1000</v>
      </c>
      <c r="F15">
        <f t="shared" si="3"/>
        <v>222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4">
        <v>1350</v>
      </c>
      <c r="R15" s="194">
        <v>1737</v>
      </c>
      <c r="S15" s="164">
        <v>1474</v>
      </c>
      <c r="T15" s="197">
        <v>205</v>
      </c>
      <c r="U15" s="171">
        <v>1124</v>
      </c>
      <c r="V15" s="197">
        <v>278</v>
      </c>
      <c r="W15" s="164">
        <v>2079</v>
      </c>
      <c r="X15" s="197">
        <v>231</v>
      </c>
      <c r="Y15" s="171">
        <v>2836</v>
      </c>
      <c r="Z15" s="194">
        <v>359</v>
      </c>
      <c r="AA15" s="164">
        <v>2423</v>
      </c>
      <c r="AB15" s="197">
        <v>258</v>
      </c>
    </row>
    <row r="16" spans="1:28">
      <c r="A16">
        <f>IF(EventTeam!$A:$A=0,"",EventTeam!$A:$A)</f>
        <v>1027</v>
      </c>
      <c r="B16" t="str">
        <f t="shared" si="1"/>
        <v>295</v>
      </c>
      <c r="C16" t="str">
        <f>IFERROR(VLOOKUP($A16,TBAranking!$A:$Z,4,FALSE),-1000)</f>
        <v>295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223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4">
        <v>1519</v>
      </c>
      <c r="R16" s="193">
        <v>2700</v>
      </c>
      <c r="S16" s="164">
        <v>1512</v>
      </c>
      <c r="T16" s="196">
        <v>239</v>
      </c>
      <c r="U16" s="171">
        <v>1676</v>
      </c>
      <c r="V16" s="196">
        <v>281</v>
      </c>
      <c r="W16" s="164">
        <v>2168</v>
      </c>
      <c r="X16" s="196">
        <v>229</v>
      </c>
      <c r="Y16" s="171">
        <v>3104</v>
      </c>
      <c r="Z16" s="193">
        <v>286</v>
      </c>
      <c r="AA16" s="164">
        <v>2713</v>
      </c>
      <c r="AB16" s="196">
        <v>290</v>
      </c>
    </row>
    <row r="17" spans="1:28">
      <c r="A17">
        <f>IF(EventTeam!$A:$A=0,"",EventTeam!$A:$A)</f>
        <v>1085</v>
      </c>
      <c r="B17" t="str">
        <f t="shared" si="1"/>
        <v>337</v>
      </c>
      <c r="C17" t="str">
        <f>IFERROR(VLOOKUP($A17,TBAranking!$A:$Z,4,FALSE),-1000)</f>
        <v>337</v>
      </c>
      <c r="D17">
        <f t="shared" si="12"/>
        <v>-1000</v>
      </c>
      <c r="E17">
        <f t="shared" si="2"/>
        <v>-1000</v>
      </c>
      <c r="F17">
        <f t="shared" si="3"/>
        <v>216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4">
        <v>1729</v>
      </c>
      <c r="R17" s="194">
        <v>2625</v>
      </c>
      <c r="S17" s="164">
        <v>1517</v>
      </c>
      <c r="T17" s="197">
        <v>135</v>
      </c>
      <c r="U17" s="171">
        <v>1699</v>
      </c>
      <c r="V17" s="197">
        <v>331</v>
      </c>
      <c r="W17" s="164">
        <v>2648</v>
      </c>
      <c r="X17" s="197">
        <v>208</v>
      </c>
      <c r="Y17" s="171">
        <v>3555</v>
      </c>
      <c r="Z17" s="194">
        <v>394</v>
      </c>
      <c r="AA17" s="164">
        <v>2876</v>
      </c>
      <c r="AB17" s="197">
        <v>294</v>
      </c>
    </row>
    <row r="18" spans="1:28">
      <c r="A18">
        <f>IF(EventTeam!$A:$A=0,"",EventTeam!$A:$A)</f>
        <v>1124</v>
      </c>
      <c r="B18">
        <f t="shared" si="1"/>
        <v>278</v>
      </c>
      <c r="C18">
        <f>IFERROR(VLOOKUP($A18,TBAranking!$A:$Z,4,FALSE),-1000)</f>
        <v>-1000</v>
      </c>
      <c r="D18">
        <f t="shared" si="12"/>
        <v>-1000</v>
      </c>
      <c r="E18">
        <f t="shared" si="2"/>
        <v>-1000</v>
      </c>
      <c r="F18">
        <f t="shared" si="3"/>
        <v>278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si="0"/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4">
        <v>1768</v>
      </c>
      <c r="R18" s="193">
        <v>1819</v>
      </c>
      <c r="S18" s="164">
        <v>2342</v>
      </c>
      <c r="T18" s="196">
        <v>215</v>
      </c>
      <c r="U18" s="171">
        <v>2067</v>
      </c>
      <c r="V18" s="196">
        <v>284</v>
      </c>
      <c r="W18" s="164">
        <v>3566</v>
      </c>
      <c r="X18" s="196">
        <v>220</v>
      </c>
      <c r="Y18" s="171">
        <v>3634</v>
      </c>
      <c r="Z18" s="193">
        <v>250</v>
      </c>
      <c r="AA18" s="164">
        <v>2877</v>
      </c>
      <c r="AB18" s="196">
        <v>303</v>
      </c>
    </row>
    <row r="19" spans="1:28">
      <c r="A19">
        <f>IF(EventTeam!$A:$A=0,"",EventTeam!$A:$A)</f>
        <v>1740</v>
      </c>
      <c r="B19" t="str">
        <f t="shared" si="1"/>
        <v>314</v>
      </c>
      <c r="C19" t="str">
        <f>IFERROR(VLOOKUP($A19,TBAranking!$A:$Z,4,FALSE),-1000)</f>
        <v>314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0"/>
        <v>-1000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4">
        <v>1786</v>
      </c>
      <c r="R19" s="194">
        <v>1752</v>
      </c>
      <c r="S19" s="164">
        <v>2876</v>
      </c>
      <c r="T19" s="197">
        <v>257</v>
      </c>
      <c r="U19" s="171">
        <v>2170</v>
      </c>
      <c r="V19" s="197">
        <v>301</v>
      </c>
      <c r="W19" s="164">
        <v>4041</v>
      </c>
      <c r="X19" s="197">
        <v>271</v>
      </c>
      <c r="Y19" s="171">
        <v>3654</v>
      </c>
      <c r="Z19" s="194">
        <v>281</v>
      </c>
      <c r="AA19" s="164">
        <v>3205</v>
      </c>
      <c r="AB19" s="197">
        <v>261</v>
      </c>
    </row>
    <row r="20" spans="1:28">
      <c r="A20">
        <f>IF(EventTeam!$A:$A=0,"",EventTeam!$A:$A)</f>
        <v>1973</v>
      </c>
      <c r="B20" t="str">
        <f t="shared" si="1"/>
        <v>254</v>
      </c>
      <c r="C20" t="str">
        <f>IFERROR(VLOOKUP($A20,TBAranking!$A:$Z,4,FALSE),-1000)</f>
        <v>254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0"/>
        <v>-1000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4">
        <v>1831</v>
      </c>
      <c r="R20" s="193">
        <v>1991</v>
      </c>
      <c r="S20" s="164">
        <v>3205</v>
      </c>
      <c r="T20" s="196">
        <v>171</v>
      </c>
      <c r="U20" s="171">
        <v>3182</v>
      </c>
      <c r="V20" s="196">
        <v>267</v>
      </c>
      <c r="W20" s="164">
        <v>4151</v>
      </c>
      <c r="X20" s="196">
        <v>189</v>
      </c>
      <c r="Y20" s="171">
        <v>3958</v>
      </c>
      <c r="Z20" s="193">
        <v>305</v>
      </c>
      <c r="AA20" s="164">
        <v>3467</v>
      </c>
      <c r="AB20" s="196">
        <v>326</v>
      </c>
    </row>
    <row r="21" spans="1:28">
      <c r="A21">
        <f>IF(EventTeam!$A:$A=0,"",EventTeam!$A:$A)</f>
        <v>1991</v>
      </c>
      <c r="B21" t="str">
        <f t="shared" si="1"/>
        <v>343</v>
      </c>
      <c r="C21" t="str">
        <f>IFERROR(VLOOKUP($A21,TBAranking!$A:$Z,4,FALSE),-1000)</f>
        <v>343</v>
      </c>
      <c r="D21">
        <f t="shared" si="12"/>
        <v>1844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si="5"/>
        <v>-1000</v>
      </c>
      <c r="I21">
        <f t="shared" si="6"/>
        <v>-1000</v>
      </c>
      <c r="J21">
        <f t="shared" si="0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4">
        <v>1991</v>
      </c>
      <c r="R21" s="194">
        <v>1844</v>
      </c>
      <c r="S21" s="164">
        <v>3323</v>
      </c>
      <c r="T21" s="197">
        <v>206</v>
      </c>
      <c r="U21" s="171">
        <v>3314</v>
      </c>
      <c r="V21" s="197">
        <v>352</v>
      </c>
      <c r="W21" s="164">
        <v>4169</v>
      </c>
      <c r="X21" s="197">
        <v>213</v>
      </c>
      <c r="Y21" s="171">
        <v>4055</v>
      </c>
      <c r="Z21" s="194">
        <v>269</v>
      </c>
      <c r="AA21" s="164">
        <v>4034</v>
      </c>
      <c r="AB21" s="197">
        <v>222</v>
      </c>
    </row>
    <row r="22" spans="1:28">
      <c r="A22">
        <f>IF(EventTeam!$A:$A=0,"",EventTeam!$A:$A)</f>
        <v>2064</v>
      </c>
      <c r="B22" t="str">
        <f t="shared" si="1"/>
        <v>331</v>
      </c>
      <c r="C22" t="str">
        <f>IFERROR(VLOOKUP($A22,TBAranking!$A:$Z,4,FALSE),-1000)</f>
        <v>331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5"/>
        <v>280</v>
      </c>
      <c r="I22">
        <f t="shared" si="6"/>
        <v>-1000</v>
      </c>
      <c r="J22">
        <f t="shared" si="0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4">
        <v>2262</v>
      </c>
      <c r="R22" s="193">
        <v>2135</v>
      </c>
      <c r="S22" s="164">
        <v>3930</v>
      </c>
      <c r="T22" s="196">
        <v>153</v>
      </c>
      <c r="U22" s="171">
        <v>3461</v>
      </c>
      <c r="V22" s="196">
        <v>363</v>
      </c>
      <c r="W22" s="164">
        <v>4176</v>
      </c>
      <c r="X22" s="196">
        <v>271</v>
      </c>
      <c r="Y22" s="171">
        <v>4557</v>
      </c>
      <c r="Z22" s="193">
        <v>337</v>
      </c>
      <c r="AA22" s="164">
        <v>4169</v>
      </c>
      <c r="AB22" s="196">
        <v>233</v>
      </c>
    </row>
    <row r="23" spans="1:28">
      <c r="A23">
        <f>IF(EventTeam!$A:$A=0,"",EventTeam!$A:$A)</f>
        <v>2067</v>
      </c>
      <c r="B23" t="str">
        <f t="shared" si="1"/>
        <v>388</v>
      </c>
      <c r="C23" t="str">
        <f>IFERROR(VLOOKUP($A23,TBAranking!$A:$Z,4,FALSE),-1000)</f>
        <v>388</v>
      </c>
      <c r="D23">
        <f t="shared" si="12"/>
        <v>-1000</v>
      </c>
      <c r="E23">
        <f t="shared" si="2"/>
        <v>-1000</v>
      </c>
      <c r="F23">
        <f t="shared" si="3"/>
        <v>284</v>
      </c>
      <c r="G23">
        <f t="shared" si="4"/>
        <v>-1000</v>
      </c>
      <c r="H23">
        <f t="shared" si="5"/>
        <v>362</v>
      </c>
      <c r="I23">
        <f t="shared" si="6"/>
        <v>-1000</v>
      </c>
      <c r="J23">
        <f t="shared" si="0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4">
        <v>2370</v>
      </c>
      <c r="R23" s="194">
        <v>2442</v>
      </c>
      <c r="S23" s="164">
        <v>3958</v>
      </c>
      <c r="T23" s="197">
        <v>244</v>
      </c>
      <c r="U23" s="171">
        <v>3464</v>
      </c>
      <c r="V23" s="197">
        <v>302</v>
      </c>
      <c r="W23" s="164">
        <v>4761</v>
      </c>
      <c r="X23" s="197">
        <v>220</v>
      </c>
      <c r="Y23" s="171">
        <v>4572</v>
      </c>
      <c r="Z23" s="194">
        <v>293</v>
      </c>
      <c r="AA23" s="164">
        <v>4311</v>
      </c>
      <c r="AB23" s="197">
        <v>266</v>
      </c>
    </row>
    <row r="24" spans="1:28">
      <c r="A24">
        <f>IF(EventTeam!$A:$A=0,"",EventTeam!$A:$A)</f>
        <v>2170</v>
      </c>
      <c r="B24" t="str">
        <f t="shared" si="1"/>
        <v>467</v>
      </c>
      <c r="C24" t="str">
        <f>IFERROR(VLOOKUP($A24,TBAranking!$A:$Z,4,FALSE),-1000)</f>
        <v>467</v>
      </c>
      <c r="D24">
        <f t="shared" si="12"/>
        <v>-1000</v>
      </c>
      <c r="E24">
        <f t="shared" si="2"/>
        <v>-1000</v>
      </c>
      <c r="F24">
        <f t="shared" si="3"/>
        <v>301</v>
      </c>
      <c r="G24">
        <f t="shared" si="4"/>
        <v>-1000</v>
      </c>
      <c r="H24">
        <f t="shared" si="5"/>
        <v>-1000</v>
      </c>
      <c r="I24">
        <f t="shared" si="6"/>
        <v>-1000</v>
      </c>
      <c r="J24">
        <f t="shared" si="0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4">
        <v>2785</v>
      </c>
      <c r="R24" s="193">
        <v>1434</v>
      </c>
      <c r="S24" s="164">
        <v>5265</v>
      </c>
      <c r="T24" s="196">
        <v>197</v>
      </c>
      <c r="U24" s="171">
        <v>3525</v>
      </c>
      <c r="V24" s="196">
        <v>266</v>
      </c>
      <c r="W24" s="164">
        <v>4796</v>
      </c>
      <c r="X24" s="196">
        <v>223</v>
      </c>
      <c r="Y24" s="171">
        <v>5687</v>
      </c>
      <c r="Z24" s="193">
        <v>374</v>
      </c>
      <c r="AA24" s="164">
        <v>4473</v>
      </c>
      <c r="AB24" s="196">
        <v>246</v>
      </c>
    </row>
    <row r="25" spans="1:28">
      <c r="A25">
        <f>IF(EventTeam!$A:$A=0,"",EventTeam!$A:$A)</f>
        <v>2785</v>
      </c>
      <c r="B25" t="str">
        <f t="shared" si="1"/>
        <v>308</v>
      </c>
      <c r="C25" t="str">
        <f>IFERROR(VLOOKUP($A25,TBAranking!$A:$Z,4,FALSE),-1000)</f>
        <v>308</v>
      </c>
      <c r="D25">
        <f t="shared" si="12"/>
        <v>1434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5"/>
        <v>-1000</v>
      </c>
      <c r="I25">
        <f t="shared" si="6"/>
        <v>-1000</v>
      </c>
      <c r="J25">
        <f t="shared" si="0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4">
        <v>3236</v>
      </c>
      <c r="R25" s="194">
        <v>2369</v>
      </c>
      <c r="S25" s="164">
        <v>5459</v>
      </c>
      <c r="T25" s="197">
        <v>148</v>
      </c>
      <c r="U25" s="171">
        <v>4055</v>
      </c>
      <c r="V25" s="197">
        <v>248</v>
      </c>
      <c r="W25" s="164">
        <v>4908</v>
      </c>
      <c r="X25" s="197">
        <v>198</v>
      </c>
      <c r="Y25" s="171">
        <v>5746</v>
      </c>
      <c r="Z25" s="194">
        <v>316</v>
      </c>
      <c r="AA25" s="164">
        <v>4761</v>
      </c>
      <c r="AB25" s="197">
        <v>306</v>
      </c>
    </row>
    <row r="26" spans="1:28">
      <c r="A26">
        <f>IF(EventTeam!$A:$A=0,"",EventTeam!$A:$A)</f>
        <v>2836</v>
      </c>
      <c r="B26" t="str">
        <f t="shared" si="1"/>
        <v>392</v>
      </c>
      <c r="C26" t="str">
        <f>IFERROR(VLOOKUP($A26,TBAranking!$A:$Z,4,FALSE),-1000)</f>
        <v>392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5"/>
        <v>359</v>
      </c>
      <c r="I26">
        <f t="shared" si="6"/>
        <v>-1000</v>
      </c>
      <c r="J26">
        <f t="shared" si="0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4">
        <v>3466</v>
      </c>
      <c r="R26" s="193">
        <v>1737</v>
      </c>
      <c r="S26" s="164">
        <v>5471</v>
      </c>
      <c r="T26" s="196">
        <v>129</v>
      </c>
      <c r="U26" s="171">
        <v>4097</v>
      </c>
      <c r="V26" s="196">
        <v>215</v>
      </c>
      <c r="W26" s="164">
        <v>5000</v>
      </c>
      <c r="X26" s="196">
        <v>263</v>
      </c>
      <c r="Y26" s="171">
        <v>5856</v>
      </c>
      <c r="Z26" s="193">
        <v>277</v>
      </c>
      <c r="AA26" s="164">
        <v>4905</v>
      </c>
      <c r="AB26" s="196">
        <v>326</v>
      </c>
    </row>
    <row r="27" spans="1:28">
      <c r="A27">
        <f>IF(EventTeam!$A:$A=0,"",EventTeam!$A:$A)</f>
        <v>3104</v>
      </c>
      <c r="B27">
        <f t="shared" si="1"/>
        <v>286</v>
      </c>
      <c r="C27">
        <f>IFERROR(VLOOKUP($A27,TBAranking!$A:$Z,4,FALSE),-1000)</f>
        <v>-1000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5"/>
        <v>286</v>
      </c>
      <c r="I27">
        <f t="shared" si="6"/>
        <v>-1000</v>
      </c>
      <c r="J27">
        <f t="shared" si="0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4">
        <v>3555</v>
      </c>
      <c r="R27" s="194">
        <v>2497</v>
      </c>
      <c r="S27" s="164">
        <v>5556</v>
      </c>
      <c r="T27" s="197">
        <v>193</v>
      </c>
      <c r="U27" s="171">
        <v>4557</v>
      </c>
      <c r="V27" s="197">
        <v>314</v>
      </c>
      <c r="W27" s="164">
        <v>5112</v>
      </c>
      <c r="X27" s="197">
        <v>184</v>
      </c>
      <c r="Y27" s="171">
        <v>6346</v>
      </c>
      <c r="Z27" s="194">
        <v>237</v>
      </c>
      <c r="AA27" s="164">
        <v>4906</v>
      </c>
      <c r="AB27" s="197">
        <v>254</v>
      </c>
    </row>
    <row r="28" spans="1:28">
      <c r="A28">
        <f>IF(EventTeam!$A:$A=0,"",EventTeam!$A:$A)</f>
        <v>3146</v>
      </c>
      <c r="B28" t="str">
        <f t="shared" si="1"/>
        <v>297</v>
      </c>
      <c r="C28" t="str">
        <f>IFERROR(VLOOKUP($A28,TBAranking!$A:$Z,4,FALSE),-1000)</f>
        <v>297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5"/>
        <v>-1000</v>
      </c>
      <c r="I28">
        <f t="shared" si="6"/>
        <v>-1000</v>
      </c>
      <c r="J28">
        <f t="shared" si="0"/>
        <v>-1000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4">
        <v>3566</v>
      </c>
      <c r="R28" s="193">
        <v>2054</v>
      </c>
      <c r="S28" s="164">
        <v>5686</v>
      </c>
      <c r="T28" s="196">
        <v>212</v>
      </c>
      <c r="U28" s="171">
        <v>4572</v>
      </c>
      <c r="V28" s="196">
        <v>282</v>
      </c>
      <c r="W28" s="164">
        <v>5422</v>
      </c>
      <c r="X28" s="196">
        <v>200</v>
      </c>
      <c r="Y28" s="171">
        <v>6367</v>
      </c>
      <c r="Z28" s="193">
        <v>282</v>
      </c>
      <c r="AA28" s="164">
        <v>4909</v>
      </c>
      <c r="AB28" s="196">
        <v>286</v>
      </c>
    </row>
    <row r="29" spans="1:28">
      <c r="A29">
        <f>IF(EventTeam!$A:$A=0,"",EventTeam!$A:$A)</f>
        <v>3182</v>
      </c>
      <c r="B29" t="str">
        <f t="shared" si="1"/>
        <v>312</v>
      </c>
      <c r="C29" t="str">
        <f>IFERROR(VLOOKUP($A29,TBAranking!$A:$Z,4,FALSE),-1000)</f>
        <v>312</v>
      </c>
      <c r="D29">
        <f t="shared" si="12"/>
        <v>-1000</v>
      </c>
      <c r="E29">
        <f t="shared" si="2"/>
        <v>-1000</v>
      </c>
      <c r="F29">
        <f t="shared" si="3"/>
        <v>267</v>
      </c>
      <c r="G29">
        <f t="shared" si="4"/>
        <v>-1000</v>
      </c>
      <c r="H29">
        <f t="shared" si="5"/>
        <v>-1000</v>
      </c>
      <c r="I29">
        <f t="shared" si="6"/>
        <v>-1000</v>
      </c>
      <c r="J29">
        <f t="shared" si="0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4">
        <v>3623</v>
      </c>
      <c r="R29" s="194">
        <v>1992</v>
      </c>
      <c r="S29" s="164">
        <v>5687</v>
      </c>
      <c r="T29" s="197">
        <v>325</v>
      </c>
      <c r="U29" s="171">
        <v>5129</v>
      </c>
      <c r="V29" s="197">
        <v>216</v>
      </c>
      <c r="W29" s="164">
        <v>5563</v>
      </c>
      <c r="X29" s="197">
        <v>208</v>
      </c>
      <c r="Y29" s="171">
        <v>6811</v>
      </c>
      <c r="Z29" s="194">
        <v>304</v>
      </c>
      <c r="AA29" s="164">
        <v>5122</v>
      </c>
      <c r="AB29" s="197">
        <v>275</v>
      </c>
    </row>
    <row r="30" spans="1:28">
      <c r="A30">
        <f>IF(EventTeam!$A:$A=0,"",EventTeam!$A:$A)</f>
        <v>3464</v>
      </c>
      <c r="B30" t="str">
        <f t="shared" si="1"/>
        <v>374</v>
      </c>
      <c r="C30" t="str">
        <f>IFERROR(VLOOKUP($A30,TBAranking!$A:$Z,4,FALSE),-1000)</f>
        <v>374</v>
      </c>
      <c r="D30">
        <f t="shared" si="12"/>
        <v>-1000</v>
      </c>
      <c r="E30">
        <f t="shared" si="2"/>
        <v>-1000</v>
      </c>
      <c r="F30">
        <f t="shared" si="3"/>
        <v>302</v>
      </c>
      <c r="G30">
        <f t="shared" si="4"/>
        <v>-1000</v>
      </c>
      <c r="H30">
        <f t="shared" si="5"/>
        <v>-1000</v>
      </c>
      <c r="I30">
        <f t="shared" si="6"/>
        <v>-1000</v>
      </c>
      <c r="J30">
        <f t="shared" si="0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4">
        <v>3719</v>
      </c>
      <c r="R30" s="193">
        <v>1591</v>
      </c>
      <c r="S30" s="164">
        <v>5902</v>
      </c>
      <c r="T30" s="196">
        <v>169</v>
      </c>
      <c r="U30" s="171">
        <v>5142</v>
      </c>
      <c r="V30" s="196">
        <v>301</v>
      </c>
      <c r="W30" s="164">
        <v>5813</v>
      </c>
      <c r="X30" s="196">
        <v>382</v>
      </c>
      <c r="Y30" s="171">
        <v>7127</v>
      </c>
      <c r="Z30" s="193">
        <v>300</v>
      </c>
      <c r="AA30" s="164">
        <v>5347</v>
      </c>
      <c r="AB30" s="196">
        <v>246</v>
      </c>
    </row>
    <row r="31" spans="1:28" ht="15.75" thickBot="1">
      <c r="A31">
        <f>IF(EventTeam!$A:$A=0,"",EventTeam!$A:$A)</f>
        <v>3634</v>
      </c>
      <c r="B31" t="str">
        <f t="shared" si="1"/>
        <v>327</v>
      </c>
      <c r="C31" t="str">
        <f>IFERROR(VLOOKUP($A31,TBAranking!$A:$Z,4,FALSE),-1000)</f>
        <v>327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5"/>
        <v>250</v>
      </c>
      <c r="I31">
        <f t="shared" si="6"/>
        <v>-1000</v>
      </c>
      <c r="J31">
        <f t="shared" si="0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4">
        <v>4042</v>
      </c>
      <c r="R31" s="194">
        <v>1989</v>
      </c>
      <c r="S31" s="164">
        <v>6324</v>
      </c>
      <c r="T31" s="197">
        <v>272</v>
      </c>
      <c r="U31" s="171">
        <v>5856</v>
      </c>
      <c r="V31" s="197">
        <v>333</v>
      </c>
      <c r="W31" s="164">
        <v>5846</v>
      </c>
      <c r="X31" s="197">
        <v>255</v>
      </c>
      <c r="Y31" s="172">
        <v>7153</v>
      </c>
      <c r="Z31" s="209">
        <v>307</v>
      </c>
      <c r="AA31" s="164">
        <v>5459</v>
      </c>
      <c r="AB31" s="197">
        <v>267</v>
      </c>
    </row>
    <row r="32" spans="1:28">
      <c r="A32">
        <f>IF(EventTeam!$A:$A=0,"",EventTeam!$A:$A)</f>
        <v>3654</v>
      </c>
      <c r="B32" t="str">
        <f t="shared" si="1"/>
        <v>336</v>
      </c>
      <c r="C32" t="str">
        <f>IFERROR(VLOOKUP($A32,TBAranking!$A:$Z,4,FALSE),-1000)</f>
        <v>336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5"/>
        <v>281</v>
      </c>
      <c r="I32">
        <f t="shared" si="6"/>
        <v>-1000</v>
      </c>
      <c r="J32">
        <f t="shared" si="0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4">
        <v>4048</v>
      </c>
      <c r="R32" s="193">
        <v>2090</v>
      </c>
      <c r="S32" s="164">
        <v>6335</v>
      </c>
      <c r="T32" s="196">
        <v>174</v>
      </c>
      <c r="U32" s="171">
        <v>6723</v>
      </c>
      <c r="V32" s="196">
        <v>299</v>
      </c>
      <c r="W32" s="164">
        <v>6153</v>
      </c>
      <c r="X32" s="196">
        <v>243</v>
      </c>
      <c r="Y32" s="171"/>
      <c r="Z32" s="171"/>
      <c r="AA32" s="164">
        <v>5556</v>
      </c>
      <c r="AB32" s="196">
        <v>335</v>
      </c>
    </row>
    <row r="33" spans="1:28" ht="15.75" thickBot="1">
      <c r="A33">
        <f>IF(EventTeam!$A:$A=0,"",EventTeam!$A:$A)</f>
        <v>4987</v>
      </c>
      <c r="B33" t="str">
        <f t="shared" si="1"/>
        <v>333</v>
      </c>
      <c r="C33" t="str">
        <f>IFERROR(VLOOKUP($A33,TBAranking!$A:$Z,4,FALSE),-1000)</f>
        <v>333</v>
      </c>
      <c r="D33">
        <f t="shared" si="12"/>
        <v>2079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5"/>
        <v>-1000</v>
      </c>
      <c r="I33">
        <f t="shared" si="6"/>
        <v>-1000</v>
      </c>
      <c r="J33">
        <f t="shared" si="0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4">
        <v>4564</v>
      </c>
      <c r="R33" s="194">
        <v>2865</v>
      </c>
      <c r="S33" s="164">
        <v>6691</v>
      </c>
      <c r="T33" s="197">
        <v>152</v>
      </c>
      <c r="U33" s="172">
        <v>7266</v>
      </c>
      <c r="V33" s="198">
        <v>247</v>
      </c>
      <c r="W33" s="164">
        <v>6172</v>
      </c>
      <c r="X33" s="197">
        <v>210</v>
      </c>
      <c r="Y33" s="171"/>
      <c r="Z33" s="171"/>
      <c r="AA33" s="164">
        <v>5735</v>
      </c>
      <c r="AB33" s="197">
        <v>402</v>
      </c>
    </row>
    <row r="34" spans="1:28">
      <c r="A34">
        <f>IF(EventTeam!$A:$A=0,"",EventTeam!$A:$A)</f>
        <v>5129</v>
      </c>
      <c r="B34" t="str">
        <f t="shared" si="1"/>
        <v>348</v>
      </c>
      <c r="C34" t="str">
        <f>IFERROR(VLOOKUP($A34,TBAranking!$A:$Z,4,FALSE),-1000)</f>
        <v>348</v>
      </c>
      <c r="D34">
        <f t="shared" si="12"/>
        <v>-1000</v>
      </c>
      <c r="E34">
        <f t="shared" si="2"/>
        <v>-1000</v>
      </c>
      <c r="F34">
        <f t="shared" si="3"/>
        <v>216</v>
      </c>
      <c r="G34">
        <f t="shared" si="4"/>
        <v>-1000</v>
      </c>
      <c r="H34">
        <f t="shared" si="5"/>
        <v>-1000</v>
      </c>
      <c r="I34">
        <f t="shared" si="6"/>
        <v>-1000</v>
      </c>
      <c r="J34">
        <f t="shared" si="0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4">
        <v>4905</v>
      </c>
      <c r="R34" s="193">
        <v>2012</v>
      </c>
      <c r="S34" s="164">
        <v>6933</v>
      </c>
      <c r="T34" s="196">
        <v>277</v>
      </c>
      <c r="W34" s="164">
        <v>6201</v>
      </c>
      <c r="X34" s="196">
        <v>283</v>
      </c>
      <c r="Y34" s="171"/>
      <c r="Z34" s="171"/>
      <c r="AA34" s="164">
        <v>5752</v>
      </c>
      <c r="AB34" s="196">
        <v>257</v>
      </c>
    </row>
    <row r="35" spans="1:28">
      <c r="A35">
        <f>IF(EventTeam!$A:$A=0,"",EventTeam!$A:$A)</f>
        <v>5142</v>
      </c>
      <c r="B35" t="str">
        <f t="shared" si="1"/>
        <v>304</v>
      </c>
      <c r="C35" t="str">
        <f>IFERROR(VLOOKUP($A35,TBAranking!$A:$Z,4,FALSE),-1000)</f>
        <v>304</v>
      </c>
      <c r="D35">
        <f t="shared" si="12"/>
        <v>-1000</v>
      </c>
      <c r="E35">
        <f t="shared" si="2"/>
        <v>-1000</v>
      </c>
      <c r="F35">
        <f t="shared" si="3"/>
        <v>301</v>
      </c>
      <c r="G35">
        <f t="shared" si="4"/>
        <v>-1000</v>
      </c>
      <c r="H35">
        <f t="shared" si="5"/>
        <v>-1000</v>
      </c>
      <c r="I35">
        <f t="shared" si="6"/>
        <v>-1000</v>
      </c>
      <c r="J35">
        <f t="shared" si="0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4">
        <v>4987</v>
      </c>
      <c r="R35" s="194">
        <v>2079</v>
      </c>
      <c r="S35" s="164">
        <v>7133</v>
      </c>
      <c r="T35" s="197">
        <v>201</v>
      </c>
      <c r="W35" s="164">
        <v>6224</v>
      </c>
      <c r="X35" s="197">
        <v>229</v>
      </c>
      <c r="Y35" s="171"/>
      <c r="Z35" s="171"/>
      <c r="AA35" s="164">
        <v>5962</v>
      </c>
      <c r="AB35" s="197">
        <v>265</v>
      </c>
    </row>
    <row r="36" spans="1:28" ht="15.75" thickBot="1">
      <c r="A36">
        <f>IF(EventTeam!$A:$A=0,"",EventTeam!$A:$A)</f>
        <v>5686</v>
      </c>
      <c r="B36" t="str">
        <f t="shared" si="1"/>
        <v>401</v>
      </c>
      <c r="C36" t="str">
        <f>IFERROR(VLOOKUP($A36,TBAranking!$A:$Z,4,FALSE),-1000)</f>
        <v>401</v>
      </c>
      <c r="D36">
        <f t="shared" si="12"/>
        <v>-1000</v>
      </c>
      <c r="E36">
        <f t="shared" si="2"/>
        <v>212</v>
      </c>
      <c r="F36">
        <f t="shared" si="3"/>
        <v>-1000</v>
      </c>
      <c r="G36">
        <f t="shared" si="4"/>
        <v>-1000</v>
      </c>
      <c r="H36">
        <f t="shared" si="5"/>
        <v>-1000</v>
      </c>
      <c r="I36">
        <f t="shared" si="6"/>
        <v>-1000</v>
      </c>
      <c r="J36">
        <f t="shared" si="0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4">
        <v>5491</v>
      </c>
      <c r="R36" s="193">
        <v>1630</v>
      </c>
      <c r="S36" s="166">
        <v>7314</v>
      </c>
      <c r="T36" s="201">
        <v>119</v>
      </c>
      <c r="W36" s="164">
        <v>6301</v>
      </c>
      <c r="X36" s="196">
        <v>148</v>
      </c>
      <c r="Y36" s="171"/>
      <c r="Z36" s="171"/>
      <c r="AA36" s="164">
        <v>6324</v>
      </c>
      <c r="AB36" s="196">
        <v>376</v>
      </c>
    </row>
    <row r="37" spans="1:28">
      <c r="A37">
        <f>IF(EventTeam!$A:$A=0,"",EventTeam!$A:$A)</f>
        <v>5746</v>
      </c>
      <c r="B37" t="str">
        <f t="shared" si="1"/>
        <v>321</v>
      </c>
      <c r="C37" t="str">
        <f>IFERROR(VLOOKUP($A37,TBAranking!$A:$Z,4,FALSE),-1000)</f>
        <v>321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5"/>
        <v>316</v>
      </c>
      <c r="I37">
        <f t="shared" si="6"/>
        <v>-1000</v>
      </c>
      <c r="J37">
        <f t="shared" si="0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4">
        <v>5494</v>
      </c>
      <c r="R37" s="194">
        <v>2225</v>
      </c>
      <c r="W37" s="164">
        <v>6328</v>
      </c>
      <c r="X37" s="197">
        <v>236</v>
      </c>
      <c r="Y37" s="171"/>
      <c r="Z37" s="171"/>
      <c r="AA37" s="164">
        <v>6335</v>
      </c>
      <c r="AB37" s="197">
        <v>236</v>
      </c>
    </row>
    <row r="38" spans="1:28">
      <c r="A38">
        <f>IF(EventTeam!$A:$A=0,"",EventTeam!$A:$A)</f>
        <v>6333</v>
      </c>
      <c r="B38" t="str">
        <f t="shared" si="1"/>
        <v>329</v>
      </c>
      <c r="C38" t="str">
        <f>IFERROR(VLOOKUP($A38,TBAranking!$A:$Z,4,FALSE),-1000)</f>
        <v>329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5"/>
        <v>-1000</v>
      </c>
      <c r="I38">
        <f t="shared" si="6"/>
        <v>-1000</v>
      </c>
      <c r="J38">
        <f t="shared" si="0"/>
        <v>-1000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4">
        <v>5735</v>
      </c>
      <c r="R38" s="193">
        <v>2235</v>
      </c>
      <c r="W38" s="164">
        <v>6337</v>
      </c>
      <c r="X38" s="196">
        <v>229</v>
      </c>
      <c r="Y38" s="171"/>
      <c r="Z38" s="171"/>
      <c r="AA38" s="164">
        <v>6731</v>
      </c>
      <c r="AB38" s="196">
        <v>342</v>
      </c>
    </row>
    <row r="39" spans="1:28">
      <c r="A39">
        <f>IF(EventTeam!$A:$A=0,"",EventTeam!$A:$A)</f>
        <v>6346</v>
      </c>
      <c r="B39" t="str">
        <f t="shared" si="1"/>
        <v>396</v>
      </c>
      <c r="C39" t="str">
        <f>IFERROR(VLOOKUP($A39,TBAranking!$A:$Z,4,FALSE),-1000)</f>
        <v>396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5"/>
        <v>237</v>
      </c>
      <c r="I39">
        <f t="shared" si="6"/>
        <v>-1000</v>
      </c>
      <c r="J39">
        <f t="shared" si="0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4">
        <v>6329</v>
      </c>
      <c r="R39" s="194">
        <v>2339</v>
      </c>
      <c r="W39" s="164">
        <v>6529</v>
      </c>
      <c r="X39" s="197">
        <v>200</v>
      </c>
      <c r="Y39" s="171"/>
      <c r="Z39" s="171"/>
      <c r="AA39" s="164">
        <v>6762</v>
      </c>
      <c r="AB39" s="197">
        <v>271</v>
      </c>
    </row>
    <row r="40" spans="1:28">
      <c r="A40">
        <f>IF(EventTeam!$A:$A=0,"",EventTeam!$A:$A)</f>
        <v>6811</v>
      </c>
      <c r="B40" t="str">
        <f t="shared" si="1"/>
        <v>287</v>
      </c>
      <c r="C40" t="str">
        <f>IFERROR(VLOOKUP($A40,TBAranking!$A:$Z,4,FALSE),-1000)</f>
        <v>287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5"/>
        <v>304</v>
      </c>
      <c r="I40">
        <f t="shared" si="6"/>
        <v>-1000</v>
      </c>
      <c r="J40">
        <f t="shared" si="0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4">
        <v>6723</v>
      </c>
      <c r="R40" s="193">
        <v>1367</v>
      </c>
      <c r="W40" s="164">
        <v>6620</v>
      </c>
      <c r="X40" s="196">
        <v>199</v>
      </c>
      <c r="Y40" s="171"/>
      <c r="Z40" s="171"/>
      <c r="AA40" s="164">
        <v>6763</v>
      </c>
      <c r="AB40" s="196">
        <v>282</v>
      </c>
    </row>
    <row r="41" spans="1:28" ht="15.75" thickBot="1">
      <c r="A41">
        <f>IF(EventTeam!$A:$A=0,"",EventTeam!$A:$A)</f>
        <v>6812</v>
      </c>
      <c r="B41" t="str">
        <f t="shared" si="1"/>
        <v>278</v>
      </c>
      <c r="C41" t="str">
        <f>IFERROR(VLOOKUP($A41,TBAranking!$A:$Z,4,FALSE),-1000)</f>
        <v>278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5"/>
        <v>-1000</v>
      </c>
      <c r="I41">
        <f t="shared" si="6"/>
        <v>-1000</v>
      </c>
      <c r="J41">
        <f t="shared" si="0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4">
        <v>7164</v>
      </c>
      <c r="R41" s="194">
        <v>2029</v>
      </c>
      <c r="W41" s="166">
        <v>6731</v>
      </c>
      <c r="X41" s="198">
        <v>199</v>
      </c>
      <c r="Y41" s="171"/>
      <c r="Z41" s="171"/>
      <c r="AA41" s="166">
        <v>7240</v>
      </c>
      <c r="AB41" s="198">
        <v>240</v>
      </c>
    </row>
    <row r="42" spans="1:28" ht="15.75" thickBot="1">
      <c r="A42">
        <f>IF(EventTeam!$A:$A=0,"",EventTeam!$A:$A)</f>
        <v>6895</v>
      </c>
      <c r="B42" t="str">
        <f t="shared" si="1"/>
        <v>279</v>
      </c>
      <c r="C42" t="str">
        <f>IFERROR(VLOOKUP($A42,TBAranking!$A:$Z,4,FALSE),-1000)</f>
        <v>279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5"/>
        <v>-1000</v>
      </c>
      <c r="I42">
        <f t="shared" si="6"/>
        <v>-1000</v>
      </c>
      <c r="J42">
        <f t="shared" si="0"/>
        <v>-1000</v>
      </c>
      <c r="K42">
        <f t="shared" si="7"/>
        <v>-1000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6">
        <v>7259</v>
      </c>
      <c r="R42" s="193">
        <v>1902</v>
      </c>
    </row>
    <row r="43" spans="1:28">
      <c r="A43">
        <f>IF(EventTeam!$A:$A=0,"",EventTeam!$A:$A)</f>
        <v>7127</v>
      </c>
      <c r="B43" t="str">
        <f t="shared" si="1"/>
        <v>377</v>
      </c>
      <c r="C43" t="str">
        <f>IFERROR(VLOOKUP($A43,TBAranking!$A:$Z,4,FALSE),-1000)</f>
        <v>377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5"/>
        <v>300</v>
      </c>
      <c r="I43">
        <f t="shared" si="6"/>
        <v>-1000</v>
      </c>
      <c r="J43">
        <f t="shared" si="0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28">
      <c r="A44">
        <f>IF(EventTeam!$A:$A=0,"",EventTeam!$A:$A)</f>
        <v>7153</v>
      </c>
      <c r="B44" t="str">
        <f t="shared" si="1"/>
        <v>307</v>
      </c>
      <c r="C44" t="str">
        <f>IFERROR(VLOOKUP($A44,TBAranking!$A:$Z,4,FALSE),-1000)</f>
        <v>307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5"/>
        <v>307</v>
      </c>
      <c r="I44">
        <f t="shared" si="6"/>
        <v>-1000</v>
      </c>
      <c r="J44">
        <f t="shared" si="0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28">
      <c r="A45" t="str">
        <f>IF(EventTeam!$A:$A=0,"",EventTeam!$A:$A)</f>
        <v/>
      </c>
      <c r="B45">
        <f t="shared" si="1"/>
        <v>-1000</v>
      </c>
      <c r="C45">
        <f>IFERROR(VLOOKUP($A45,TBAranking!$A:$Z,4,FALSE),-1000)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5"/>
        <v>-1000</v>
      </c>
      <c r="I45">
        <f t="shared" si="6"/>
        <v>-1000</v>
      </c>
      <c r="J45">
        <f t="shared" si="0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28">
      <c r="A46" t="str">
        <f>IF(EventTeam!$A:$A=0,"",EventTeam!$A:$A)</f>
        <v/>
      </c>
      <c r="B46">
        <f t="shared" si="1"/>
        <v>-1000</v>
      </c>
      <c r="C46">
        <f>IFERROR(VLOOKUP($A46,TBAranking!$A:$Z,4,FALSE),-1000)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5"/>
        <v>-1000</v>
      </c>
      <c r="I46">
        <f t="shared" si="6"/>
        <v>-1000</v>
      </c>
      <c r="J46">
        <f t="shared" si="0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28">
      <c r="A47" t="str">
        <f>IF(EventTeam!$A:$A=0,"",EventTeam!$A:$A)</f>
        <v/>
      </c>
      <c r="B47">
        <f t="shared" si="1"/>
        <v>-1000</v>
      </c>
      <c r="C47">
        <f>IFERROR(VLOOKUP($A47,TBAranking!$A:$Z,4,FALSE),-1000)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5"/>
        <v>-1000</v>
      </c>
      <c r="I47">
        <f t="shared" si="6"/>
        <v>-1000</v>
      </c>
      <c r="J47">
        <f t="shared" si="0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28">
      <c r="A48" t="str">
        <f>IF(EventTeam!$A:$A=0,"",EventTeam!$A:$A)</f>
        <v/>
      </c>
      <c r="B48">
        <f t="shared" si="1"/>
        <v>-1000</v>
      </c>
      <c r="C48">
        <f>IFERROR(VLOOKUP($A48,TBAranking!$A:$Z,4,FALSE),-1000)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5"/>
        <v>-1000</v>
      </c>
      <c r="I48">
        <f t="shared" si="6"/>
        <v>-1000</v>
      </c>
      <c r="J48">
        <f t="shared" si="0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IFERROR(VLOOKUP($A49,TBAranking!$A:$Z,4,FALSE),-1000)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5"/>
        <v>-1000</v>
      </c>
      <c r="I49">
        <f t="shared" si="6"/>
        <v>-1000</v>
      </c>
      <c r="J49">
        <f t="shared" si="0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IFERROR(VLOOKUP($A50,TBAranking!$A:$Z,4,FALSE),-1000)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5"/>
        <v>-1000</v>
      </c>
      <c r="I50">
        <f t="shared" si="6"/>
        <v>-1000</v>
      </c>
      <c r="J50">
        <f t="shared" si="0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IFERROR(VLOOKUP($A51,TBAranking!$A:$Z,4,FALSE),-1000)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5"/>
        <v>-1000</v>
      </c>
      <c r="I51">
        <f t="shared" si="6"/>
        <v>-1000</v>
      </c>
      <c r="J51">
        <f t="shared" si="0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IFERROR(VLOOKUP($A52,TBAranking!$A:$Z,4,FALSE),-1000)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5"/>
        <v>-1000</v>
      </c>
      <c r="I52">
        <f t="shared" si="6"/>
        <v>-1000</v>
      </c>
      <c r="J52">
        <f t="shared" si="0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IFERROR(VLOOKUP($A53,TBAranking!$A:$Z,4,FALSE),-1000)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5"/>
        <v>-1000</v>
      </c>
      <c r="I53">
        <f t="shared" si="6"/>
        <v>-1000</v>
      </c>
      <c r="J53">
        <f t="shared" si="0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IFERROR(VLOOKUP($A54,TBAranking!$A:$Z,4,FALSE),-1000)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5"/>
        <v>-1000</v>
      </c>
      <c r="I54">
        <f t="shared" si="6"/>
        <v>-1000</v>
      </c>
      <c r="J54">
        <f t="shared" si="0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IFERROR(VLOOKUP($A55,TBAranking!$A:$Z,4,FALSE),-1000)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5"/>
        <v>-1000</v>
      </c>
      <c r="I55">
        <f t="shared" si="6"/>
        <v>-1000</v>
      </c>
      <c r="J55">
        <f t="shared" si="0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IFERROR(VLOOKUP($A56,TBAranking!$A:$Z,4,FALSE),-1000)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5"/>
        <v>-1000</v>
      </c>
      <c r="I56">
        <f t="shared" si="6"/>
        <v>-1000</v>
      </c>
      <c r="J56">
        <f t="shared" si="0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IFERROR(VLOOKUP($A57,TBAranking!$A:$Z,4,FALSE),-1000)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5"/>
        <v>-1000</v>
      </c>
      <c r="I57">
        <f t="shared" si="6"/>
        <v>-1000</v>
      </c>
      <c r="J57">
        <f t="shared" si="0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IFERROR(VLOOKUP($A58,TBAranking!$A:$Z,4,FALSE),-1000)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5"/>
        <v>-1000</v>
      </c>
      <c r="I58">
        <f t="shared" si="6"/>
        <v>-1000</v>
      </c>
      <c r="J58">
        <f t="shared" si="0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IFERROR(VLOOKUP($A59,TBAranking!$A:$Z,4,FALSE),-1000)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5"/>
        <v>-1000</v>
      </c>
      <c r="I59">
        <f t="shared" si="6"/>
        <v>-1000</v>
      </c>
      <c r="J59">
        <f t="shared" si="0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IFERROR(VLOOKUP($A60,TBAranking!$A:$Z,4,FALSE),-1000)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5"/>
        <v>-1000</v>
      </c>
      <c r="I60">
        <f t="shared" si="6"/>
        <v>-1000</v>
      </c>
      <c r="J60">
        <f t="shared" si="0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IFERROR(VLOOKUP($A61,TBAranking!$A:$Z,4,FALSE),-1000)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5"/>
        <v>-1000</v>
      </c>
      <c r="I61">
        <f t="shared" si="6"/>
        <v>-1000</v>
      </c>
      <c r="J61">
        <f t="shared" si="0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IFERROR(VLOOKUP($A62,TBAranking!$A:$Z,4,FALSE),-1000)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5"/>
        <v>-1000</v>
      </c>
      <c r="I62">
        <f t="shared" si="6"/>
        <v>-1000</v>
      </c>
      <c r="J62">
        <f t="shared" si="0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IFERROR(VLOOKUP($A63,TBAranking!$A:$Z,4,FALSE),-1000)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5"/>
        <v>-1000</v>
      </c>
      <c r="I63">
        <f t="shared" si="6"/>
        <v>-1000</v>
      </c>
      <c r="J63">
        <f t="shared" si="0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IFERROR(VLOOKUP($A64,TBAranking!$A:$Z,4,FALSE),-1000)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5"/>
        <v>-1000</v>
      </c>
      <c r="I64">
        <f t="shared" si="6"/>
        <v>-1000</v>
      </c>
      <c r="J64">
        <f t="shared" si="0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IFERROR(VLOOKUP($A65,TBAranking!$A:$Z,4,FALSE),-1000)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5"/>
        <v>-1000</v>
      </c>
      <c r="I65">
        <f t="shared" si="6"/>
        <v>-1000</v>
      </c>
      <c r="J65">
        <f t="shared" si="0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IFERROR(VLOOKUP($A66,TBAranking!$A:$Z,4,FALSE),-1000)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5"/>
        <v>-1000</v>
      </c>
      <c r="I66">
        <f t="shared" si="6"/>
        <v>-1000</v>
      </c>
      <c r="J66">
        <f t="shared" ref="J66:J100" si="13">IFERROR(VLOOKUP($A66,$AC:$AD,2,FALSE),-1000)</f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4">IF($C67&lt;&gt;-1000,$C67, MAX($D67:$O67))</f>
        <v>-1000</v>
      </c>
      <c r="C67">
        <f>IFERROR(VLOOKUP($A67,TBAranking!$A:$Z,4,FALSE),-1000)</f>
        <v>-1000</v>
      </c>
      <c r="D67">
        <f t="shared" si="12"/>
        <v>-1000</v>
      </c>
      <c r="E67">
        <f t="shared" ref="E67:E100" si="15">IFERROR(VLOOKUP($A67,$S:$T,2,FALSE),-1000)</f>
        <v>-1000</v>
      </c>
      <c r="F67">
        <f t="shared" ref="F67:F100" si="16">IFERROR(VLOOKUP($A67,$U:$V,2,FALSE),-1000)</f>
        <v>-1000</v>
      </c>
      <c r="G67">
        <f t="shared" ref="G67:G100" si="17">IFERROR(VLOOKUP($A67,$W:$X,2,FALSE),-1000)</f>
        <v>-1000</v>
      </c>
      <c r="H67">
        <f t="shared" ref="H67:H100" si="18">IFERROR(VLOOKUP($A67,$Y:$Z,2,FALSE),-1000)</f>
        <v>-1000</v>
      </c>
      <c r="I67">
        <f t="shared" ref="I67:I100" si="19">IFERROR(VLOOKUP($A67,$AA:$AB,2,FALSE),-1000)</f>
        <v>-1000</v>
      </c>
      <c r="J67">
        <f t="shared" si="13"/>
        <v>-1000</v>
      </c>
      <c r="K67">
        <f t="shared" ref="K67:K100" si="20">IFERROR(VLOOKUP($A67,$AE:$AF,2,FALSE),-1000)</f>
        <v>-1000</v>
      </c>
      <c r="L67">
        <f t="shared" ref="L67:L100" si="21">IFERROR(VLOOKUP($A67,$AG:$AH,2,FALSE),-1000)</f>
        <v>-1000</v>
      </c>
      <c r="M67">
        <f t="shared" ref="M67:M100" si="22">IFERROR(VLOOKUP($A67,$AI:$AJ,2,FALSE),-1000)</f>
        <v>-1000</v>
      </c>
      <c r="N67">
        <f t="shared" ref="N67:N100" si="23">IFERROR(VLOOKUP($A67,$AK:$AL,2,FALSE),-1000)</f>
        <v>-1000</v>
      </c>
      <c r="O67">
        <f t="shared" ref="O67:O100" si="24">IFERROR(VLOOKUP($A67,$AM:$AN,2,FALSE),-1000)</f>
        <v>-1000</v>
      </c>
    </row>
    <row r="68" spans="1:15">
      <c r="A68" t="str">
        <f>IF(EventTeam!$A:$A=0,"",EventTeam!$A:$A)</f>
        <v/>
      </c>
      <c r="B68">
        <f t="shared" si="14"/>
        <v>-1000</v>
      </c>
      <c r="C68">
        <f>IFERROR(VLOOKUP($A68,TBAranking!$A:$Z,4,FALSE),-1000)</f>
        <v>-1000</v>
      </c>
      <c r="D68">
        <f t="shared" ref="D68:D100" si="25">IFERROR(VLOOKUP($A68,$Q:$R,2,FALSE),-1000)</f>
        <v>-1000</v>
      </c>
      <c r="E68">
        <f t="shared" si="15"/>
        <v>-1000</v>
      </c>
      <c r="F68">
        <f t="shared" si="16"/>
        <v>-1000</v>
      </c>
      <c r="G68">
        <f t="shared" si="17"/>
        <v>-1000</v>
      </c>
      <c r="H68">
        <f t="shared" si="18"/>
        <v>-1000</v>
      </c>
      <c r="I68">
        <f t="shared" si="19"/>
        <v>-1000</v>
      </c>
      <c r="J68">
        <f t="shared" si="13"/>
        <v>-1000</v>
      </c>
      <c r="K68">
        <f t="shared" si="20"/>
        <v>-1000</v>
      </c>
      <c r="L68">
        <f t="shared" si="21"/>
        <v>-1000</v>
      </c>
      <c r="M68">
        <f t="shared" si="22"/>
        <v>-1000</v>
      </c>
      <c r="N68">
        <f t="shared" si="23"/>
        <v>-1000</v>
      </c>
      <c r="O68">
        <f t="shared" si="24"/>
        <v>-1000</v>
      </c>
    </row>
    <row r="69" spans="1:15">
      <c r="A69" t="str">
        <f>IF(EventTeam!$A:$A=0,"",EventTeam!$A:$A)</f>
        <v/>
      </c>
      <c r="B69">
        <f t="shared" si="14"/>
        <v>-1000</v>
      </c>
      <c r="C69">
        <f>IFERROR(VLOOKUP($A69,TBAranking!$A:$Z,4,FALSE),-1000)</f>
        <v>-1000</v>
      </c>
      <c r="D69">
        <f t="shared" si="25"/>
        <v>-1000</v>
      </c>
      <c r="E69">
        <f t="shared" si="15"/>
        <v>-1000</v>
      </c>
      <c r="F69">
        <f t="shared" si="16"/>
        <v>-1000</v>
      </c>
      <c r="G69">
        <f t="shared" si="17"/>
        <v>-1000</v>
      </c>
      <c r="H69">
        <f t="shared" si="18"/>
        <v>-1000</v>
      </c>
      <c r="I69">
        <f t="shared" si="19"/>
        <v>-1000</v>
      </c>
      <c r="J69">
        <f t="shared" si="13"/>
        <v>-1000</v>
      </c>
      <c r="K69">
        <f t="shared" si="20"/>
        <v>-1000</v>
      </c>
      <c r="L69">
        <f t="shared" si="21"/>
        <v>-1000</v>
      </c>
      <c r="M69">
        <f t="shared" si="22"/>
        <v>-1000</v>
      </c>
      <c r="N69">
        <f t="shared" si="23"/>
        <v>-1000</v>
      </c>
      <c r="O69">
        <f t="shared" si="24"/>
        <v>-1000</v>
      </c>
    </row>
    <row r="70" spans="1:15">
      <c r="A70" t="str">
        <f>IF(EventTeam!$A:$A=0,"",EventTeam!$A:$A)</f>
        <v/>
      </c>
      <c r="B70">
        <f t="shared" si="14"/>
        <v>-1000</v>
      </c>
      <c r="C70">
        <f>IFERROR(VLOOKUP($A70,TBAranking!$A:$Z,4,FALSE),-1000)</f>
        <v>-1000</v>
      </c>
      <c r="D70">
        <f t="shared" si="25"/>
        <v>-1000</v>
      </c>
      <c r="E70">
        <f t="shared" si="15"/>
        <v>-1000</v>
      </c>
      <c r="F70">
        <f t="shared" si="16"/>
        <v>-1000</v>
      </c>
      <c r="G70">
        <f t="shared" si="17"/>
        <v>-1000</v>
      </c>
      <c r="H70">
        <f t="shared" si="18"/>
        <v>-1000</v>
      </c>
      <c r="I70">
        <f t="shared" si="19"/>
        <v>-1000</v>
      </c>
      <c r="J70">
        <f t="shared" si="13"/>
        <v>-1000</v>
      </c>
      <c r="K70">
        <f t="shared" si="20"/>
        <v>-1000</v>
      </c>
      <c r="L70">
        <f t="shared" si="21"/>
        <v>-1000</v>
      </c>
      <c r="M70">
        <f t="shared" si="22"/>
        <v>-1000</v>
      </c>
      <c r="N70">
        <f t="shared" si="23"/>
        <v>-1000</v>
      </c>
      <c r="O70">
        <f t="shared" si="24"/>
        <v>-1000</v>
      </c>
    </row>
    <row r="71" spans="1:15">
      <c r="A71" t="str">
        <f>IF(EventTeam!$A:$A=0,"",EventTeam!$A:$A)</f>
        <v/>
      </c>
      <c r="B71">
        <f t="shared" si="14"/>
        <v>-1000</v>
      </c>
      <c r="C71">
        <f>IFERROR(VLOOKUP($A71,TBAranking!$A:$Z,4,FALSE),-1000)</f>
        <v>-1000</v>
      </c>
      <c r="D71">
        <f t="shared" si="25"/>
        <v>-1000</v>
      </c>
      <c r="E71">
        <f t="shared" si="15"/>
        <v>-1000</v>
      </c>
      <c r="F71">
        <f t="shared" si="16"/>
        <v>-1000</v>
      </c>
      <c r="G71">
        <f t="shared" si="17"/>
        <v>-1000</v>
      </c>
      <c r="H71">
        <f t="shared" si="18"/>
        <v>-1000</v>
      </c>
      <c r="I71">
        <f t="shared" si="19"/>
        <v>-1000</v>
      </c>
      <c r="J71">
        <f t="shared" si="13"/>
        <v>-1000</v>
      </c>
      <c r="K71">
        <f t="shared" si="20"/>
        <v>-1000</v>
      </c>
      <c r="L71">
        <f t="shared" si="21"/>
        <v>-1000</v>
      </c>
      <c r="M71">
        <f t="shared" si="22"/>
        <v>-1000</v>
      </c>
      <c r="N71">
        <f t="shared" si="23"/>
        <v>-1000</v>
      </c>
      <c r="O71">
        <f t="shared" si="24"/>
        <v>-1000</v>
      </c>
    </row>
    <row r="72" spans="1:15">
      <c r="A72" t="str">
        <f>IF(EventTeam!$A:$A=0,"",EventTeam!$A:$A)</f>
        <v/>
      </c>
      <c r="B72">
        <f t="shared" si="14"/>
        <v>-1000</v>
      </c>
      <c r="C72">
        <f>IFERROR(VLOOKUP($A72,TBAranking!$A:$Z,4,FALSE),-1000)</f>
        <v>-1000</v>
      </c>
      <c r="D72">
        <f t="shared" si="25"/>
        <v>-1000</v>
      </c>
      <c r="E72">
        <f t="shared" si="15"/>
        <v>-1000</v>
      </c>
      <c r="F72">
        <f t="shared" si="16"/>
        <v>-1000</v>
      </c>
      <c r="G72">
        <f t="shared" si="17"/>
        <v>-1000</v>
      </c>
      <c r="H72">
        <f t="shared" si="18"/>
        <v>-1000</v>
      </c>
      <c r="I72">
        <f t="shared" si="19"/>
        <v>-1000</v>
      </c>
      <c r="J72">
        <f t="shared" si="13"/>
        <v>-1000</v>
      </c>
      <c r="K72">
        <f t="shared" si="20"/>
        <v>-1000</v>
      </c>
      <c r="L72">
        <f t="shared" si="21"/>
        <v>-1000</v>
      </c>
      <c r="M72">
        <f t="shared" si="22"/>
        <v>-1000</v>
      </c>
      <c r="N72">
        <f t="shared" si="23"/>
        <v>-1000</v>
      </c>
      <c r="O72">
        <f t="shared" si="24"/>
        <v>-1000</v>
      </c>
    </row>
    <row r="73" spans="1:15">
      <c r="A73" t="str">
        <f>IF(EventTeam!$A:$A=0,"",EventTeam!$A:$A)</f>
        <v/>
      </c>
      <c r="B73">
        <f t="shared" si="14"/>
        <v>-1000</v>
      </c>
      <c r="C73">
        <f>IFERROR(VLOOKUP($A73,TBAranking!$A:$Z,4,FALSE),-1000)</f>
        <v>-1000</v>
      </c>
      <c r="D73">
        <f t="shared" si="25"/>
        <v>-1000</v>
      </c>
      <c r="E73">
        <f t="shared" si="15"/>
        <v>-1000</v>
      </c>
      <c r="F73">
        <f t="shared" si="16"/>
        <v>-1000</v>
      </c>
      <c r="G73">
        <f t="shared" si="17"/>
        <v>-1000</v>
      </c>
      <c r="H73">
        <f t="shared" si="18"/>
        <v>-1000</v>
      </c>
      <c r="I73">
        <f t="shared" si="19"/>
        <v>-1000</v>
      </c>
      <c r="J73">
        <f t="shared" si="13"/>
        <v>-1000</v>
      </c>
      <c r="K73">
        <f t="shared" si="20"/>
        <v>-1000</v>
      </c>
      <c r="L73">
        <f t="shared" si="21"/>
        <v>-1000</v>
      </c>
      <c r="M73">
        <f t="shared" si="22"/>
        <v>-1000</v>
      </c>
      <c r="N73">
        <f t="shared" si="23"/>
        <v>-1000</v>
      </c>
      <c r="O73">
        <f t="shared" si="24"/>
        <v>-1000</v>
      </c>
    </row>
    <row r="74" spans="1:15">
      <c r="A74" t="str">
        <f>IF(EventTeam!$A:$A=0,"",EventTeam!$A:$A)</f>
        <v/>
      </c>
      <c r="B74">
        <f t="shared" si="14"/>
        <v>-1000</v>
      </c>
      <c r="C74">
        <f>IFERROR(VLOOKUP($A74,TBAranking!$A:$Z,4,FALSE),-1000)</f>
        <v>-1000</v>
      </c>
      <c r="D74">
        <f t="shared" si="25"/>
        <v>-1000</v>
      </c>
      <c r="E74">
        <f t="shared" si="15"/>
        <v>-1000</v>
      </c>
      <c r="F74">
        <f t="shared" si="16"/>
        <v>-1000</v>
      </c>
      <c r="G74">
        <f t="shared" si="17"/>
        <v>-1000</v>
      </c>
      <c r="H74">
        <f t="shared" si="18"/>
        <v>-1000</v>
      </c>
      <c r="I74">
        <f t="shared" si="19"/>
        <v>-1000</v>
      </c>
      <c r="J74">
        <f t="shared" si="13"/>
        <v>-1000</v>
      </c>
      <c r="K74">
        <f t="shared" si="20"/>
        <v>-1000</v>
      </c>
      <c r="L74">
        <f t="shared" si="21"/>
        <v>-1000</v>
      </c>
      <c r="M74">
        <f t="shared" si="22"/>
        <v>-1000</v>
      </c>
      <c r="N74">
        <f t="shared" si="23"/>
        <v>-1000</v>
      </c>
      <c r="O74">
        <f t="shared" si="24"/>
        <v>-1000</v>
      </c>
    </row>
    <row r="75" spans="1:15">
      <c r="A75" t="str">
        <f>IF(EventTeam!$A:$A=0,"",EventTeam!$A:$A)</f>
        <v/>
      </c>
      <c r="B75">
        <f t="shared" si="14"/>
        <v>-1000</v>
      </c>
      <c r="C75">
        <f>IFERROR(VLOOKUP($A75,TBAranking!$A:$Z,4,FALSE),-1000)</f>
        <v>-1000</v>
      </c>
      <c r="D75">
        <f t="shared" si="25"/>
        <v>-1000</v>
      </c>
      <c r="E75">
        <f t="shared" si="15"/>
        <v>-1000</v>
      </c>
      <c r="F75">
        <f t="shared" si="16"/>
        <v>-1000</v>
      </c>
      <c r="G75">
        <f t="shared" si="17"/>
        <v>-1000</v>
      </c>
      <c r="H75">
        <f t="shared" si="18"/>
        <v>-1000</v>
      </c>
      <c r="I75">
        <f t="shared" si="19"/>
        <v>-1000</v>
      </c>
      <c r="J75">
        <f t="shared" si="13"/>
        <v>-1000</v>
      </c>
      <c r="K75">
        <f t="shared" si="20"/>
        <v>-1000</v>
      </c>
      <c r="L75">
        <f t="shared" si="21"/>
        <v>-1000</v>
      </c>
      <c r="M75">
        <f t="shared" si="22"/>
        <v>-1000</v>
      </c>
      <c r="N75">
        <f t="shared" si="23"/>
        <v>-1000</v>
      </c>
      <c r="O75">
        <f t="shared" si="24"/>
        <v>-1000</v>
      </c>
    </row>
    <row r="76" spans="1:15">
      <c r="A76" t="str">
        <f>IF(EventTeam!$A:$A=0,"",EventTeam!$A:$A)</f>
        <v/>
      </c>
      <c r="B76">
        <f t="shared" si="14"/>
        <v>-1000</v>
      </c>
      <c r="C76">
        <f>IFERROR(VLOOKUP($A76,TBAranking!$A:$Z,4,FALSE),-1000)</f>
        <v>-1000</v>
      </c>
      <c r="D76">
        <f t="shared" si="25"/>
        <v>-1000</v>
      </c>
      <c r="E76">
        <f t="shared" si="15"/>
        <v>-1000</v>
      </c>
      <c r="F76">
        <f t="shared" si="16"/>
        <v>-1000</v>
      </c>
      <c r="G76">
        <f t="shared" si="17"/>
        <v>-1000</v>
      </c>
      <c r="H76">
        <f t="shared" si="18"/>
        <v>-1000</v>
      </c>
      <c r="I76">
        <f t="shared" si="19"/>
        <v>-1000</v>
      </c>
      <c r="J76">
        <f t="shared" si="13"/>
        <v>-1000</v>
      </c>
      <c r="K76">
        <f t="shared" si="20"/>
        <v>-1000</v>
      </c>
      <c r="L76">
        <f t="shared" si="21"/>
        <v>-1000</v>
      </c>
      <c r="M76">
        <f t="shared" si="22"/>
        <v>-1000</v>
      </c>
      <c r="N76">
        <f t="shared" si="23"/>
        <v>-1000</v>
      </c>
      <c r="O76">
        <f t="shared" si="24"/>
        <v>-1000</v>
      </c>
    </row>
    <row r="77" spans="1:15">
      <c r="A77" t="str">
        <f>IF(EventTeam!$A:$A=0,"",EventTeam!$A:$A)</f>
        <v/>
      </c>
      <c r="B77">
        <f t="shared" si="14"/>
        <v>-1000</v>
      </c>
      <c r="C77">
        <f>IFERROR(VLOOKUP($A77,TBAranking!$A:$Z,4,FALSE),-1000)</f>
        <v>-1000</v>
      </c>
      <c r="D77">
        <f t="shared" si="25"/>
        <v>-1000</v>
      </c>
      <c r="E77">
        <f t="shared" si="15"/>
        <v>-1000</v>
      </c>
      <c r="F77">
        <f t="shared" si="16"/>
        <v>-1000</v>
      </c>
      <c r="G77">
        <f t="shared" si="17"/>
        <v>-1000</v>
      </c>
      <c r="H77">
        <f t="shared" si="18"/>
        <v>-1000</v>
      </c>
      <c r="I77">
        <f t="shared" si="19"/>
        <v>-1000</v>
      </c>
      <c r="J77">
        <f t="shared" si="13"/>
        <v>-1000</v>
      </c>
      <c r="K77">
        <f t="shared" si="20"/>
        <v>-1000</v>
      </c>
      <c r="L77">
        <f t="shared" si="21"/>
        <v>-1000</v>
      </c>
      <c r="M77">
        <f t="shared" si="22"/>
        <v>-1000</v>
      </c>
      <c r="N77">
        <f t="shared" si="23"/>
        <v>-1000</v>
      </c>
      <c r="O77">
        <f t="shared" si="24"/>
        <v>-1000</v>
      </c>
    </row>
    <row r="78" spans="1:15">
      <c r="A78" t="str">
        <f>IF(EventTeam!$A:$A=0,"",EventTeam!$A:$A)</f>
        <v/>
      </c>
      <c r="B78">
        <f t="shared" si="14"/>
        <v>-1000</v>
      </c>
      <c r="C78">
        <f>IFERROR(VLOOKUP($A78,TBAranking!$A:$Z,4,FALSE),-1000)</f>
        <v>-1000</v>
      </c>
      <c r="D78">
        <f t="shared" si="25"/>
        <v>-1000</v>
      </c>
      <c r="E78">
        <f t="shared" si="15"/>
        <v>-1000</v>
      </c>
      <c r="F78">
        <f t="shared" si="16"/>
        <v>-1000</v>
      </c>
      <c r="G78">
        <f t="shared" si="17"/>
        <v>-1000</v>
      </c>
      <c r="H78">
        <f t="shared" si="18"/>
        <v>-1000</v>
      </c>
      <c r="I78">
        <f t="shared" si="19"/>
        <v>-1000</v>
      </c>
      <c r="J78">
        <f t="shared" si="13"/>
        <v>-1000</v>
      </c>
      <c r="K78">
        <f t="shared" si="20"/>
        <v>-1000</v>
      </c>
      <c r="L78">
        <f t="shared" si="21"/>
        <v>-1000</v>
      </c>
      <c r="M78">
        <f t="shared" si="22"/>
        <v>-1000</v>
      </c>
      <c r="N78">
        <f t="shared" si="23"/>
        <v>-1000</v>
      </c>
      <c r="O78">
        <f t="shared" si="24"/>
        <v>-1000</v>
      </c>
    </row>
    <row r="79" spans="1:15">
      <c r="A79" t="str">
        <f>IF(EventTeam!$A:$A=0,"",EventTeam!$A:$A)</f>
        <v/>
      </c>
      <c r="B79">
        <f t="shared" si="14"/>
        <v>-1000</v>
      </c>
      <c r="C79">
        <f>IFERROR(VLOOKUP($A79,TBAranking!$A:$Z,4,FALSE),-1000)</f>
        <v>-1000</v>
      </c>
      <c r="D79">
        <f t="shared" si="25"/>
        <v>-1000</v>
      </c>
      <c r="E79">
        <f t="shared" si="15"/>
        <v>-1000</v>
      </c>
      <c r="F79">
        <f t="shared" si="16"/>
        <v>-1000</v>
      </c>
      <c r="G79">
        <f t="shared" si="17"/>
        <v>-1000</v>
      </c>
      <c r="H79">
        <f t="shared" si="18"/>
        <v>-1000</v>
      </c>
      <c r="I79">
        <f t="shared" si="19"/>
        <v>-1000</v>
      </c>
      <c r="J79">
        <f t="shared" si="13"/>
        <v>-1000</v>
      </c>
      <c r="K79">
        <f t="shared" si="20"/>
        <v>-1000</v>
      </c>
      <c r="L79">
        <f t="shared" si="21"/>
        <v>-1000</v>
      </c>
      <c r="M79">
        <f t="shared" si="22"/>
        <v>-1000</v>
      </c>
      <c r="N79">
        <f t="shared" si="23"/>
        <v>-1000</v>
      </c>
      <c r="O79">
        <f t="shared" si="24"/>
        <v>-1000</v>
      </c>
    </row>
    <row r="80" spans="1:15">
      <c r="A80" t="str">
        <f>IF(EventTeam!$A:$A=0,"",EventTeam!$A:$A)</f>
        <v/>
      </c>
      <c r="B80">
        <f t="shared" si="14"/>
        <v>-1000</v>
      </c>
      <c r="C80">
        <f>IFERROR(VLOOKUP($A80,TBAranking!$A:$Z,4,FALSE),-1000)</f>
        <v>-1000</v>
      </c>
      <c r="D80">
        <f t="shared" si="25"/>
        <v>-1000</v>
      </c>
      <c r="E80">
        <f t="shared" si="15"/>
        <v>-1000</v>
      </c>
      <c r="F80">
        <f t="shared" si="16"/>
        <v>-1000</v>
      </c>
      <c r="G80">
        <f t="shared" si="17"/>
        <v>-1000</v>
      </c>
      <c r="H80">
        <f t="shared" si="18"/>
        <v>-1000</v>
      </c>
      <c r="I80">
        <f t="shared" si="19"/>
        <v>-1000</v>
      </c>
      <c r="J80">
        <f t="shared" si="13"/>
        <v>-1000</v>
      </c>
      <c r="K80">
        <f t="shared" si="20"/>
        <v>-1000</v>
      </c>
      <c r="L80">
        <f t="shared" si="21"/>
        <v>-1000</v>
      </c>
      <c r="M80">
        <f t="shared" si="22"/>
        <v>-1000</v>
      </c>
      <c r="N80">
        <f t="shared" si="23"/>
        <v>-1000</v>
      </c>
      <c r="O80">
        <f t="shared" si="24"/>
        <v>-1000</v>
      </c>
    </row>
    <row r="81" spans="1:15">
      <c r="A81" t="str">
        <f>IF(EventTeam!$A:$A=0,"",EventTeam!$A:$A)</f>
        <v/>
      </c>
      <c r="B81">
        <f t="shared" si="14"/>
        <v>-1000</v>
      </c>
      <c r="C81">
        <f>IFERROR(VLOOKUP($A81,TBAranking!$A:$Z,4,FALSE),-1000)</f>
        <v>-1000</v>
      </c>
      <c r="D81">
        <f t="shared" si="25"/>
        <v>-1000</v>
      </c>
      <c r="E81">
        <f t="shared" si="15"/>
        <v>-1000</v>
      </c>
      <c r="F81">
        <f t="shared" si="16"/>
        <v>-1000</v>
      </c>
      <c r="G81">
        <f t="shared" si="17"/>
        <v>-1000</v>
      </c>
      <c r="H81">
        <f t="shared" si="18"/>
        <v>-1000</v>
      </c>
      <c r="I81">
        <f t="shared" si="19"/>
        <v>-1000</v>
      </c>
      <c r="J81">
        <f t="shared" si="13"/>
        <v>-1000</v>
      </c>
      <c r="K81">
        <f t="shared" si="20"/>
        <v>-1000</v>
      </c>
      <c r="L81">
        <f t="shared" si="21"/>
        <v>-1000</v>
      </c>
      <c r="M81">
        <f t="shared" si="22"/>
        <v>-1000</v>
      </c>
      <c r="N81">
        <f t="shared" si="23"/>
        <v>-1000</v>
      </c>
      <c r="O81">
        <f t="shared" si="24"/>
        <v>-1000</v>
      </c>
    </row>
    <row r="82" spans="1:15">
      <c r="A82" t="str">
        <f>IF(EventTeam!$A:$A=0,"",EventTeam!$A:$A)</f>
        <v/>
      </c>
      <c r="B82">
        <f t="shared" si="14"/>
        <v>-1000</v>
      </c>
      <c r="C82">
        <f>IFERROR(VLOOKUP($A82,TBAranking!$A:$Z,4,FALSE),-1000)</f>
        <v>-1000</v>
      </c>
      <c r="D82">
        <f t="shared" si="25"/>
        <v>-1000</v>
      </c>
      <c r="E82">
        <f t="shared" si="15"/>
        <v>-1000</v>
      </c>
      <c r="F82">
        <f t="shared" si="16"/>
        <v>-1000</v>
      </c>
      <c r="G82">
        <f t="shared" si="17"/>
        <v>-1000</v>
      </c>
      <c r="H82">
        <f t="shared" si="18"/>
        <v>-1000</v>
      </c>
      <c r="I82">
        <f t="shared" si="19"/>
        <v>-1000</v>
      </c>
      <c r="J82">
        <f t="shared" si="13"/>
        <v>-1000</v>
      </c>
      <c r="K82">
        <f t="shared" si="20"/>
        <v>-1000</v>
      </c>
      <c r="L82">
        <f t="shared" si="21"/>
        <v>-1000</v>
      </c>
      <c r="M82">
        <f t="shared" si="22"/>
        <v>-1000</v>
      </c>
      <c r="N82">
        <f t="shared" si="23"/>
        <v>-1000</v>
      </c>
      <c r="O82">
        <f t="shared" si="24"/>
        <v>-1000</v>
      </c>
    </row>
    <row r="83" spans="1:15">
      <c r="A83" t="str">
        <f>IF(EventTeam!$A:$A=0,"",EventTeam!$A:$A)</f>
        <v/>
      </c>
      <c r="B83">
        <f t="shared" si="14"/>
        <v>-1000</v>
      </c>
      <c r="C83">
        <f>IFERROR(VLOOKUP($A83,TBAranking!$A:$Z,4,FALSE),-1000)</f>
        <v>-1000</v>
      </c>
      <c r="D83">
        <f t="shared" si="25"/>
        <v>-1000</v>
      </c>
      <c r="E83">
        <f t="shared" si="15"/>
        <v>-1000</v>
      </c>
      <c r="F83">
        <f t="shared" si="16"/>
        <v>-1000</v>
      </c>
      <c r="G83">
        <f t="shared" si="17"/>
        <v>-1000</v>
      </c>
      <c r="H83">
        <f t="shared" si="18"/>
        <v>-1000</v>
      </c>
      <c r="I83">
        <f t="shared" si="19"/>
        <v>-1000</v>
      </c>
      <c r="J83">
        <f t="shared" si="13"/>
        <v>-1000</v>
      </c>
      <c r="K83">
        <f t="shared" si="20"/>
        <v>-1000</v>
      </c>
      <c r="L83">
        <f t="shared" si="21"/>
        <v>-1000</v>
      </c>
      <c r="M83">
        <f t="shared" si="22"/>
        <v>-1000</v>
      </c>
      <c r="N83">
        <f t="shared" si="23"/>
        <v>-1000</v>
      </c>
      <c r="O83">
        <f t="shared" si="24"/>
        <v>-1000</v>
      </c>
    </row>
    <row r="84" spans="1:15">
      <c r="A84" t="str">
        <f>IF(EventTeam!$A:$A=0,"",EventTeam!$A:$A)</f>
        <v/>
      </c>
      <c r="B84">
        <f t="shared" si="14"/>
        <v>-1000</v>
      </c>
      <c r="C84">
        <f>IFERROR(VLOOKUP($A84,TBAranking!$A:$Z,4,FALSE),-1000)</f>
        <v>-1000</v>
      </c>
      <c r="D84">
        <f t="shared" si="25"/>
        <v>-1000</v>
      </c>
      <c r="E84">
        <f t="shared" si="15"/>
        <v>-1000</v>
      </c>
      <c r="F84">
        <f t="shared" si="16"/>
        <v>-1000</v>
      </c>
      <c r="G84">
        <f t="shared" si="17"/>
        <v>-1000</v>
      </c>
      <c r="H84">
        <f t="shared" si="18"/>
        <v>-1000</v>
      </c>
      <c r="I84">
        <f t="shared" si="19"/>
        <v>-1000</v>
      </c>
      <c r="J84">
        <f t="shared" si="13"/>
        <v>-1000</v>
      </c>
      <c r="K84">
        <f t="shared" si="20"/>
        <v>-1000</v>
      </c>
      <c r="L84">
        <f t="shared" si="21"/>
        <v>-1000</v>
      </c>
      <c r="M84">
        <f t="shared" si="22"/>
        <v>-1000</v>
      </c>
      <c r="N84">
        <f t="shared" si="23"/>
        <v>-1000</v>
      </c>
      <c r="O84">
        <f t="shared" si="24"/>
        <v>-1000</v>
      </c>
    </row>
    <row r="85" spans="1:15">
      <c r="A85" t="str">
        <f>IF(EventTeam!$A:$A=0,"",EventTeam!$A:$A)</f>
        <v/>
      </c>
      <c r="B85">
        <f t="shared" si="14"/>
        <v>-1000</v>
      </c>
      <c r="C85">
        <f>IFERROR(VLOOKUP($A85,TBAranking!$A:$Z,4,FALSE),-1000)</f>
        <v>-1000</v>
      </c>
      <c r="D85">
        <f t="shared" si="25"/>
        <v>-1000</v>
      </c>
      <c r="E85">
        <f t="shared" si="15"/>
        <v>-1000</v>
      </c>
      <c r="F85">
        <f t="shared" si="16"/>
        <v>-1000</v>
      </c>
      <c r="G85">
        <f t="shared" si="17"/>
        <v>-1000</v>
      </c>
      <c r="H85">
        <f t="shared" si="18"/>
        <v>-1000</v>
      </c>
      <c r="I85">
        <f t="shared" si="19"/>
        <v>-1000</v>
      </c>
      <c r="J85">
        <f t="shared" si="13"/>
        <v>-1000</v>
      </c>
      <c r="K85">
        <f t="shared" si="20"/>
        <v>-1000</v>
      </c>
      <c r="L85">
        <f t="shared" si="21"/>
        <v>-1000</v>
      </c>
      <c r="M85">
        <f t="shared" si="22"/>
        <v>-1000</v>
      </c>
      <c r="N85">
        <f t="shared" si="23"/>
        <v>-1000</v>
      </c>
      <c r="O85">
        <f t="shared" si="24"/>
        <v>-1000</v>
      </c>
    </row>
    <row r="86" spans="1:15">
      <c r="A86" t="str">
        <f>IF(EventTeam!$A:$A=0,"",EventTeam!$A:$A)</f>
        <v/>
      </c>
      <c r="B86">
        <f t="shared" si="14"/>
        <v>-1000</v>
      </c>
      <c r="C86">
        <f>IFERROR(VLOOKUP($A86,TBAranking!$A:$Z,4,FALSE),-1000)</f>
        <v>-1000</v>
      </c>
      <c r="D86">
        <f t="shared" si="25"/>
        <v>-1000</v>
      </c>
      <c r="E86">
        <f t="shared" si="15"/>
        <v>-1000</v>
      </c>
      <c r="F86">
        <f t="shared" si="16"/>
        <v>-1000</v>
      </c>
      <c r="G86">
        <f t="shared" si="17"/>
        <v>-1000</v>
      </c>
      <c r="H86">
        <f t="shared" si="18"/>
        <v>-1000</v>
      </c>
      <c r="I86">
        <f t="shared" si="19"/>
        <v>-1000</v>
      </c>
      <c r="J86">
        <f t="shared" si="13"/>
        <v>-1000</v>
      </c>
      <c r="K86">
        <f t="shared" si="20"/>
        <v>-1000</v>
      </c>
      <c r="L86">
        <f t="shared" si="21"/>
        <v>-1000</v>
      </c>
      <c r="M86">
        <f t="shared" si="22"/>
        <v>-1000</v>
      </c>
      <c r="N86">
        <f t="shared" si="23"/>
        <v>-1000</v>
      </c>
      <c r="O86">
        <f t="shared" si="24"/>
        <v>-1000</v>
      </c>
    </row>
    <row r="87" spans="1:15">
      <c r="A87" t="str">
        <f>IF(EventTeam!$A:$A=0,"",EventTeam!$A:$A)</f>
        <v/>
      </c>
      <c r="B87">
        <f t="shared" si="14"/>
        <v>-1000</v>
      </c>
      <c r="C87">
        <f>IFERROR(VLOOKUP($A87,TBAranking!$A:$Z,4,FALSE),-1000)</f>
        <v>-1000</v>
      </c>
      <c r="D87">
        <f t="shared" si="25"/>
        <v>-1000</v>
      </c>
      <c r="E87">
        <f t="shared" si="15"/>
        <v>-1000</v>
      </c>
      <c r="F87">
        <f t="shared" si="16"/>
        <v>-1000</v>
      </c>
      <c r="G87">
        <f t="shared" si="17"/>
        <v>-1000</v>
      </c>
      <c r="H87">
        <f t="shared" si="18"/>
        <v>-1000</v>
      </c>
      <c r="I87">
        <f t="shared" si="19"/>
        <v>-1000</v>
      </c>
      <c r="J87">
        <f t="shared" si="13"/>
        <v>-1000</v>
      </c>
      <c r="K87">
        <f t="shared" si="20"/>
        <v>-1000</v>
      </c>
      <c r="L87">
        <f t="shared" si="21"/>
        <v>-1000</v>
      </c>
      <c r="M87">
        <f t="shared" si="22"/>
        <v>-1000</v>
      </c>
      <c r="N87">
        <f t="shared" si="23"/>
        <v>-1000</v>
      </c>
      <c r="O87">
        <f t="shared" si="24"/>
        <v>-1000</v>
      </c>
    </row>
    <row r="88" spans="1:15">
      <c r="A88" t="str">
        <f>IF(EventTeam!$A:$A=0,"",EventTeam!$A:$A)</f>
        <v/>
      </c>
      <c r="B88">
        <f t="shared" si="14"/>
        <v>-1000</v>
      </c>
      <c r="C88">
        <f>IFERROR(VLOOKUP($A88,TBAranking!$A:$Z,4,FALSE),-1000)</f>
        <v>-1000</v>
      </c>
      <c r="D88">
        <f t="shared" si="25"/>
        <v>-1000</v>
      </c>
      <c r="E88">
        <f t="shared" si="15"/>
        <v>-1000</v>
      </c>
      <c r="F88">
        <f t="shared" si="16"/>
        <v>-1000</v>
      </c>
      <c r="G88">
        <f t="shared" si="17"/>
        <v>-1000</v>
      </c>
      <c r="H88">
        <f t="shared" si="18"/>
        <v>-1000</v>
      </c>
      <c r="I88">
        <f t="shared" si="19"/>
        <v>-1000</v>
      </c>
      <c r="J88">
        <f t="shared" si="13"/>
        <v>-1000</v>
      </c>
      <c r="K88">
        <f t="shared" si="20"/>
        <v>-1000</v>
      </c>
      <c r="L88">
        <f t="shared" si="21"/>
        <v>-1000</v>
      </c>
      <c r="M88">
        <f t="shared" si="22"/>
        <v>-1000</v>
      </c>
      <c r="N88">
        <f t="shared" si="23"/>
        <v>-1000</v>
      </c>
      <c r="O88">
        <f t="shared" si="24"/>
        <v>-1000</v>
      </c>
    </row>
    <row r="89" spans="1:15">
      <c r="A89" t="str">
        <f>IF(EventTeam!$A:$A=0,"",EventTeam!$A:$A)</f>
        <v/>
      </c>
      <c r="B89">
        <f t="shared" si="14"/>
        <v>-1000</v>
      </c>
      <c r="C89">
        <f>IFERROR(VLOOKUP($A89,TBAranking!$A:$Z,4,FALSE),-1000)</f>
        <v>-1000</v>
      </c>
      <c r="D89">
        <f t="shared" si="25"/>
        <v>-1000</v>
      </c>
      <c r="E89">
        <f t="shared" si="15"/>
        <v>-1000</v>
      </c>
      <c r="F89">
        <f t="shared" si="16"/>
        <v>-1000</v>
      </c>
      <c r="G89">
        <f t="shared" si="17"/>
        <v>-1000</v>
      </c>
      <c r="H89">
        <f t="shared" si="18"/>
        <v>-1000</v>
      </c>
      <c r="I89">
        <f t="shared" si="19"/>
        <v>-1000</v>
      </c>
      <c r="J89">
        <f t="shared" si="13"/>
        <v>-1000</v>
      </c>
      <c r="K89">
        <f t="shared" si="20"/>
        <v>-1000</v>
      </c>
      <c r="L89">
        <f t="shared" si="21"/>
        <v>-1000</v>
      </c>
      <c r="M89">
        <f t="shared" si="22"/>
        <v>-1000</v>
      </c>
      <c r="N89">
        <f t="shared" si="23"/>
        <v>-1000</v>
      </c>
      <c r="O89">
        <f t="shared" si="24"/>
        <v>-1000</v>
      </c>
    </row>
    <row r="90" spans="1:15">
      <c r="A90" t="str">
        <f>IF(EventTeam!$A:$A=0,"",EventTeam!$A:$A)</f>
        <v/>
      </c>
      <c r="B90">
        <f t="shared" si="14"/>
        <v>-1000</v>
      </c>
      <c r="C90">
        <f>IFERROR(VLOOKUP($A90,TBAranking!$A:$Z,4,FALSE),-1000)</f>
        <v>-1000</v>
      </c>
      <c r="D90">
        <f t="shared" si="25"/>
        <v>-1000</v>
      </c>
      <c r="E90">
        <f t="shared" si="15"/>
        <v>-1000</v>
      </c>
      <c r="F90">
        <f t="shared" si="16"/>
        <v>-1000</v>
      </c>
      <c r="G90">
        <f t="shared" si="17"/>
        <v>-1000</v>
      </c>
      <c r="H90">
        <f t="shared" si="18"/>
        <v>-1000</v>
      </c>
      <c r="I90">
        <f t="shared" si="19"/>
        <v>-1000</v>
      </c>
      <c r="J90">
        <f t="shared" si="13"/>
        <v>-1000</v>
      </c>
      <c r="K90">
        <f t="shared" si="20"/>
        <v>-1000</v>
      </c>
      <c r="L90">
        <f t="shared" si="21"/>
        <v>-1000</v>
      </c>
      <c r="M90">
        <f t="shared" si="22"/>
        <v>-1000</v>
      </c>
      <c r="N90">
        <f t="shared" si="23"/>
        <v>-1000</v>
      </c>
      <c r="O90">
        <f t="shared" si="24"/>
        <v>-1000</v>
      </c>
    </row>
    <row r="91" spans="1:15">
      <c r="A91" t="str">
        <f>IF(EventTeam!$A:$A=0,"",EventTeam!$A:$A)</f>
        <v/>
      </c>
      <c r="B91">
        <f t="shared" si="14"/>
        <v>-1000</v>
      </c>
      <c r="C91">
        <f>IFERROR(VLOOKUP($A91,TBAranking!$A:$Z,4,FALSE),-1000)</f>
        <v>-1000</v>
      </c>
      <c r="D91">
        <f t="shared" si="25"/>
        <v>-1000</v>
      </c>
      <c r="E91">
        <f t="shared" si="15"/>
        <v>-1000</v>
      </c>
      <c r="F91">
        <f t="shared" si="16"/>
        <v>-1000</v>
      </c>
      <c r="G91">
        <f t="shared" si="17"/>
        <v>-1000</v>
      </c>
      <c r="H91">
        <f t="shared" si="18"/>
        <v>-1000</v>
      </c>
      <c r="I91">
        <f t="shared" si="19"/>
        <v>-1000</v>
      </c>
      <c r="J91">
        <f t="shared" si="13"/>
        <v>-1000</v>
      </c>
      <c r="K91">
        <f t="shared" si="20"/>
        <v>-1000</v>
      </c>
      <c r="L91">
        <f t="shared" si="21"/>
        <v>-1000</v>
      </c>
      <c r="M91">
        <f t="shared" si="22"/>
        <v>-1000</v>
      </c>
      <c r="N91">
        <f t="shared" si="23"/>
        <v>-1000</v>
      </c>
      <c r="O91">
        <f t="shared" si="24"/>
        <v>-1000</v>
      </c>
    </row>
    <row r="92" spans="1:15">
      <c r="A92" t="str">
        <f>IF(EventTeam!$A:$A=0,"",EventTeam!$A:$A)</f>
        <v/>
      </c>
      <c r="B92">
        <f t="shared" si="14"/>
        <v>-1000</v>
      </c>
      <c r="C92">
        <f>IFERROR(VLOOKUP($A92,TBAranking!$A:$Z,4,FALSE),-1000)</f>
        <v>-1000</v>
      </c>
      <c r="D92">
        <f t="shared" si="25"/>
        <v>-1000</v>
      </c>
      <c r="E92">
        <f t="shared" si="15"/>
        <v>-1000</v>
      </c>
      <c r="F92">
        <f t="shared" si="16"/>
        <v>-1000</v>
      </c>
      <c r="G92">
        <f t="shared" si="17"/>
        <v>-1000</v>
      </c>
      <c r="H92">
        <f t="shared" si="18"/>
        <v>-1000</v>
      </c>
      <c r="I92">
        <f t="shared" si="19"/>
        <v>-1000</v>
      </c>
      <c r="J92">
        <f t="shared" si="13"/>
        <v>-1000</v>
      </c>
      <c r="K92">
        <f t="shared" si="20"/>
        <v>-1000</v>
      </c>
      <c r="L92">
        <f t="shared" si="21"/>
        <v>-1000</v>
      </c>
      <c r="M92">
        <f t="shared" si="22"/>
        <v>-1000</v>
      </c>
      <c r="N92">
        <f t="shared" si="23"/>
        <v>-1000</v>
      </c>
      <c r="O92">
        <f t="shared" si="24"/>
        <v>-1000</v>
      </c>
    </row>
    <row r="93" spans="1:15">
      <c r="A93" t="str">
        <f>IF(EventTeam!$A:$A=0,"",EventTeam!$A:$A)</f>
        <v/>
      </c>
      <c r="B93">
        <f t="shared" si="14"/>
        <v>-1000</v>
      </c>
      <c r="C93">
        <f>IFERROR(VLOOKUP($A93,TBAranking!$A:$Z,4,FALSE),-1000)</f>
        <v>-1000</v>
      </c>
      <c r="D93">
        <f t="shared" si="25"/>
        <v>-1000</v>
      </c>
      <c r="E93">
        <f t="shared" si="15"/>
        <v>-1000</v>
      </c>
      <c r="F93">
        <f t="shared" si="16"/>
        <v>-1000</v>
      </c>
      <c r="G93">
        <f t="shared" si="17"/>
        <v>-1000</v>
      </c>
      <c r="H93">
        <f t="shared" si="18"/>
        <v>-1000</v>
      </c>
      <c r="I93">
        <f t="shared" si="19"/>
        <v>-1000</v>
      </c>
      <c r="J93">
        <f t="shared" si="13"/>
        <v>-1000</v>
      </c>
      <c r="K93">
        <f t="shared" si="20"/>
        <v>-1000</v>
      </c>
      <c r="L93">
        <f t="shared" si="21"/>
        <v>-1000</v>
      </c>
      <c r="M93">
        <f t="shared" si="22"/>
        <v>-1000</v>
      </c>
      <c r="N93">
        <f t="shared" si="23"/>
        <v>-1000</v>
      </c>
      <c r="O93">
        <f t="shared" si="24"/>
        <v>-1000</v>
      </c>
    </row>
    <row r="94" spans="1:15">
      <c r="A94" t="str">
        <f>IF(EventTeam!$A:$A=0,"",EventTeam!$A:$A)</f>
        <v/>
      </c>
      <c r="B94">
        <f t="shared" si="14"/>
        <v>-1000</v>
      </c>
      <c r="C94">
        <f>IFERROR(VLOOKUP($A94,TBAranking!$A:$Z,4,FALSE),-1000)</f>
        <v>-1000</v>
      </c>
      <c r="D94">
        <f t="shared" si="25"/>
        <v>-1000</v>
      </c>
      <c r="E94">
        <f t="shared" si="15"/>
        <v>-1000</v>
      </c>
      <c r="F94">
        <f t="shared" si="16"/>
        <v>-1000</v>
      </c>
      <c r="G94">
        <f t="shared" si="17"/>
        <v>-1000</v>
      </c>
      <c r="H94">
        <f t="shared" si="18"/>
        <v>-1000</v>
      </c>
      <c r="I94">
        <f t="shared" si="19"/>
        <v>-1000</v>
      </c>
      <c r="J94">
        <f t="shared" si="13"/>
        <v>-1000</v>
      </c>
      <c r="K94">
        <f t="shared" si="20"/>
        <v>-1000</v>
      </c>
      <c r="L94">
        <f t="shared" si="21"/>
        <v>-1000</v>
      </c>
      <c r="M94">
        <f t="shared" si="22"/>
        <v>-1000</v>
      </c>
      <c r="N94">
        <f t="shared" si="23"/>
        <v>-1000</v>
      </c>
      <c r="O94">
        <f t="shared" si="24"/>
        <v>-1000</v>
      </c>
    </row>
    <row r="95" spans="1:15">
      <c r="A95" t="str">
        <f>IF(EventTeam!$A:$A=0,"",EventTeam!$A:$A)</f>
        <v/>
      </c>
      <c r="B95">
        <f t="shared" si="14"/>
        <v>-1000</v>
      </c>
      <c r="C95">
        <f>IFERROR(VLOOKUP($A95,TBAranking!$A:$Z,4,FALSE),-1000)</f>
        <v>-1000</v>
      </c>
      <c r="D95">
        <f t="shared" si="25"/>
        <v>-1000</v>
      </c>
      <c r="E95">
        <f t="shared" si="15"/>
        <v>-1000</v>
      </c>
      <c r="F95">
        <f t="shared" si="16"/>
        <v>-1000</v>
      </c>
      <c r="G95">
        <f t="shared" si="17"/>
        <v>-1000</v>
      </c>
      <c r="H95">
        <f t="shared" si="18"/>
        <v>-1000</v>
      </c>
      <c r="I95">
        <f t="shared" si="19"/>
        <v>-1000</v>
      </c>
      <c r="J95">
        <f t="shared" si="13"/>
        <v>-1000</v>
      </c>
      <c r="K95">
        <f t="shared" si="20"/>
        <v>-1000</v>
      </c>
      <c r="L95">
        <f t="shared" si="21"/>
        <v>-1000</v>
      </c>
      <c r="M95">
        <f t="shared" si="22"/>
        <v>-1000</v>
      </c>
      <c r="N95">
        <f t="shared" si="23"/>
        <v>-1000</v>
      </c>
      <c r="O95">
        <f t="shared" si="24"/>
        <v>-1000</v>
      </c>
    </row>
    <row r="96" spans="1:15">
      <c r="A96" t="str">
        <f>IF(EventTeam!$A:$A=0,"",EventTeam!$A:$A)</f>
        <v/>
      </c>
      <c r="B96">
        <f t="shared" si="14"/>
        <v>-1000</v>
      </c>
      <c r="C96">
        <f>IFERROR(VLOOKUP($A96,TBAranking!$A:$Z,4,FALSE),-1000)</f>
        <v>-1000</v>
      </c>
      <c r="D96">
        <f t="shared" si="25"/>
        <v>-1000</v>
      </c>
      <c r="E96">
        <f t="shared" si="15"/>
        <v>-1000</v>
      </c>
      <c r="F96">
        <f t="shared" si="16"/>
        <v>-1000</v>
      </c>
      <c r="G96">
        <f t="shared" si="17"/>
        <v>-1000</v>
      </c>
      <c r="H96">
        <f t="shared" si="18"/>
        <v>-1000</v>
      </c>
      <c r="I96">
        <f t="shared" si="19"/>
        <v>-1000</v>
      </c>
      <c r="J96">
        <f t="shared" si="13"/>
        <v>-1000</v>
      </c>
      <c r="K96">
        <f t="shared" si="20"/>
        <v>-1000</v>
      </c>
      <c r="L96">
        <f t="shared" si="21"/>
        <v>-1000</v>
      </c>
      <c r="M96">
        <f t="shared" si="22"/>
        <v>-1000</v>
      </c>
      <c r="N96">
        <f t="shared" si="23"/>
        <v>-1000</v>
      </c>
      <c r="O96">
        <f t="shared" si="24"/>
        <v>-1000</v>
      </c>
    </row>
    <row r="97" spans="1:15">
      <c r="A97" t="str">
        <f>IF(EventTeam!$A:$A=0,"",EventTeam!$A:$A)</f>
        <v/>
      </c>
      <c r="B97">
        <f t="shared" si="14"/>
        <v>-1000</v>
      </c>
      <c r="C97">
        <f>IFERROR(VLOOKUP($A97,TBAranking!$A:$Z,4,FALSE),-1000)</f>
        <v>-1000</v>
      </c>
      <c r="D97">
        <f t="shared" si="25"/>
        <v>-1000</v>
      </c>
      <c r="E97">
        <f t="shared" si="15"/>
        <v>-1000</v>
      </c>
      <c r="F97">
        <f t="shared" si="16"/>
        <v>-1000</v>
      </c>
      <c r="G97">
        <f t="shared" si="17"/>
        <v>-1000</v>
      </c>
      <c r="H97">
        <f t="shared" si="18"/>
        <v>-1000</v>
      </c>
      <c r="I97">
        <f t="shared" si="19"/>
        <v>-1000</v>
      </c>
      <c r="J97">
        <f t="shared" si="13"/>
        <v>-1000</v>
      </c>
      <c r="K97">
        <f t="shared" si="20"/>
        <v>-1000</v>
      </c>
      <c r="L97">
        <f t="shared" si="21"/>
        <v>-1000</v>
      </c>
      <c r="M97">
        <f t="shared" si="22"/>
        <v>-1000</v>
      </c>
      <c r="N97">
        <f t="shared" si="23"/>
        <v>-1000</v>
      </c>
      <c r="O97">
        <f t="shared" si="24"/>
        <v>-1000</v>
      </c>
    </row>
    <row r="98" spans="1:15">
      <c r="A98" t="str">
        <f>IF(EventTeam!$A:$A=0,"",EventTeam!$A:$A)</f>
        <v/>
      </c>
      <c r="B98">
        <f t="shared" si="14"/>
        <v>-1000</v>
      </c>
      <c r="C98">
        <f>IFERROR(VLOOKUP($A98,TBAranking!$A:$Z,4,FALSE),-1000)</f>
        <v>-1000</v>
      </c>
      <c r="D98">
        <f t="shared" si="25"/>
        <v>-1000</v>
      </c>
      <c r="E98">
        <f t="shared" si="15"/>
        <v>-1000</v>
      </c>
      <c r="F98">
        <f t="shared" si="16"/>
        <v>-1000</v>
      </c>
      <c r="G98">
        <f t="shared" si="17"/>
        <v>-1000</v>
      </c>
      <c r="H98">
        <f t="shared" si="18"/>
        <v>-1000</v>
      </c>
      <c r="I98">
        <f t="shared" si="19"/>
        <v>-1000</v>
      </c>
      <c r="J98">
        <f t="shared" si="13"/>
        <v>-1000</v>
      </c>
      <c r="K98">
        <f t="shared" si="20"/>
        <v>-1000</v>
      </c>
      <c r="L98">
        <f t="shared" si="21"/>
        <v>-1000</v>
      </c>
      <c r="M98">
        <f t="shared" si="22"/>
        <v>-1000</v>
      </c>
      <c r="N98">
        <f t="shared" si="23"/>
        <v>-1000</v>
      </c>
      <c r="O98">
        <f t="shared" si="24"/>
        <v>-1000</v>
      </c>
    </row>
    <row r="99" spans="1:15">
      <c r="A99" t="str">
        <f>IF(EventTeam!$A:$A=0,"",EventTeam!$A:$A)</f>
        <v/>
      </c>
      <c r="B99">
        <f t="shared" si="14"/>
        <v>-1000</v>
      </c>
      <c r="C99">
        <f>IFERROR(VLOOKUP($A99,TBAranking!$A:$Z,4,FALSE),-1000)</f>
        <v>-1000</v>
      </c>
      <c r="D99">
        <f t="shared" si="25"/>
        <v>-1000</v>
      </c>
      <c r="E99">
        <f t="shared" si="15"/>
        <v>-1000</v>
      </c>
      <c r="F99">
        <f t="shared" si="16"/>
        <v>-1000</v>
      </c>
      <c r="G99">
        <f t="shared" si="17"/>
        <v>-1000</v>
      </c>
      <c r="H99">
        <f t="shared" si="18"/>
        <v>-1000</v>
      </c>
      <c r="I99">
        <f t="shared" si="19"/>
        <v>-1000</v>
      </c>
      <c r="J99">
        <f t="shared" si="13"/>
        <v>-1000</v>
      </c>
      <c r="K99">
        <f t="shared" si="20"/>
        <v>-1000</v>
      </c>
      <c r="L99">
        <f t="shared" si="21"/>
        <v>-1000</v>
      </c>
      <c r="M99">
        <f t="shared" si="22"/>
        <v>-1000</v>
      </c>
      <c r="N99">
        <f t="shared" si="23"/>
        <v>-1000</v>
      </c>
      <c r="O99">
        <f t="shared" si="24"/>
        <v>-1000</v>
      </c>
    </row>
    <row r="100" spans="1:15">
      <c r="A100" t="str">
        <f>IF(EventTeam!$A:$A=0,"",EventTeam!$A:$A)</f>
        <v/>
      </c>
      <c r="B100">
        <f t="shared" si="14"/>
        <v>-1000</v>
      </c>
      <c r="C100">
        <f>IFERROR(VLOOKUP($A100,TBAranking!$A:$Z,4,FALSE),-1000)</f>
        <v>-1000</v>
      </c>
      <c r="D100">
        <f t="shared" si="25"/>
        <v>-1000</v>
      </c>
      <c r="E100">
        <f t="shared" si="15"/>
        <v>-1000</v>
      </c>
      <c r="F100">
        <f t="shared" si="16"/>
        <v>-1000</v>
      </c>
      <c r="G100">
        <f t="shared" si="17"/>
        <v>-1000</v>
      </c>
      <c r="H100">
        <f t="shared" si="18"/>
        <v>-1000</v>
      </c>
      <c r="I100">
        <f t="shared" si="19"/>
        <v>-1000</v>
      </c>
      <c r="J100">
        <f t="shared" si="13"/>
        <v>-1000</v>
      </c>
      <c r="K100">
        <f t="shared" si="20"/>
        <v>-1000</v>
      </c>
      <c r="L100">
        <f t="shared" si="21"/>
        <v>-1000</v>
      </c>
      <c r="M100">
        <f t="shared" si="22"/>
        <v>-1000</v>
      </c>
      <c r="N100">
        <f t="shared" si="23"/>
        <v>-1000</v>
      </c>
      <c r="O100">
        <f t="shared" si="24"/>
        <v>-1000</v>
      </c>
    </row>
  </sheetData>
  <conditionalFormatting sqref="T2:T36">
    <cfRule type="colorScale" priority="8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7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6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4">
      <colorScale>
        <cfvo type="min"/>
        <cfvo type="max"/>
        <color rgb="FFFCFCFF"/>
        <color rgb="FF63BE7B"/>
      </colorScale>
    </cfRule>
    <cfRule type="cellIs" dxfId="68" priority="5" operator="equal">
      <formula>-1000</formula>
    </cfRule>
  </conditionalFormatting>
  <conditionalFormatting sqref="H2:O100">
    <cfRule type="cellIs" dxfId="67" priority="3" operator="equal">
      <formula>-1000</formula>
    </cfRule>
  </conditionalFormatting>
  <conditionalFormatting sqref="G2:O100">
    <cfRule type="colorScale" priority="2">
      <colorScale>
        <cfvo type="min"/>
        <cfvo type="max"/>
        <color rgb="FF63BE7B"/>
        <color rgb="FFFCFCFF"/>
      </colorScale>
    </cfRule>
  </conditionalFormatting>
  <conditionalFormatting sqref="R2:R42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B100"/>
  <sheetViews>
    <sheetView workbookViewId="0">
      <selection sqref="A1:XFD1048576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6" max="16" width="6.28515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28" ht="15.75" thickBot="1">
      <c r="A1" s="115" t="s">
        <v>1</v>
      </c>
      <c r="B1" s="116" t="s">
        <v>5984</v>
      </c>
      <c r="C1" s="117" t="s">
        <v>6093</v>
      </c>
      <c r="D1" s="160" t="s">
        <v>5982</v>
      </c>
      <c r="E1" s="161" t="s">
        <v>5986</v>
      </c>
      <c r="F1" s="160" t="s">
        <v>5987</v>
      </c>
      <c r="G1" s="161" t="s">
        <v>5988</v>
      </c>
      <c r="H1" s="160" t="s">
        <v>5989</v>
      </c>
      <c r="I1" s="161" t="s">
        <v>5990</v>
      </c>
      <c r="J1" s="160" t="s">
        <v>5991</v>
      </c>
      <c r="K1" s="161" t="s">
        <v>5992</v>
      </c>
      <c r="L1" s="162" t="s">
        <v>5993</v>
      </c>
      <c r="M1" s="160" t="s">
        <v>5994</v>
      </c>
      <c r="N1" s="161" t="s">
        <v>5995</v>
      </c>
      <c r="O1" s="162" t="s">
        <v>5996</v>
      </c>
      <c r="P1" s="157"/>
      <c r="Q1" s="168" t="s">
        <v>5997</v>
      </c>
      <c r="R1" s="169" t="s">
        <v>6094</v>
      </c>
      <c r="S1" s="168" t="s">
        <v>5998</v>
      </c>
      <c r="T1" s="169" t="s">
        <v>6094</v>
      </c>
      <c r="U1" s="200" t="s">
        <v>5999</v>
      </c>
      <c r="V1" s="169" t="s">
        <v>6094</v>
      </c>
      <c r="W1" s="168" t="s">
        <v>6000</v>
      </c>
      <c r="X1" s="169" t="s">
        <v>6094</v>
      </c>
      <c r="Y1" s="200" t="s">
        <v>6097</v>
      </c>
      <c r="Z1" s="200" t="s">
        <v>6094</v>
      </c>
      <c r="AA1" s="168" t="s">
        <v>6098</v>
      </c>
      <c r="AB1" s="169" t="s">
        <v>6094</v>
      </c>
    </row>
    <row r="2" spans="1:28">
      <c r="A2">
        <f>IF(EventTeam!$A:$A=0,"",EventTeam!$A:$A)</f>
        <v>155</v>
      </c>
      <c r="B2" t="str">
        <f>IF($C2&lt;&gt;-1000,$C2, MAX($D2:$O2))</f>
        <v>432</v>
      </c>
      <c r="C2" t="str">
        <f>IFERROR(VLOOKUP($A2,TBAranking!$A:$Z,4,FALSE),-1000)</f>
        <v>432</v>
      </c>
      <c r="D2">
        <f>IFERROR(VLOOKUP($A2,$Q:$R,2,FALSE),-1000)</f>
        <v>-1000</v>
      </c>
      <c r="E2">
        <f>IFERROR(VLOOKUP($A2,$S:$T,2,FALSE),-1000)</f>
        <v>160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324</v>
      </c>
      <c r="I2">
        <f>IFERROR(VLOOKUP($A2,$AA:$AB,2,FALSE),-1000)</f>
        <v>-1000</v>
      </c>
      <c r="J2">
        <f t="shared" ref="J2:J65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4">
        <v>23</v>
      </c>
      <c r="R2" s="195">
        <v>260</v>
      </c>
      <c r="S2" s="164">
        <v>95</v>
      </c>
      <c r="T2" s="199">
        <v>228</v>
      </c>
      <c r="U2" s="171">
        <v>176</v>
      </c>
      <c r="V2" s="199">
        <v>388</v>
      </c>
      <c r="W2" s="164">
        <v>23</v>
      </c>
      <c r="X2" s="199">
        <v>284</v>
      </c>
      <c r="Y2" s="171">
        <v>69</v>
      </c>
      <c r="Z2" s="208">
        <v>257</v>
      </c>
      <c r="AA2" s="164">
        <v>125</v>
      </c>
      <c r="AB2" s="199">
        <v>399</v>
      </c>
    </row>
    <row r="3" spans="1:28">
      <c r="A3">
        <f>IF(EventTeam!$A:$A=0,"",EventTeam!$A:$A)</f>
        <v>173</v>
      </c>
      <c r="B3" t="str">
        <f t="shared" ref="B3:B66" si="1">IF($C3&lt;&gt;-1000,$C3, MAX($D3:$O3))</f>
        <v>348</v>
      </c>
      <c r="C3" t="str">
        <f>IFERROR(VLOOKUP($A3,TBAranking!$A:$Z,4,FALSE),-1000)</f>
        <v>348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66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-1000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4">
        <v>61</v>
      </c>
      <c r="R3" s="195">
        <v>358</v>
      </c>
      <c r="S3" s="164">
        <v>131</v>
      </c>
      <c r="T3" s="197">
        <v>211</v>
      </c>
      <c r="U3" s="171">
        <v>177</v>
      </c>
      <c r="V3" s="197">
        <v>329</v>
      </c>
      <c r="W3" s="164">
        <v>58</v>
      </c>
      <c r="X3" s="197">
        <v>245</v>
      </c>
      <c r="Y3" s="171">
        <v>95</v>
      </c>
      <c r="Z3" s="194">
        <v>316</v>
      </c>
      <c r="AA3" s="164">
        <v>133</v>
      </c>
      <c r="AB3" s="197">
        <v>376</v>
      </c>
    </row>
    <row r="4" spans="1:28">
      <c r="A4">
        <f>IF(EventTeam!$A:$A=0,"",EventTeam!$A:$A)</f>
        <v>175</v>
      </c>
      <c r="B4" t="str">
        <f t="shared" si="1"/>
        <v>420</v>
      </c>
      <c r="C4" t="str">
        <f>IFERROR(VLOOKUP($A4,TBAranking!$A:$Z,4,FALSE),-1000)</f>
        <v>420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-1000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4">
        <v>78</v>
      </c>
      <c r="R4" s="195">
        <v>331</v>
      </c>
      <c r="S4" s="164">
        <v>138</v>
      </c>
      <c r="T4" s="196">
        <v>207</v>
      </c>
      <c r="U4" s="171">
        <v>181</v>
      </c>
      <c r="V4" s="196">
        <v>257</v>
      </c>
      <c r="W4" s="164">
        <v>78</v>
      </c>
      <c r="X4" s="196">
        <v>374</v>
      </c>
      <c r="Y4" s="171">
        <v>155</v>
      </c>
      <c r="Z4" s="193">
        <v>324</v>
      </c>
      <c r="AA4" s="164">
        <v>238</v>
      </c>
      <c r="AB4" s="196">
        <v>406</v>
      </c>
    </row>
    <row r="5" spans="1:28">
      <c r="A5">
        <f>IF(EventTeam!$A:$A=0,"",EventTeam!$A:$A)</f>
        <v>176</v>
      </c>
      <c r="B5" t="str">
        <f t="shared" si="1"/>
        <v>481</v>
      </c>
      <c r="C5" t="str">
        <f>IFERROR(VLOOKUP($A5,TBAranking!$A:$Z,4,FALSE),-1000)</f>
        <v>481</v>
      </c>
      <c r="D5">
        <f t="shared" si="12"/>
        <v>-1000</v>
      </c>
      <c r="E5">
        <f t="shared" si="2"/>
        <v>-1000</v>
      </c>
      <c r="F5">
        <f t="shared" si="3"/>
        <v>388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4">
        <v>88</v>
      </c>
      <c r="R5" s="195">
        <v>343</v>
      </c>
      <c r="S5" s="164">
        <v>151</v>
      </c>
      <c r="T5" s="197">
        <v>141</v>
      </c>
      <c r="U5" s="171">
        <v>228</v>
      </c>
      <c r="V5" s="197">
        <v>281</v>
      </c>
      <c r="W5" s="164">
        <v>88</v>
      </c>
      <c r="X5" s="197">
        <v>304</v>
      </c>
      <c r="Y5" s="171">
        <v>178</v>
      </c>
      <c r="Z5" s="194">
        <v>271</v>
      </c>
      <c r="AA5" s="164">
        <v>246</v>
      </c>
      <c r="AB5" s="197">
        <v>302</v>
      </c>
    </row>
    <row r="6" spans="1:28">
      <c r="A6">
        <f>IF(EventTeam!$A:$A=0,"",EventTeam!$A:$A)</f>
        <v>177</v>
      </c>
      <c r="B6" t="str">
        <f t="shared" si="1"/>
        <v>377</v>
      </c>
      <c r="C6" t="str">
        <f>IFERROR(VLOOKUP($A6,TBAranking!$A:$Z,4,FALSE),-1000)</f>
        <v>377</v>
      </c>
      <c r="D6">
        <f t="shared" si="12"/>
        <v>-1000</v>
      </c>
      <c r="E6">
        <f t="shared" si="2"/>
        <v>-1000</v>
      </c>
      <c r="F6">
        <f t="shared" si="3"/>
        <v>329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4">
        <v>126</v>
      </c>
      <c r="R6" s="195">
        <v>258</v>
      </c>
      <c r="S6" s="164">
        <v>155</v>
      </c>
      <c r="T6" s="196">
        <v>160</v>
      </c>
      <c r="U6" s="171">
        <v>230</v>
      </c>
      <c r="V6" s="196">
        <v>474</v>
      </c>
      <c r="W6" s="164">
        <v>97</v>
      </c>
      <c r="X6" s="196">
        <v>211</v>
      </c>
      <c r="Y6" s="171">
        <v>195</v>
      </c>
      <c r="Z6" s="193">
        <v>464</v>
      </c>
      <c r="AA6" s="164">
        <v>319</v>
      </c>
      <c r="AB6" s="196">
        <v>376</v>
      </c>
    </row>
    <row r="7" spans="1:28">
      <c r="A7">
        <f>IF(EventTeam!$A:$A=0,"",EventTeam!$A:$A)</f>
        <v>181</v>
      </c>
      <c r="B7" t="str">
        <f t="shared" si="1"/>
        <v>370</v>
      </c>
      <c r="C7" t="str">
        <f>IFERROR(VLOOKUP($A7,TBAranking!$A:$Z,4,FALSE),-1000)</f>
        <v>370</v>
      </c>
      <c r="D7">
        <f t="shared" si="12"/>
        <v>-1000</v>
      </c>
      <c r="E7">
        <f t="shared" si="2"/>
        <v>-1000</v>
      </c>
      <c r="F7">
        <f t="shared" si="3"/>
        <v>257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4">
        <v>172</v>
      </c>
      <c r="R7" s="195">
        <v>221</v>
      </c>
      <c r="S7" s="164">
        <v>238</v>
      </c>
      <c r="T7" s="197">
        <v>327</v>
      </c>
      <c r="U7" s="171">
        <v>236</v>
      </c>
      <c r="V7" s="197">
        <v>319</v>
      </c>
      <c r="W7" s="164">
        <v>121</v>
      </c>
      <c r="X7" s="197">
        <v>273</v>
      </c>
      <c r="Y7" s="171">
        <v>228</v>
      </c>
      <c r="Z7" s="194">
        <v>343</v>
      </c>
      <c r="AA7" s="164">
        <v>509</v>
      </c>
      <c r="AB7" s="197">
        <v>250</v>
      </c>
    </row>
    <row r="8" spans="1:28">
      <c r="A8">
        <f>IF(EventTeam!$A:$A=0,"",EventTeam!$A:$A)</f>
        <v>190</v>
      </c>
      <c r="B8" t="str">
        <f t="shared" si="1"/>
        <v>398</v>
      </c>
      <c r="C8" t="str">
        <f>IFERROR(VLOOKUP($A8,TBAranking!$A:$Z,4,FALSE),-1000)</f>
        <v>398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-1000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4">
        <v>213</v>
      </c>
      <c r="R8" s="195">
        <v>294</v>
      </c>
      <c r="S8" s="164">
        <v>811</v>
      </c>
      <c r="T8" s="196">
        <v>250</v>
      </c>
      <c r="U8" s="171">
        <v>237</v>
      </c>
      <c r="V8" s="196">
        <v>334</v>
      </c>
      <c r="W8" s="164">
        <v>157</v>
      </c>
      <c r="X8" s="196">
        <v>241</v>
      </c>
      <c r="Y8" s="171">
        <v>230</v>
      </c>
      <c r="Z8" s="193">
        <v>444</v>
      </c>
      <c r="AA8" s="164">
        <v>811</v>
      </c>
      <c r="AB8" s="196">
        <v>356</v>
      </c>
    </row>
    <row r="9" spans="1:28">
      <c r="A9">
        <f>IF(EventTeam!$A:$A=0,"",EventTeam!$A:$A)</f>
        <v>195</v>
      </c>
      <c r="B9" t="str">
        <f t="shared" si="1"/>
        <v>481</v>
      </c>
      <c r="C9" t="str">
        <f>IFERROR(VLOOKUP($A9,TBAranking!$A:$Z,4,FALSE),-1000)</f>
        <v>481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464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4">
        <v>467</v>
      </c>
      <c r="R9" s="195">
        <v>302</v>
      </c>
      <c r="S9" s="164">
        <v>885</v>
      </c>
      <c r="T9" s="197">
        <v>167</v>
      </c>
      <c r="U9" s="171">
        <v>501</v>
      </c>
      <c r="V9" s="197">
        <v>249</v>
      </c>
      <c r="W9" s="164">
        <v>166</v>
      </c>
      <c r="X9" s="197">
        <v>223</v>
      </c>
      <c r="Y9" s="171">
        <v>467</v>
      </c>
      <c r="Z9" s="194">
        <v>263</v>
      </c>
      <c r="AA9" s="164">
        <v>1058</v>
      </c>
      <c r="AB9" s="197">
        <v>259</v>
      </c>
    </row>
    <row r="10" spans="1:28">
      <c r="A10">
        <f>IF(EventTeam!$A:$A=0,"",EventTeam!$A:$A)</f>
        <v>230</v>
      </c>
      <c r="B10" t="str">
        <f t="shared" si="1"/>
        <v>452</v>
      </c>
      <c r="C10" t="str">
        <f>IFERROR(VLOOKUP($A10,TBAranking!$A:$Z,4,FALSE),-1000)</f>
        <v>452</v>
      </c>
      <c r="D10">
        <f t="shared" si="12"/>
        <v>-1000</v>
      </c>
      <c r="E10">
        <f t="shared" si="2"/>
        <v>-1000</v>
      </c>
      <c r="F10">
        <f t="shared" si="3"/>
        <v>474</v>
      </c>
      <c r="G10">
        <f t="shared" si="4"/>
        <v>-1000</v>
      </c>
      <c r="H10">
        <f t="shared" si="5"/>
        <v>444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4">
        <v>663</v>
      </c>
      <c r="R10" s="195">
        <v>281</v>
      </c>
      <c r="S10" s="164">
        <v>1058</v>
      </c>
      <c r="T10" s="196">
        <v>181</v>
      </c>
      <c r="U10" s="171">
        <v>558</v>
      </c>
      <c r="V10" s="196">
        <v>361</v>
      </c>
      <c r="W10" s="164">
        <v>178</v>
      </c>
      <c r="X10" s="196">
        <v>237</v>
      </c>
      <c r="Y10" s="171">
        <v>1027</v>
      </c>
      <c r="Z10" s="193">
        <v>223</v>
      </c>
      <c r="AA10" s="164">
        <v>1289</v>
      </c>
      <c r="AB10" s="196">
        <v>269</v>
      </c>
    </row>
    <row r="11" spans="1:28">
      <c r="A11">
        <f>IF(EventTeam!$A:$A=0,"",EventTeam!$A:$A)</f>
        <v>236</v>
      </c>
      <c r="B11" t="str">
        <f t="shared" si="1"/>
        <v>413</v>
      </c>
      <c r="C11" t="str">
        <f>IFERROR(VLOOKUP($A11,TBAranking!$A:$Z,4,FALSE),-1000)</f>
        <v>413</v>
      </c>
      <c r="D11">
        <f t="shared" si="12"/>
        <v>-1000</v>
      </c>
      <c r="E11">
        <f t="shared" si="2"/>
        <v>-1000</v>
      </c>
      <c r="F11">
        <f t="shared" si="3"/>
        <v>319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4">
        <v>716</v>
      </c>
      <c r="R11" s="195">
        <v>281</v>
      </c>
      <c r="S11" s="164">
        <v>1073</v>
      </c>
      <c r="T11" s="197">
        <v>171</v>
      </c>
      <c r="U11" s="171">
        <v>571</v>
      </c>
      <c r="V11" s="197">
        <v>299</v>
      </c>
      <c r="W11" s="164">
        <v>348</v>
      </c>
      <c r="X11" s="197">
        <v>240</v>
      </c>
      <c r="Y11" s="171">
        <v>1071</v>
      </c>
      <c r="Z11" s="194">
        <v>243</v>
      </c>
      <c r="AA11" s="164">
        <v>1474</v>
      </c>
      <c r="AB11" s="197">
        <v>261</v>
      </c>
    </row>
    <row r="12" spans="1:28">
      <c r="A12">
        <f>IF(EventTeam!$A:$A=0,"",EventTeam!$A:$A)</f>
        <v>558</v>
      </c>
      <c r="B12" t="str">
        <f t="shared" si="1"/>
        <v>422</v>
      </c>
      <c r="C12" t="str">
        <f>IFERROR(VLOOKUP($A12,TBAranking!$A:$Z,4,FALSE),-1000)</f>
        <v>422</v>
      </c>
      <c r="D12">
        <f t="shared" si="12"/>
        <v>-1000</v>
      </c>
      <c r="E12">
        <f t="shared" si="2"/>
        <v>-1000</v>
      </c>
      <c r="F12">
        <f t="shared" si="3"/>
        <v>361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4">
        <v>1100</v>
      </c>
      <c r="R12" s="195">
        <v>323</v>
      </c>
      <c r="S12" s="164">
        <v>1247</v>
      </c>
      <c r="T12" s="196">
        <v>215</v>
      </c>
      <c r="U12" s="171">
        <v>999</v>
      </c>
      <c r="V12" s="196">
        <v>222</v>
      </c>
      <c r="W12" s="164">
        <v>839</v>
      </c>
      <c r="X12" s="196">
        <v>168</v>
      </c>
      <c r="Y12" s="171">
        <v>1099</v>
      </c>
      <c r="Z12" s="193">
        <v>351</v>
      </c>
      <c r="AA12" s="164">
        <v>1761</v>
      </c>
      <c r="AB12" s="196">
        <v>262</v>
      </c>
    </row>
    <row r="13" spans="1:28">
      <c r="A13">
        <f>IF(EventTeam!$A:$A=0,"",EventTeam!$A:$A)</f>
        <v>571</v>
      </c>
      <c r="B13" t="str">
        <f t="shared" si="1"/>
        <v>369</v>
      </c>
      <c r="C13" t="str">
        <f>IFERROR(VLOOKUP($A13,TBAranking!$A:$Z,4,FALSE),-1000)</f>
        <v>369</v>
      </c>
      <c r="D13">
        <f t="shared" si="12"/>
        <v>-1000</v>
      </c>
      <c r="E13">
        <f t="shared" si="2"/>
        <v>-1000</v>
      </c>
      <c r="F13">
        <f t="shared" si="3"/>
        <v>299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4">
        <v>1153</v>
      </c>
      <c r="R13" s="195">
        <v>263</v>
      </c>
      <c r="S13" s="164">
        <v>1289</v>
      </c>
      <c r="T13" s="197">
        <v>232</v>
      </c>
      <c r="U13" s="171">
        <v>1085</v>
      </c>
      <c r="V13" s="197">
        <v>216</v>
      </c>
      <c r="W13" s="164">
        <v>1735</v>
      </c>
      <c r="X13" s="197">
        <v>201</v>
      </c>
      <c r="Y13" s="171">
        <v>2064</v>
      </c>
      <c r="Z13" s="194">
        <v>280</v>
      </c>
      <c r="AA13" s="164">
        <v>1965</v>
      </c>
      <c r="AB13" s="197">
        <v>279</v>
      </c>
    </row>
    <row r="14" spans="1:28">
      <c r="A14">
        <f>IF(EventTeam!$A:$A=0,"",EventTeam!$A:$A)</f>
        <v>839</v>
      </c>
      <c r="B14" t="str">
        <f t="shared" si="1"/>
        <v>342</v>
      </c>
      <c r="C14" t="str">
        <f>IFERROR(VLOOKUP($A14,TBAranking!$A:$Z,4,FALSE),-1000)</f>
        <v>342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168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4">
        <v>1277</v>
      </c>
      <c r="R14" s="195">
        <v>223</v>
      </c>
      <c r="S14" s="164">
        <v>1307</v>
      </c>
      <c r="T14" s="196">
        <v>175</v>
      </c>
      <c r="U14" s="171">
        <v>1099</v>
      </c>
      <c r="V14" s="196">
        <v>330</v>
      </c>
      <c r="W14" s="164">
        <v>1757</v>
      </c>
      <c r="X14" s="196">
        <v>221</v>
      </c>
      <c r="Y14" s="171">
        <v>2067</v>
      </c>
      <c r="Z14" s="193">
        <v>362</v>
      </c>
      <c r="AA14" s="164">
        <v>2084</v>
      </c>
      <c r="AB14" s="196">
        <v>266</v>
      </c>
    </row>
    <row r="15" spans="1:28">
      <c r="A15">
        <f>IF(EventTeam!$A:$A=0,"",EventTeam!$A:$A)</f>
        <v>999</v>
      </c>
      <c r="B15" t="str">
        <f t="shared" si="1"/>
        <v>395</v>
      </c>
      <c r="C15" t="str">
        <f>IFERROR(VLOOKUP($A15,TBAranking!$A:$Z,4,FALSE),-1000)</f>
        <v>395</v>
      </c>
      <c r="D15">
        <f t="shared" si="12"/>
        <v>-1000</v>
      </c>
      <c r="E15">
        <f t="shared" si="2"/>
        <v>-1000</v>
      </c>
      <c r="F15">
        <f t="shared" si="3"/>
        <v>222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4">
        <v>1350</v>
      </c>
      <c r="R15" s="195">
        <v>236</v>
      </c>
      <c r="S15" s="164">
        <v>1474</v>
      </c>
      <c r="T15" s="197">
        <v>205</v>
      </c>
      <c r="U15" s="171">
        <v>1124</v>
      </c>
      <c r="V15" s="197">
        <v>278</v>
      </c>
      <c r="W15" s="164">
        <v>2079</v>
      </c>
      <c r="X15" s="197">
        <v>231</v>
      </c>
      <c r="Y15" s="171">
        <v>2836</v>
      </c>
      <c r="Z15" s="194">
        <v>359</v>
      </c>
      <c r="AA15" s="164">
        <v>2423</v>
      </c>
      <c r="AB15" s="197">
        <v>258</v>
      </c>
    </row>
    <row r="16" spans="1:28">
      <c r="A16">
        <f>IF(EventTeam!$A:$A=0,"",EventTeam!$A:$A)</f>
        <v>1027</v>
      </c>
      <c r="B16" t="str">
        <f t="shared" si="1"/>
        <v>295</v>
      </c>
      <c r="C16" t="str">
        <f>IFERROR(VLOOKUP($A16,TBAranking!$A:$Z,4,FALSE),-1000)</f>
        <v>295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223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4">
        <v>1519</v>
      </c>
      <c r="R16" s="195">
        <v>388</v>
      </c>
      <c r="S16" s="164">
        <v>1512</v>
      </c>
      <c r="T16" s="196">
        <v>239</v>
      </c>
      <c r="U16" s="171">
        <v>1676</v>
      </c>
      <c r="V16" s="196">
        <v>281</v>
      </c>
      <c r="W16" s="164">
        <v>2168</v>
      </c>
      <c r="X16" s="196">
        <v>229</v>
      </c>
      <c r="Y16" s="171">
        <v>3104</v>
      </c>
      <c r="Z16" s="193">
        <v>286</v>
      </c>
      <c r="AA16" s="164">
        <v>2713</v>
      </c>
      <c r="AB16" s="196">
        <v>290</v>
      </c>
    </row>
    <row r="17" spans="1:28">
      <c r="A17">
        <f>IF(EventTeam!$A:$A=0,"",EventTeam!$A:$A)</f>
        <v>1085</v>
      </c>
      <c r="B17" t="str">
        <f t="shared" si="1"/>
        <v>337</v>
      </c>
      <c r="C17" t="str">
        <f>IFERROR(VLOOKUP($A17,TBAranking!$A:$Z,4,FALSE),-1000)</f>
        <v>337</v>
      </c>
      <c r="D17">
        <f t="shared" si="12"/>
        <v>-1000</v>
      </c>
      <c r="E17">
        <f t="shared" si="2"/>
        <v>-1000</v>
      </c>
      <c r="F17">
        <f t="shared" si="3"/>
        <v>216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4">
        <v>1729</v>
      </c>
      <c r="R17" s="195">
        <v>293</v>
      </c>
      <c r="S17" s="164">
        <v>1517</v>
      </c>
      <c r="T17" s="197">
        <v>135</v>
      </c>
      <c r="U17" s="171">
        <v>1699</v>
      </c>
      <c r="V17" s="197">
        <v>331</v>
      </c>
      <c r="W17" s="164">
        <v>2648</v>
      </c>
      <c r="X17" s="197">
        <v>208</v>
      </c>
      <c r="Y17" s="171">
        <v>3555</v>
      </c>
      <c r="Z17" s="194">
        <v>394</v>
      </c>
      <c r="AA17" s="164">
        <v>2876</v>
      </c>
      <c r="AB17" s="197">
        <v>294</v>
      </c>
    </row>
    <row r="18" spans="1:28">
      <c r="A18">
        <f>IF(EventTeam!$A:$A=0,"",EventTeam!$A:$A)</f>
        <v>1124</v>
      </c>
      <c r="B18">
        <f t="shared" si="1"/>
        <v>278</v>
      </c>
      <c r="C18">
        <f>IFERROR(VLOOKUP($A18,TBAranking!$A:$Z,4,FALSE),-1000)</f>
        <v>-1000</v>
      </c>
      <c r="D18">
        <f t="shared" si="12"/>
        <v>-1000</v>
      </c>
      <c r="E18">
        <f t="shared" si="2"/>
        <v>-1000</v>
      </c>
      <c r="F18">
        <f t="shared" si="3"/>
        <v>278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si="0"/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4">
        <v>1768</v>
      </c>
      <c r="R18" s="195">
        <v>249</v>
      </c>
      <c r="S18" s="164">
        <v>2342</v>
      </c>
      <c r="T18" s="196">
        <v>215</v>
      </c>
      <c r="U18" s="171">
        <v>2067</v>
      </c>
      <c r="V18" s="196">
        <v>284</v>
      </c>
      <c r="W18" s="164">
        <v>3566</v>
      </c>
      <c r="X18" s="196">
        <v>220</v>
      </c>
      <c r="Y18" s="171">
        <v>3634</v>
      </c>
      <c r="Z18" s="193">
        <v>250</v>
      </c>
      <c r="AA18" s="164">
        <v>2877</v>
      </c>
      <c r="AB18" s="196">
        <v>303</v>
      </c>
    </row>
    <row r="19" spans="1:28">
      <c r="A19">
        <f>IF(EventTeam!$A:$A=0,"",EventTeam!$A:$A)</f>
        <v>1740</v>
      </c>
      <c r="B19" t="str">
        <f t="shared" si="1"/>
        <v>314</v>
      </c>
      <c r="C19" t="str">
        <f>IFERROR(VLOOKUP($A19,TBAranking!$A:$Z,4,FALSE),-1000)</f>
        <v>314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0"/>
        <v>-1000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4">
        <v>1786</v>
      </c>
      <c r="R19" s="195">
        <v>225</v>
      </c>
      <c r="S19" s="164">
        <v>2876</v>
      </c>
      <c r="T19" s="197">
        <v>257</v>
      </c>
      <c r="U19" s="171">
        <v>2170</v>
      </c>
      <c r="V19" s="197">
        <v>301</v>
      </c>
      <c r="W19" s="164">
        <v>4041</v>
      </c>
      <c r="X19" s="197">
        <v>271</v>
      </c>
      <c r="Y19" s="171">
        <v>3654</v>
      </c>
      <c r="Z19" s="194">
        <v>281</v>
      </c>
      <c r="AA19" s="164">
        <v>3205</v>
      </c>
      <c r="AB19" s="197">
        <v>261</v>
      </c>
    </row>
    <row r="20" spans="1:28">
      <c r="A20">
        <f>IF(EventTeam!$A:$A=0,"",EventTeam!$A:$A)</f>
        <v>1973</v>
      </c>
      <c r="B20" t="str">
        <f t="shared" si="1"/>
        <v>254</v>
      </c>
      <c r="C20" t="str">
        <f>IFERROR(VLOOKUP($A20,TBAranking!$A:$Z,4,FALSE),-1000)</f>
        <v>254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0"/>
        <v>-1000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4">
        <v>1831</v>
      </c>
      <c r="R20" s="195">
        <v>237</v>
      </c>
      <c r="S20" s="164">
        <v>3205</v>
      </c>
      <c r="T20" s="196">
        <v>171</v>
      </c>
      <c r="U20" s="171">
        <v>3182</v>
      </c>
      <c r="V20" s="196">
        <v>267</v>
      </c>
      <c r="W20" s="164">
        <v>4151</v>
      </c>
      <c r="X20" s="196">
        <v>189</v>
      </c>
      <c r="Y20" s="171">
        <v>3958</v>
      </c>
      <c r="Z20" s="193">
        <v>305</v>
      </c>
      <c r="AA20" s="164">
        <v>3467</v>
      </c>
      <c r="AB20" s="196">
        <v>326</v>
      </c>
    </row>
    <row r="21" spans="1:28">
      <c r="A21">
        <f>IF(EventTeam!$A:$A=0,"",EventTeam!$A:$A)</f>
        <v>1991</v>
      </c>
      <c r="B21" t="str">
        <f t="shared" si="1"/>
        <v>343</v>
      </c>
      <c r="C21" t="str">
        <f>IFERROR(VLOOKUP($A21,TBAranking!$A:$Z,4,FALSE),-1000)</f>
        <v>343</v>
      </c>
      <c r="D21">
        <f t="shared" si="12"/>
        <v>249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si="5"/>
        <v>-1000</v>
      </c>
      <c r="I21">
        <f t="shared" si="6"/>
        <v>-1000</v>
      </c>
      <c r="J21">
        <f t="shared" si="0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4">
        <v>1991</v>
      </c>
      <c r="R21" s="195">
        <v>249</v>
      </c>
      <c r="S21" s="164">
        <v>3323</v>
      </c>
      <c r="T21" s="197">
        <v>206</v>
      </c>
      <c r="U21" s="171">
        <v>3314</v>
      </c>
      <c r="V21" s="197">
        <v>352</v>
      </c>
      <c r="W21" s="164">
        <v>4169</v>
      </c>
      <c r="X21" s="197">
        <v>213</v>
      </c>
      <c r="Y21" s="171">
        <v>4055</v>
      </c>
      <c r="Z21" s="194">
        <v>269</v>
      </c>
      <c r="AA21" s="164">
        <v>4034</v>
      </c>
      <c r="AB21" s="197">
        <v>222</v>
      </c>
    </row>
    <row r="22" spans="1:28">
      <c r="A22">
        <f>IF(EventTeam!$A:$A=0,"",EventTeam!$A:$A)</f>
        <v>2064</v>
      </c>
      <c r="B22" t="str">
        <f t="shared" si="1"/>
        <v>331</v>
      </c>
      <c r="C22" t="str">
        <f>IFERROR(VLOOKUP($A22,TBAranking!$A:$Z,4,FALSE),-1000)</f>
        <v>331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5"/>
        <v>280</v>
      </c>
      <c r="I22">
        <f t="shared" si="6"/>
        <v>-1000</v>
      </c>
      <c r="J22">
        <f t="shared" si="0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4">
        <v>2262</v>
      </c>
      <c r="R22" s="195">
        <v>271</v>
      </c>
      <c r="S22" s="164">
        <v>3930</v>
      </c>
      <c r="T22" s="196">
        <v>153</v>
      </c>
      <c r="U22" s="171">
        <v>3461</v>
      </c>
      <c r="V22" s="196">
        <v>363</v>
      </c>
      <c r="W22" s="164">
        <v>4176</v>
      </c>
      <c r="X22" s="196">
        <v>271</v>
      </c>
      <c r="Y22" s="171">
        <v>4557</v>
      </c>
      <c r="Z22" s="193">
        <v>337</v>
      </c>
      <c r="AA22" s="164">
        <v>4169</v>
      </c>
      <c r="AB22" s="196">
        <v>233</v>
      </c>
    </row>
    <row r="23" spans="1:28">
      <c r="A23">
        <f>IF(EventTeam!$A:$A=0,"",EventTeam!$A:$A)</f>
        <v>2067</v>
      </c>
      <c r="B23" t="str">
        <f t="shared" si="1"/>
        <v>388</v>
      </c>
      <c r="C23" t="str">
        <f>IFERROR(VLOOKUP($A23,TBAranking!$A:$Z,4,FALSE),-1000)</f>
        <v>388</v>
      </c>
      <c r="D23">
        <f t="shared" si="12"/>
        <v>-1000</v>
      </c>
      <c r="E23">
        <f t="shared" si="2"/>
        <v>-1000</v>
      </c>
      <c r="F23">
        <f t="shared" si="3"/>
        <v>284</v>
      </c>
      <c r="G23">
        <f t="shared" si="4"/>
        <v>-1000</v>
      </c>
      <c r="H23">
        <f t="shared" si="5"/>
        <v>362</v>
      </c>
      <c r="I23">
        <f t="shared" si="6"/>
        <v>-1000</v>
      </c>
      <c r="J23">
        <f t="shared" si="0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4">
        <v>2370</v>
      </c>
      <c r="R23" s="195">
        <v>341</v>
      </c>
      <c r="S23" s="164">
        <v>3958</v>
      </c>
      <c r="T23" s="197">
        <v>244</v>
      </c>
      <c r="U23" s="171">
        <v>3464</v>
      </c>
      <c r="V23" s="197">
        <v>302</v>
      </c>
      <c r="W23" s="164">
        <v>4761</v>
      </c>
      <c r="X23" s="197">
        <v>220</v>
      </c>
      <c r="Y23" s="171">
        <v>4572</v>
      </c>
      <c r="Z23" s="194">
        <v>293</v>
      </c>
      <c r="AA23" s="164">
        <v>4311</v>
      </c>
      <c r="AB23" s="197">
        <v>266</v>
      </c>
    </row>
    <row r="24" spans="1:28">
      <c r="A24">
        <f>IF(EventTeam!$A:$A=0,"",EventTeam!$A:$A)</f>
        <v>2170</v>
      </c>
      <c r="B24" t="str">
        <f t="shared" si="1"/>
        <v>467</v>
      </c>
      <c r="C24" t="str">
        <f>IFERROR(VLOOKUP($A24,TBAranking!$A:$Z,4,FALSE),-1000)</f>
        <v>467</v>
      </c>
      <c r="D24">
        <f t="shared" si="12"/>
        <v>-1000</v>
      </c>
      <c r="E24">
        <f t="shared" si="2"/>
        <v>-1000</v>
      </c>
      <c r="F24">
        <f t="shared" si="3"/>
        <v>301</v>
      </c>
      <c r="G24">
        <f t="shared" si="4"/>
        <v>-1000</v>
      </c>
      <c r="H24">
        <f t="shared" si="5"/>
        <v>-1000</v>
      </c>
      <c r="I24">
        <f t="shared" si="6"/>
        <v>-1000</v>
      </c>
      <c r="J24">
        <f t="shared" si="0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4">
        <v>2785</v>
      </c>
      <c r="R24" s="195">
        <v>249</v>
      </c>
      <c r="S24" s="164">
        <v>5265</v>
      </c>
      <c r="T24" s="196">
        <v>197</v>
      </c>
      <c r="U24" s="171">
        <v>3525</v>
      </c>
      <c r="V24" s="196">
        <v>266</v>
      </c>
      <c r="W24" s="164">
        <v>4796</v>
      </c>
      <c r="X24" s="196">
        <v>223</v>
      </c>
      <c r="Y24" s="171">
        <v>5687</v>
      </c>
      <c r="Z24" s="193">
        <v>374</v>
      </c>
      <c r="AA24" s="164">
        <v>4473</v>
      </c>
      <c r="AB24" s="196">
        <v>246</v>
      </c>
    </row>
    <row r="25" spans="1:28">
      <c r="A25">
        <f>IF(EventTeam!$A:$A=0,"",EventTeam!$A:$A)</f>
        <v>2785</v>
      </c>
      <c r="B25" t="str">
        <f t="shared" si="1"/>
        <v>308</v>
      </c>
      <c r="C25" t="str">
        <f>IFERROR(VLOOKUP($A25,TBAranking!$A:$Z,4,FALSE),-1000)</f>
        <v>308</v>
      </c>
      <c r="D25">
        <f t="shared" si="12"/>
        <v>249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5"/>
        <v>-1000</v>
      </c>
      <c r="I25">
        <f t="shared" si="6"/>
        <v>-1000</v>
      </c>
      <c r="J25">
        <f t="shared" si="0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4">
        <v>3236</v>
      </c>
      <c r="R25" s="195">
        <v>322</v>
      </c>
      <c r="S25" s="164">
        <v>5459</v>
      </c>
      <c r="T25" s="197">
        <v>148</v>
      </c>
      <c r="U25" s="171">
        <v>4055</v>
      </c>
      <c r="V25" s="197">
        <v>248</v>
      </c>
      <c r="W25" s="164">
        <v>4908</v>
      </c>
      <c r="X25" s="197">
        <v>198</v>
      </c>
      <c r="Y25" s="171">
        <v>5746</v>
      </c>
      <c r="Z25" s="194">
        <v>316</v>
      </c>
      <c r="AA25" s="164">
        <v>4761</v>
      </c>
      <c r="AB25" s="197">
        <v>306</v>
      </c>
    </row>
    <row r="26" spans="1:28">
      <c r="A26">
        <f>IF(EventTeam!$A:$A=0,"",EventTeam!$A:$A)</f>
        <v>2836</v>
      </c>
      <c r="B26" t="str">
        <f t="shared" si="1"/>
        <v>392</v>
      </c>
      <c r="C26" t="str">
        <f>IFERROR(VLOOKUP($A26,TBAranking!$A:$Z,4,FALSE),-1000)</f>
        <v>392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5"/>
        <v>359</v>
      </c>
      <c r="I26">
        <f t="shared" si="6"/>
        <v>-1000</v>
      </c>
      <c r="J26">
        <f t="shared" si="0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4">
        <v>3466</v>
      </c>
      <c r="R26" s="195">
        <v>248</v>
      </c>
      <c r="S26" s="164">
        <v>5471</v>
      </c>
      <c r="T26" s="196">
        <v>129</v>
      </c>
      <c r="U26" s="171">
        <v>4097</v>
      </c>
      <c r="V26" s="196">
        <v>215</v>
      </c>
      <c r="W26" s="164">
        <v>5000</v>
      </c>
      <c r="X26" s="196">
        <v>263</v>
      </c>
      <c r="Y26" s="171">
        <v>5856</v>
      </c>
      <c r="Z26" s="193">
        <v>277</v>
      </c>
      <c r="AA26" s="164">
        <v>4905</v>
      </c>
      <c r="AB26" s="196">
        <v>326</v>
      </c>
    </row>
    <row r="27" spans="1:28">
      <c r="A27">
        <f>IF(EventTeam!$A:$A=0,"",EventTeam!$A:$A)</f>
        <v>3104</v>
      </c>
      <c r="B27">
        <f t="shared" si="1"/>
        <v>286</v>
      </c>
      <c r="C27">
        <f>IFERROR(VLOOKUP($A27,TBAranking!$A:$Z,4,FALSE),-1000)</f>
        <v>-1000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5"/>
        <v>286</v>
      </c>
      <c r="I27">
        <f t="shared" si="6"/>
        <v>-1000</v>
      </c>
      <c r="J27">
        <f t="shared" si="0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4">
        <v>3555</v>
      </c>
      <c r="R27" s="195">
        <v>285</v>
      </c>
      <c r="S27" s="164">
        <v>5556</v>
      </c>
      <c r="T27" s="197">
        <v>193</v>
      </c>
      <c r="U27" s="171">
        <v>4557</v>
      </c>
      <c r="V27" s="197">
        <v>314</v>
      </c>
      <c r="W27" s="164">
        <v>5112</v>
      </c>
      <c r="X27" s="197">
        <v>184</v>
      </c>
      <c r="Y27" s="171">
        <v>6346</v>
      </c>
      <c r="Z27" s="194">
        <v>237</v>
      </c>
      <c r="AA27" s="164">
        <v>4906</v>
      </c>
      <c r="AB27" s="197">
        <v>254</v>
      </c>
    </row>
    <row r="28" spans="1:28">
      <c r="A28">
        <f>IF(EventTeam!$A:$A=0,"",EventTeam!$A:$A)</f>
        <v>3146</v>
      </c>
      <c r="B28" t="str">
        <f t="shared" si="1"/>
        <v>297</v>
      </c>
      <c r="C28" t="str">
        <f>IFERROR(VLOOKUP($A28,TBAranking!$A:$Z,4,FALSE),-1000)</f>
        <v>297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5"/>
        <v>-1000</v>
      </c>
      <c r="I28">
        <f t="shared" si="6"/>
        <v>-1000</v>
      </c>
      <c r="J28">
        <f t="shared" si="0"/>
        <v>-1000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4">
        <v>3566</v>
      </c>
      <c r="R28" s="195">
        <v>246</v>
      </c>
      <c r="S28" s="164">
        <v>5686</v>
      </c>
      <c r="T28" s="196">
        <v>212</v>
      </c>
      <c r="U28" s="171">
        <v>4572</v>
      </c>
      <c r="V28" s="196">
        <v>282</v>
      </c>
      <c r="W28" s="164">
        <v>5422</v>
      </c>
      <c r="X28" s="196">
        <v>200</v>
      </c>
      <c r="Y28" s="171">
        <v>6367</v>
      </c>
      <c r="Z28" s="193">
        <v>282</v>
      </c>
      <c r="AA28" s="164">
        <v>4909</v>
      </c>
      <c r="AB28" s="196">
        <v>286</v>
      </c>
    </row>
    <row r="29" spans="1:28">
      <c r="A29">
        <f>IF(EventTeam!$A:$A=0,"",EventTeam!$A:$A)</f>
        <v>3182</v>
      </c>
      <c r="B29" t="str">
        <f t="shared" si="1"/>
        <v>312</v>
      </c>
      <c r="C29" t="str">
        <f>IFERROR(VLOOKUP($A29,TBAranking!$A:$Z,4,FALSE),-1000)</f>
        <v>312</v>
      </c>
      <c r="D29">
        <f t="shared" si="12"/>
        <v>-1000</v>
      </c>
      <c r="E29">
        <f t="shared" si="2"/>
        <v>-1000</v>
      </c>
      <c r="F29">
        <f t="shared" si="3"/>
        <v>267</v>
      </c>
      <c r="G29">
        <f t="shared" si="4"/>
        <v>-1000</v>
      </c>
      <c r="H29">
        <f t="shared" si="5"/>
        <v>-1000</v>
      </c>
      <c r="I29">
        <f t="shared" si="6"/>
        <v>-1000</v>
      </c>
      <c r="J29">
        <f t="shared" si="0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4">
        <v>3623</v>
      </c>
      <c r="R29" s="195">
        <v>223</v>
      </c>
      <c r="S29" s="164">
        <v>5687</v>
      </c>
      <c r="T29" s="197">
        <v>325</v>
      </c>
      <c r="U29" s="171">
        <v>5129</v>
      </c>
      <c r="V29" s="197">
        <v>216</v>
      </c>
      <c r="W29" s="164">
        <v>5563</v>
      </c>
      <c r="X29" s="197">
        <v>208</v>
      </c>
      <c r="Y29" s="171">
        <v>6811</v>
      </c>
      <c r="Z29" s="194">
        <v>304</v>
      </c>
      <c r="AA29" s="164">
        <v>5122</v>
      </c>
      <c r="AB29" s="197">
        <v>275</v>
      </c>
    </row>
    <row r="30" spans="1:28">
      <c r="A30">
        <f>IF(EventTeam!$A:$A=0,"",EventTeam!$A:$A)</f>
        <v>3464</v>
      </c>
      <c r="B30" t="str">
        <f t="shared" si="1"/>
        <v>374</v>
      </c>
      <c r="C30" t="str">
        <f>IFERROR(VLOOKUP($A30,TBAranking!$A:$Z,4,FALSE),-1000)</f>
        <v>374</v>
      </c>
      <c r="D30">
        <f t="shared" si="12"/>
        <v>-1000</v>
      </c>
      <c r="E30">
        <f t="shared" si="2"/>
        <v>-1000</v>
      </c>
      <c r="F30">
        <f t="shared" si="3"/>
        <v>302</v>
      </c>
      <c r="G30">
        <f t="shared" si="4"/>
        <v>-1000</v>
      </c>
      <c r="H30">
        <f t="shared" si="5"/>
        <v>-1000</v>
      </c>
      <c r="I30">
        <f t="shared" si="6"/>
        <v>-1000</v>
      </c>
      <c r="J30">
        <f t="shared" si="0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4">
        <v>3719</v>
      </c>
      <c r="R30" s="195">
        <v>192</v>
      </c>
      <c r="S30" s="164">
        <v>5902</v>
      </c>
      <c r="T30" s="196">
        <v>169</v>
      </c>
      <c r="U30" s="171">
        <v>5142</v>
      </c>
      <c r="V30" s="196">
        <v>301</v>
      </c>
      <c r="W30" s="164">
        <v>5813</v>
      </c>
      <c r="X30" s="196">
        <v>382</v>
      </c>
      <c r="Y30" s="171">
        <v>7127</v>
      </c>
      <c r="Z30" s="193">
        <v>300</v>
      </c>
      <c r="AA30" s="164">
        <v>5347</v>
      </c>
      <c r="AB30" s="196">
        <v>246</v>
      </c>
    </row>
    <row r="31" spans="1:28" ht="15.75" thickBot="1">
      <c r="A31">
        <f>IF(EventTeam!$A:$A=0,"",EventTeam!$A:$A)</f>
        <v>3634</v>
      </c>
      <c r="B31" t="str">
        <f t="shared" si="1"/>
        <v>327</v>
      </c>
      <c r="C31" t="str">
        <f>IFERROR(VLOOKUP($A31,TBAranking!$A:$Z,4,FALSE),-1000)</f>
        <v>327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5"/>
        <v>250</v>
      </c>
      <c r="I31">
        <f t="shared" si="6"/>
        <v>-1000</v>
      </c>
      <c r="J31">
        <f t="shared" si="0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4">
        <v>4042</v>
      </c>
      <c r="R31" s="195">
        <v>282</v>
      </c>
      <c r="S31" s="164">
        <v>6324</v>
      </c>
      <c r="T31" s="197">
        <v>272</v>
      </c>
      <c r="U31" s="171">
        <v>5856</v>
      </c>
      <c r="V31" s="197">
        <v>333</v>
      </c>
      <c r="W31" s="164">
        <v>5846</v>
      </c>
      <c r="X31" s="197">
        <v>255</v>
      </c>
      <c r="Y31" s="172">
        <v>7153</v>
      </c>
      <c r="Z31" s="209">
        <v>307</v>
      </c>
      <c r="AA31" s="164">
        <v>5459</v>
      </c>
      <c r="AB31" s="197">
        <v>267</v>
      </c>
    </row>
    <row r="32" spans="1:28">
      <c r="A32">
        <f>IF(EventTeam!$A:$A=0,"",EventTeam!$A:$A)</f>
        <v>3654</v>
      </c>
      <c r="B32" t="str">
        <f t="shared" si="1"/>
        <v>336</v>
      </c>
      <c r="C32" t="str">
        <f>IFERROR(VLOOKUP($A32,TBAranking!$A:$Z,4,FALSE),-1000)</f>
        <v>336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5"/>
        <v>281</v>
      </c>
      <c r="I32">
        <f t="shared" si="6"/>
        <v>-1000</v>
      </c>
      <c r="J32">
        <f t="shared" si="0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4">
        <v>4048</v>
      </c>
      <c r="R32" s="195">
        <v>250</v>
      </c>
      <c r="S32" s="164">
        <v>6335</v>
      </c>
      <c r="T32" s="196">
        <v>174</v>
      </c>
      <c r="U32" s="171">
        <v>6723</v>
      </c>
      <c r="V32" s="196">
        <v>299</v>
      </c>
      <c r="W32" s="164">
        <v>6153</v>
      </c>
      <c r="X32" s="196">
        <v>243</v>
      </c>
      <c r="Y32" s="171"/>
      <c r="Z32" s="171"/>
      <c r="AA32" s="164">
        <v>5556</v>
      </c>
      <c r="AB32" s="196">
        <v>335</v>
      </c>
    </row>
    <row r="33" spans="1:28" ht="15.75" thickBot="1">
      <c r="A33">
        <f>IF(EventTeam!$A:$A=0,"",EventTeam!$A:$A)</f>
        <v>4987</v>
      </c>
      <c r="B33" t="str">
        <f t="shared" si="1"/>
        <v>333</v>
      </c>
      <c r="C33" t="str">
        <f>IFERROR(VLOOKUP($A33,TBAranking!$A:$Z,4,FALSE),-1000)</f>
        <v>333</v>
      </c>
      <c r="D33">
        <f t="shared" si="12"/>
        <v>324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5"/>
        <v>-1000</v>
      </c>
      <c r="I33">
        <f t="shared" si="6"/>
        <v>-1000</v>
      </c>
      <c r="J33">
        <f t="shared" si="0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4">
        <v>4564</v>
      </c>
      <c r="R33" s="195">
        <v>378</v>
      </c>
      <c r="S33" s="164">
        <v>6691</v>
      </c>
      <c r="T33" s="197">
        <v>152</v>
      </c>
      <c r="U33" s="172">
        <v>7266</v>
      </c>
      <c r="V33" s="198">
        <v>247</v>
      </c>
      <c r="W33" s="164">
        <v>6172</v>
      </c>
      <c r="X33" s="197">
        <v>210</v>
      </c>
      <c r="Y33" s="171"/>
      <c r="Z33" s="171"/>
      <c r="AA33" s="164">
        <v>5735</v>
      </c>
      <c r="AB33" s="197">
        <v>402</v>
      </c>
    </row>
    <row r="34" spans="1:28">
      <c r="A34">
        <f>IF(EventTeam!$A:$A=0,"",EventTeam!$A:$A)</f>
        <v>5129</v>
      </c>
      <c r="B34" t="str">
        <f t="shared" si="1"/>
        <v>348</v>
      </c>
      <c r="C34" t="str">
        <f>IFERROR(VLOOKUP($A34,TBAranking!$A:$Z,4,FALSE),-1000)</f>
        <v>348</v>
      </c>
      <c r="D34">
        <f t="shared" si="12"/>
        <v>-1000</v>
      </c>
      <c r="E34">
        <f t="shared" si="2"/>
        <v>-1000</v>
      </c>
      <c r="F34">
        <f t="shared" si="3"/>
        <v>216</v>
      </c>
      <c r="G34">
        <f t="shared" si="4"/>
        <v>-1000</v>
      </c>
      <c r="H34">
        <f t="shared" si="5"/>
        <v>-1000</v>
      </c>
      <c r="I34">
        <f t="shared" si="6"/>
        <v>-1000</v>
      </c>
      <c r="J34">
        <f t="shared" si="0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4">
        <v>4905</v>
      </c>
      <c r="R34" s="195">
        <v>296</v>
      </c>
      <c r="S34" s="164">
        <v>6933</v>
      </c>
      <c r="T34" s="196">
        <v>277</v>
      </c>
      <c r="W34" s="164">
        <v>6201</v>
      </c>
      <c r="X34" s="196">
        <v>283</v>
      </c>
      <c r="Y34" s="171"/>
      <c r="Z34" s="171"/>
      <c r="AA34" s="164">
        <v>5752</v>
      </c>
      <c r="AB34" s="196">
        <v>257</v>
      </c>
    </row>
    <row r="35" spans="1:28">
      <c r="A35">
        <f>IF(EventTeam!$A:$A=0,"",EventTeam!$A:$A)</f>
        <v>5142</v>
      </c>
      <c r="B35" t="str">
        <f t="shared" si="1"/>
        <v>304</v>
      </c>
      <c r="C35" t="str">
        <f>IFERROR(VLOOKUP($A35,TBAranking!$A:$Z,4,FALSE),-1000)</f>
        <v>304</v>
      </c>
      <c r="D35">
        <f t="shared" si="12"/>
        <v>-1000</v>
      </c>
      <c r="E35">
        <f t="shared" si="2"/>
        <v>-1000</v>
      </c>
      <c r="F35">
        <f t="shared" si="3"/>
        <v>301</v>
      </c>
      <c r="G35">
        <f t="shared" si="4"/>
        <v>-1000</v>
      </c>
      <c r="H35">
        <f t="shared" si="5"/>
        <v>-1000</v>
      </c>
      <c r="I35">
        <f t="shared" si="6"/>
        <v>-1000</v>
      </c>
      <c r="J35">
        <f t="shared" si="0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4">
        <v>4987</v>
      </c>
      <c r="R35" s="195">
        <v>324</v>
      </c>
      <c r="S35" s="164">
        <v>7133</v>
      </c>
      <c r="T35" s="197">
        <v>201</v>
      </c>
      <c r="W35" s="164">
        <v>6224</v>
      </c>
      <c r="X35" s="197">
        <v>229</v>
      </c>
      <c r="Y35" s="171"/>
      <c r="Z35" s="171"/>
      <c r="AA35" s="164">
        <v>5962</v>
      </c>
      <c r="AB35" s="197">
        <v>265</v>
      </c>
    </row>
    <row r="36" spans="1:28" ht="15.75" thickBot="1">
      <c r="A36">
        <f>IF(EventTeam!$A:$A=0,"",EventTeam!$A:$A)</f>
        <v>5686</v>
      </c>
      <c r="B36" t="str">
        <f t="shared" si="1"/>
        <v>401</v>
      </c>
      <c r="C36" t="str">
        <f>IFERROR(VLOOKUP($A36,TBAranking!$A:$Z,4,FALSE),-1000)</f>
        <v>401</v>
      </c>
      <c r="D36">
        <f t="shared" si="12"/>
        <v>-1000</v>
      </c>
      <c r="E36">
        <f t="shared" si="2"/>
        <v>212</v>
      </c>
      <c r="F36">
        <f t="shared" si="3"/>
        <v>-1000</v>
      </c>
      <c r="G36">
        <f t="shared" si="4"/>
        <v>-1000</v>
      </c>
      <c r="H36">
        <f t="shared" si="5"/>
        <v>-1000</v>
      </c>
      <c r="I36">
        <f t="shared" si="6"/>
        <v>-1000</v>
      </c>
      <c r="J36">
        <f t="shared" si="0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4">
        <v>5491</v>
      </c>
      <c r="R36" s="195">
        <v>185</v>
      </c>
      <c r="S36" s="166">
        <v>7314</v>
      </c>
      <c r="T36" s="201">
        <v>119</v>
      </c>
      <c r="W36" s="164">
        <v>6301</v>
      </c>
      <c r="X36" s="196">
        <v>148</v>
      </c>
      <c r="Y36" s="171"/>
      <c r="Z36" s="171"/>
      <c r="AA36" s="164">
        <v>6324</v>
      </c>
      <c r="AB36" s="196">
        <v>376</v>
      </c>
    </row>
    <row r="37" spans="1:28">
      <c r="A37">
        <f>IF(EventTeam!$A:$A=0,"",EventTeam!$A:$A)</f>
        <v>5746</v>
      </c>
      <c r="B37" t="str">
        <f t="shared" si="1"/>
        <v>321</v>
      </c>
      <c r="C37" t="str">
        <f>IFERROR(VLOOKUP($A37,TBAranking!$A:$Z,4,FALSE),-1000)</f>
        <v>321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5"/>
        <v>316</v>
      </c>
      <c r="I37">
        <f t="shared" si="6"/>
        <v>-1000</v>
      </c>
      <c r="J37">
        <f t="shared" si="0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4">
        <v>5494</v>
      </c>
      <c r="R37" s="195">
        <v>226</v>
      </c>
      <c r="W37" s="164">
        <v>6328</v>
      </c>
      <c r="X37" s="197">
        <v>236</v>
      </c>
      <c r="Y37" s="171"/>
      <c r="Z37" s="171"/>
      <c r="AA37" s="164">
        <v>6335</v>
      </c>
      <c r="AB37" s="197">
        <v>236</v>
      </c>
    </row>
    <row r="38" spans="1:28">
      <c r="A38">
        <f>IF(EventTeam!$A:$A=0,"",EventTeam!$A:$A)</f>
        <v>6333</v>
      </c>
      <c r="B38" t="str">
        <f t="shared" si="1"/>
        <v>329</v>
      </c>
      <c r="C38" t="str">
        <f>IFERROR(VLOOKUP($A38,TBAranking!$A:$Z,4,FALSE),-1000)</f>
        <v>329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5"/>
        <v>-1000</v>
      </c>
      <c r="I38">
        <f t="shared" si="6"/>
        <v>-1000</v>
      </c>
      <c r="J38">
        <f t="shared" si="0"/>
        <v>-1000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4">
        <v>5735</v>
      </c>
      <c r="R38" s="195">
        <v>327</v>
      </c>
      <c r="W38" s="164">
        <v>6337</v>
      </c>
      <c r="X38" s="196">
        <v>229</v>
      </c>
      <c r="Y38" s="171"/>
      <c r="Z38" s="171"/>
      <c r="AA38" s="164">
        <v>6731</v>
      </c>
      <c r="AB38" s="196">
        <v>342</v>
      </c>
    </row>
    <row r="39" spans="1:28">
      <c r="A39">
        <f>IF(EventTeam!$A:$A=0,"",EventTeam!$A:$A)</f>
        <v>6346</v>
      </c>
      <c r="B39" t="str">
        <f t="shared" si="1"/>
        <v>396</v>
      </c>
      <c r="C39" t="str">
        <f>IFERROR(VLOOKUP($A39,TBAranking!$A:$Z,4,FALSE),-1000)</f>
        <v>396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5"/>
        <v>237</v>
      </c>
      <c r="I39">
        <f t="shared" si="6"/>
        <v>-1000</v>
      </c>
      <c r="J39">
        <f t="shared" si="0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4">
        <v>6329</v>
      </c>
      <c r="R39" s="195">
        <v>334</v>
      </c>
      <c r="W39" s="164">
        <v>6529</v>
      </c>
      <c r="X39" s="197">
        <v>200</v>
      </c>
      <c r="Y39" s="171"/>
      <c r="Z39" s="171"/>
      <c r="AA39" s="164">
        <v>6762</v>
      </c>
      <c r="AB39" s="197">
        <v>271</v>
      </c>
    </row>
    <row r="40" spans="1:28">
      <c r="A40">
        <f>IF(EventTeam!$A:$A=0,"",EventTeam!$A:$A)</f>
        <v>6811</v>
      </c>
      <c r="B40" t="str">
        <f t="shared" si="1"/>
        <v>287</v>
      </c>
      <c r="C40" t="str">
        <f>IFERROR(VLOOKUP($A40,TBAranking!$A:$Z,4,FALSE),-1000)</f>
        <v>287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5"/>
        <v>304</v>
      </c>
      <c r="I40">
        <f t="shared" si="6"/>
        <v>-1000</v>
      </c>
      <c r="J40">
        <f t="shared" si="0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4">
        <v>6723</v>
      </c>
      <c r="R40" s="195">
        <v>215</v>
      </c>
      <c r="W40" s="164">
        <v>6620</v>
      </c>
      <c r="X40" s="196">
        <v>199</v>
      </c>
      <c r="Y40" s="171"/>
      <c r="Z40" s="171"/>
      <c r="AA40" s="164">
        <v>6763</v>
      </c>
      <c r="AB40" s="196">
        <v>282</v>
      </c>
    </row>
    <row r="41" spans="1:28" ht="15.75" thickBot="1">
      <c r="A41">
        <f>IF(EventTeam!$A:$A=0,"",EventTeam!$A:$A)</f>
        <v>6812</v>
      </c>
      <c r="B41" t="str">
        <f t="shared" si="1"/>
        <v>278</v>
      </c>
      <c r="C41" t="str">
        <f>IFERROR(VLOOKUP($A41,TBAranking!$A:$Z,4,FALSE),-1000)</f>
        <v>278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5"/>
        <v>-1000</v>
      </c>
      <c r="I41">
        <f t="shared" si="6"/>
        <v>-1000</v>
      </c>
      <c r="J41">
        <f t="shared" si="0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4">
        <v>7164</v>
      </c>
      <c r="R41" s="195">
        <v>259</v>
      </c>
      <c r="W41" s="166">
        <v>6731</v>
      </c>
      <c r="X41" s="198">
        <v>199</v>
      </c>
      <c r="Y41" s="171"/>
      <c r="Z41" s="171"/>
      <c r="AA41" s="166">
        <v>7240</v>
      </c>
      <c r="AB41" s="198">
        <v>240</v>
      </c>
    </row>
    <row r="42" spans="1:28" ht="15.75" thickBot="1">
      <c r="A42">
        <f>IF(EventTeam!$A:$A=0,"",EventTeam!$A:$A)</f>
        <v>6895</v>
      </c>
      <c r="B42" t="str">
        <f t="shared" si="1"/>
        <v>279</v>
      </c>
      <c r="C42" t="str">
        <f>IFERROR(VLOOKUP($A42,TBAranking!$A:$Z,4,FALSE),-1000)</f>
        <v>279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5"/>
        <v>-1000</v>
      </c>
      <c r="I42">
        <f t="shared" si="6"/>
        <v>-1000</v>
      </c>
      <c r="J42">
        <f t="shared" si="0"/>
        <v>-1000</v>
      </c>
      <c r="K42">
        <f t="shared" si="7"/>
        <v>-1000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6">
        <v>7259</v>
      </c>
      <c r="R42" s="202">
        <v>311</v>
      </c>
    </row>
    <row r="43" spans="1:28">
      <c r="A43">
        <f>IF(EventTeam!$A:$A=0,"",EventTeam!$A:$A)</f>
        <v>7127</v>
      </c>
      <c r="B43" t="str">
        <f t="shared" si="1"/>
        <v>377</v>
      </c>
      <c r="C43" t="str">
        <f>IFERROR(VLOOKUP($A43,TBAranking!$A:$Z,4,FALSE),-1000)</f>
        <v>377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5"/>
        <v>300</v>
      </c>
      <c r="I43">
        <f t="shared" si="6"/>
        <v>-1000</v>
      </c>
      <c r="J43">
        <f t="shared" si="0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28">
      <c r="A44">
        <f>IF(EventTeam!$A:$A=0,"",EventTeam!$A:$A)</f>
        <v>7153</v>
      </c>
      <c r="B44" t="str">
        <f t="shared" si="1"/>
        <v>307</v>
      </c>
      <c r="C44" t="str">
        <f>IFERROR(VLOOKUP($A44,TBAranking!$A:$Z,4,FALSE),-1000)</f>
        <v>307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5"/>
        <v>307</v>
      </c>
      <c r="I44">
        <f t="shared" si="6"/>
        <v>-1000</v>
      </c>
      <c r="J44">
        <f t="shared" si="0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28">
      <c r="A45" t="str">
        <f>IF(EventTeam!$A:$A=0,"",EventTeam!$A:$A)</f>
        <v/>
      </c>
      <c r="B45">
        <f t="shared" si="1"/>
        <v>-1000</v>
      </c>
      <c r="C45">
        <f>IFERROR(VLOOKUP($A45,TBAranking!$A:$Z,4,FALSE),-1000)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5"/>
        <v>-1000</v>
      </c>
      <c r="I45">
        <f t="shared" si="6"/>
        <v>-1000</v>
      </c>
      <c r="J45">
        <f t="shared" si="0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28">
      <c r="A46" t="str">
        <f>IF(EventTeam!$A:$A=0,"",EventTeam!$A:$A)</f>
        <v/>
      </c>
      <c r="B46">
        <f t="shared" si="1"/>
        <v>-1000</v>
      </c>
      <c r="C46">
        <f>IFERROR(VLOOKUP($A46,TBAranking!$A:$Z,4,FALSE),-1000)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5"/>
        <v>-1000</v>
      </c>
      <c r="I46">
        <f t="shared" si="6"/>
        <v>-1000</v>
      </c>
      <c r="J46">
        <f t="shared" si="0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28">
      <c r="A47" t="str">
        <f>IF(EventTeam!$A:$A=0,"",EventTeam!$A:$A)</f>
        <v/>
      </c>
      <c r="B47">
        <f t="shared" si="1"/>
        <v>-1000</v>
      </c>
      <c r="C47">
        <f>IFERROR(VLOOKUP($A47,TBAranking!$A:$Z,4,FALSE),-1000)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5"/>
        <v>-1000</v>
      </c>
      <c r="I47">
        <f t="shared" si="6"/>
        <v>-1000</v>
      </c>
      <c r="J47">
        <f t="shared" si="0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28">
      <c r="A48" t="str">
        <f>IF(EventTeam!$A:$A=0,"",EventTeam!$A:$A)</f>
        <v/>
      </c>
      <c r="B48">
        <f t="shared" si="1"/>
        <v>-1000</v>
      </c>
      <c r="C48">
        <f>IFERROR(VLOOKUP($A48,TBAranking!$A:$Z,4,FALSE),-1000)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5"/>
        <v>-1000</v>
      </c>
      <c r="I48">
        <f t="shared" si="6"/>
        <v>-1000</v>
      </c>
      <c r="J48">
        <f t="shared" si="0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IFERROR(VLOOKUP($A49,TBAranking!$A:$Z,4,FALSE),-1000)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5"/>
        <v>-1000</v>
      </c>
      <c r="I49">
        <f t="shared" si="6"/>
        <v>-1000</v>
      </c>
      <c r="J49">
        <f t="shared" si="0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IFERROR(VLOOKUP($A50,TBAranking!$A:$Z,4,FALSE),-1000)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5"/>
        <v>-1000</v>
      </c>
      <c r="I50">
        <f t="shared" si="6"/>
        <v>-1000</v>
      </c>
      <c r="J50">
        <f t="shared" si="0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IFERROR(VLOOKUP($A51,TBAranking!$A:$Z,4,FALSE),-1000)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5"/>
        <v>-1000</v>
      </c>
      <c r="I51">
        <f t="shared" si="6"/>
        <v>-1000</v>
      </c>
      <c r="J51">
        <f t="shared" si="0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IFERROR(VLOOKUP($A52,TBAranking!$A:$Z,4,FALSE),-1000)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5"/>
        <v>-1000</v>
      </c>
      <c r="I52">
        <f t="shared" si="6"/>
        <v>-1000</v>
      </c>
      <c r="J52">
        <f t="shared" si="0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IFERROR(VLOOKUP($A53,TBAranking!$A:$Z,4,FALSE),-1000)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5"/>
        <v>-1000</v>
      </c>
      <c r="I53">
        <f t="shared" si="6"/>
        <v>-1000</v>
      </c>
      <c r="J53">
        <f t="shared" si="0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IFERROR(VLOOKUP($A54,TBAranking!$A:$Z,4,FALSE),-1000)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5"/>
        <v>-1000</v>
      </c>
      <c r="I54">
        <f t="shared" si="6"/>
        <v>-1000</v>
      </c>
      <c r="J54">
        <f t="shared" si="0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IFERROR(VLOOKUP($A55,TBAranking!$A:$Z,4,FALSE),-1000)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5"/>
        <v>-1000</v>
      </c>
      <c r="I55">
        <f t="shared" si="6"/>
        <v>-1000</v>
      </c>
      <c r="J55">
        <f t="shared" si="0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IFERROR(VLOOKUP($A56,TBAranking!$A:$Z,4,FALSE),-1000)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5"/>
        <v>-1000</v>
      </c>
      <c r="I56">
        <f t="shared" si="6"/>
        <v>-1000</v>
      </c>
      <c r="J56">
        <f t="shared" si="0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IFERROR(VLOOKUP($A57,TBAranking!$A:$Z,4,FALSE),-1000)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5"/>
        <v>-1000</v>
      </c>
      <c r="I57">
        <f t="shared" si="6"/>
        <v>-1000</v>
      </c>
      <c r="J57">
        <f t="shared" si="0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IFERROR(VLOOKUP($A58,TBAranking!$A:$Z,4,FALSE),-1000)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5"/>
        <v>-1000</v>
      </c>
      <c r="I58">
        <f t="shared" si="6"/>
        <v>-1000</v>
      </c>
      <c r="J58">
        <f t="shared" si="0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IFERROR(VLOOKUP($A59,TBAranking!$A:$Z,4,FALSE),-1000)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5"/>
        <v>-1000</v>
      </c>
      <c r="I59">
        <f t="shared" si="6"/>
        <v>-1000</v>
      </c>
      <c r="J59">
        <f t="shared" si="0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IFERROR(VLOOKUP($A60,TBAranking!$A:$Z,4,FALSE),-1000)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5"/>
        <v>-1000</v>
      </c>
      <c r="I60">
        <f t="shared" si="6"/>
        <v>-1000</v>
      </c>
      <c r="J60">
        <f t="shared" si="0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IFERROR(VLOOKUP($A61,TBAranking!$A:$Z,4,FALSE),-1000)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5"/>
        <v>-1000</v>
      </c>
      <c r="I61">
        <f t="shared" si="6"/>
        <v>-1000</v>
      </c>
      <c r="J61">
        <f t="shared" si="0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IFERROR(VLOOKUP($A62,TBAranking!$A:$Z,4,FALSE),-1000)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5"/>
        <v>-1000</v>
      </c>
      <c r="I62">
        <f t="shared" si="6"/>
        <v>-1000</v>
      </c>
      <c r="J62">
        <f t="shared" si="0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IFERROR(VLOOKUP($A63,TBAranking!$A:$Z,4,FALSE),-1000)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5"/>
        <v>-1000</v>
      </c>
      <c r="I63">
        <f t="shared" si="6"/>
        <v>-1000</v>
      </c>
      <c r="J63">
        <f t="shared" si="0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IFERROR(VLOOKUP($A64,TBAranking!$A:$Z,4,FALSE),-1000)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5"/>
        <v>-1000</v>
      </c>
      <c r="I64">
        <f t="shared" si="6"/>
        <v>-1000</v>
      </c>
      <c r="J64">
        <f t="shared" si="0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IFERROR(VLOOKUP($A65,TBAranking!$A:$Z,4,FALSE),-1000)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5"/>
        <v>-1000</v>
      </c>
      <c r="I65">
        <f t="shared" si="6"/>
        <v>-1000</v>
      </c>
      <c r="J65">
        <f t="shared" si="0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IFERROR(VLOOKUP($A66,TBAranking!$A:$Z,4,FALSE),-1000)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5"/>
        <v>-1000</v>
      </c>
      <c r="I66">
        <f t="shared" si="6"/>
        <v>-1000</v>
      </c>
      <c r="J66">
        <f t="shared" ref="J66:J100" si="13">IFERROR(VLOOKUP($A66,$AC:$AD,2,FALSE),-1000)</f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4">IF($C67&lt;&gt;-1000,$C67, MAX($D67:$O67))</f>
        <v>-1000</v>
      </c>
      <c r="C67">
        <f>IFERROR(VLOOKUP($A67,TBAranking!$A:$Z,4,FALSE),-1000)</f>
        <v>-1000</v>
      </c>
      <c r="D67">
        <f t="shared" si="12"/>
        <v>-1000</v>
      </c>
      <c r="E67">
        <f t="shared" ref="E67:E100" si="15">IFERROR(VLOOKUP($A67,$S:$T,2,FALSE),-1000)</f>
        <v>-1000</v>
      </c>
      <c r="F67">
        <f t="shared" ref="F67:F100" si="16">IFERROR(VLOOKUP($A67,$U:$V,2,FALSE),-1000)</f>
        <v>-1000</v>
      </c>
      <c r="G67">
        <f t="shared" ref="G67:G100" si="17">IFERROR(VLOOKUP($A67,$W:$X,2,FALSE),-1000)</f>
        <v>-1000</v>
      </c>
      <c r="H67">
        <f t="shared" ref="H67:H100" si="18">IFERROR(VLOOKUP($A67,$Y:$Z,2,FALSE),-1000)</f>
        <v>-1000</v>
      </c>
      <c r="I67">
        <f t="shared" ref="I67:I100" si="19">IFERROR(VLOOKUP($A67,$AA:$AB,2,FALSE),-1000)</f>
        <v>-1000</v>
      </c>
      <c r="J67">
        <f t="shared" si="13"/>
        <v>-1000</v>
      </c>
      <c r="K67">
        <f t="shared" ref="K67:K100" si="20">IFERROR(VLOOKUP($A67,$AE:$AF,2,FALSE),-1000)</f>
        <v>-1000</v>
      </c>
      <c r="L67">
        <f t="shared" ref="L67:L100" si="21">IFERROR(VLOOKUP($A67,$AG:$AH,2,FALSE),-1000)</f>
        <v>-1000</v>
      </c>
      <c r="M67">
        <f t="shared" ref="M67:M100" si="22">IFERROR(VLOOKUP($A67,$AI:$AJ,2,FALSE),-1000)</f>
        <v>-1000</v>
      </c>
      <c r="N67">
        <f t="shared" ref="N67:N100" si="23">IFERROR(VLOOKUP($A67,$AK:$AL,2,FALSE),-1000)</f>
        <v>-1000</v>
      </c>
      <c r="O67">
        <f t="shared" ref="O67:O100" si="24">IFERROR(VLOOKUP($A67,$AM:$AN,2,FALSE),-1000)</f>
        <v>-1000</v>
      </c>
    </row>
    <row r="68" spans="1:15">
      <c r="A68" t="str">
        <f>IF(EventTeam!$A:$A=0,"",EventTeam!$A:$A)</f>
        <v/>
      </c>
      <c r="B68">
        <f t="shared" si="14"/>
        <v>-1000</v>
      </c>
      <c r="C68">
        <f>IFERROR(VLOOKUP($A68,TBAranking!$A:$Z,4,FALSE),-1000)</f>
        <v>-1000</v>
      </c>
      <c r="D68">
        <f t="shared" ref="D68:D100" si="25">IFERROR(VLOOKUP($A68,$Q:$R,2,FALSE),-1000)</f>
        <v>-1000</v>
      </c>
      <c r="E68">
        <f t="shared" si="15"/>
        <v>-1000</v>
      </c>
      <c r="F68">
        <f t="shared" si="16"/>
        <v>-1000</v>
      </c>
      <c r="G68">
        <f t="shared" si="17"/>
        <v>-1000</v>
      </c>
      <c r="H68">
        <f t="shared" si="18"/>
        <v>-1000</v>
      </c>
      <c r="I68">
        <f t="shared" si="19"/>
        <v>-1000</v>
      </c>
      <c r="J68">
        <f t="shared" si="13"/>
        <v>-1000</v>
      </c>
      <c r="K68">
        <f t="shared" si="20"/>
        <v>-1000</v>
      </c>
      <c r="L68">
        <f t="shared" si="21"/>
        <v>-1000</v>
      </c>
      <c r="M68">
        <f t="shared" si="22"/>
        <v>-1000</v>
      </c>
      <c r="N68">
        <f t="shared" si="23"/>
        <v>-1000</v>
      </c>
      <c r="O68">
        <f t="shared" si="24"/>
        <v>-1000</v>
      </c>
    </row>
    <row r="69" spans="1:15">
      <c r="A69" t="str">
        <f>IF(EventTeam!$A:$A=0,"",EventTeam!$A:$A)</f>
        <v/>
      </c>
      <c r="B69">
        <f t="shared" si="14"/>
        <v>-1000</v>
      </c>
      <c r="C69">
        <f>IFERROR(VLOOKUP($A69,TBAranking!$A:$Z,4,FALSE),-1000)</f>
        <v>-1000</v>
      </c>
      <c r="D69">
        <f t="shared" si="25"/>
        <v>-1000</v>
      </c>
      <c r="E69">
        <f t="shared" si="15"/>
        <v>-1000</v>
      </c>
      <c r="F69">
        <f t="shared" si="16"/>
        <v>-1000</v>
      </c>
      <c r="G69">
        <f t="shared" si="17"/>
        <v>-1000</v>
      </c>
      <c r="H69">
        <f t="shared" si="18"/>
        <v>-1000</v>
      </c>
      <c r="I69">
        <f t="shared" si="19"/>
        <v>-1000</v>
      </c>
      <c r="J69">
        <f t="shared" si="13"/>
        <v>-1000</v>
      </c>
      <c r="K69">
        <f t="shared" si="20"/>
        <v>-1000</v>
      </c>
      <c r="L69">
        <f t="shared" si="21"/>
        <v>-1000</v>
      </c>
      <c r="M69">
        <f t="shared" si="22"/>
        <v>-1000</v>
      </c>
      <c r="N69">
        <f t="shared" si="23"/>
        <v>-1000</v>
      </c>
      <c r="O69">
        <f t="shared" si="24"/>
        <v>-1000</v>
      </c>
    </row>
    <row r="70" spans="1:15">
      <c r="A70" t="str">
        <f>IF(EventTeam!$A:$A=0,"",EventTeam!$A:$A)</f>
        <v/>
      </c>
      <c r="B70">
        <f t="shared" si="14"/>
        <v>-1000</v>
      </c>
      <c r="C70">
        <f>IFERROR(VLOOKUP($A70,TBAranking!$A:$Z,4,FALSE),-1000)</f>
        <v>-1000</v>
      </c>
      <c r="D70">
        <f t="shared" si="25"/>
        <v>-1000</v>
      </c>
      <c r="E70">
        <f t="shared" si="15"/>
        <v>-1000</v>
      </c>
      <c r="F70">
        <f t="shared" si="16"/>
        <v>-1000</v>
      </c>
      <c r="G70">
        <f t="shared" si="17"/>
        <v>-1000</v>
      </c>
      <c r="H70">
        <f t="shared" si="18"/>
        <v>-1000</v>
      </c>
      <c r="I70">
        <f t="shared" si="19"/>
        <v>-1000</v>
      </c>
      <c r="J70">
        <f t="shared" si="13"/>
        <v>-1000</v>
      </c>
      <c r="K70">
        <f t="shared" si="20"/>
        <v>-1000</v>
      </c>
      <c r="L70">
        <f t="shared" si="21"/>
        <v>-1000</v>
      </c>
      <c r="M70">
        <f t="shared" si="22"/>
        <v>-1000</v>
      </c>
      <c r="N70">
        <f t="shared" si="23"/>
        <v>-1000</v>
      </c>
      <c r="O70">
        <f t="shared" si="24"/>
        <v>-1000</v>
      </c>
    </row>
    <row r="71" spans="1:15">
      <c r="A71" t="str">
        <f>IF(EventTeam!$A:$A=0,"",EventTeam!$A:$A)</f>
        <v/>
      </c>
      <c r="B71">
        <f t="shared" si="14"/>
        <v>-1000</v>
      </c>
      <c r="C71">
        <f>IFERROR(VLOOKUP($A71,TBAranking!$A:$Z,4,FALSE),-1000)</f>
        <v>-1000</v>
      </c>
      <c r="D71">
        <f t="shared" si="25"/>
        <v>-1000</v>
      </c>
      <c r="E71">
        <f t="shared" si="15"/>
        <v>-1000</v>
      </c>
      <c r="F71">
        <f t="shared" si="16"/>
        <v>-1000</v>
      </c>
      <c r="G71">
        <f t="shared" si="17"/>
        <v>-1000</v>
      </c>
      <c r="H71">
        <f t="shared" si="18"/>
        <v>-1000</v>
      </c>
      <c r="I71">
        <f t="shared" si="19"/>
        <v>-1000</v>
      </c>
      <c r="J71">
        <f t="shared" si="13"/>
        <v>-1000</v>
      </c>
      <c r="K71">
        <f t="shared" si="20"/>
        <v>-1000</v>
      </c>
      <c r="L71">
        <f t="shared" si="21"/>
        <v>-1000</v>
      </c>
      <c r="M71">
        <f t="shared" si="22"/>
        <v>-1000</v>
      </c>
      <c r="N71">
        <f t="shared" si="23"/>
        <v>-1000</v>
      </c>
      <c r="O71">
        <f t="shared" si="24"/>
        <v>-1000</v>
      </c>
    </row>
    <row r="72" spans="1:15">
      <c r="A72" t="str">
        <f>IF(EventTeam!$A:$A=0,"",EventTeam!$A:$A)</f>
        <v/>
      </c>
      <c r="B72">
        <f t="shared" si="14"/>
        <v>-1000</v>
      </c>
      <c r="C72">
        <f>IFERROR(VLOOKUP($A72,TBAranking!$A:$Z,4,FALSE),-1000)</f>
        <v>-1000</v>
      </c>
      <c r="D72">
        <f t="shared" si="25"/>
        <v>-1000</v>
      </c>
      <c r="E72">
        <f t="shared" si="15"/>
        <v>-1000</v>
      </c>
      <c r="F72">
        <f t="shared" si="16"/>
        <v>-1000</v>
      </c>
      <c r="G72">
        <f t="shared" si="17"/>
        <v>-1000</v>
      </c>
      <c r="H72">
        <f t="shared" si="18"/>
        <v>-1000</v>
      </c>
      <c r="I72">
        <f t="shared" si="19"/>
        <v>-1000</v>
      </c>
      <c r="J72">
        <f t="shared" si="13"/>
        <v>-1000</v>
      </c>
      <c r="K72">
        <f t="shared" si="20"/>
        <v>-1000</v>
      </c>
      <c r="L72">
        <f t="shared" si="21"/>
        <v>-1000</v>
      </c>
      <c r="M72">
        <f t="shared" si="22"/>
        <v>-1000</v>
      </c>
      <c r="N72">
        <f t="shared" si="23"/>
        <v>-1000</v>
      </c>
      <c r="O72">
        <f t="shared" si="24"/>
        <v>-1000</v>
      </c>
    </row>
    <row r="73" spans="1:15">
      <c r="A73" t="str">
        <f>IF(EventTeam!$A:$A=0,"",EventTeam!$A:$A)</f>
        <v/>
      </c>
      <c r="B73">
        <f t="shared" si="14"/>
        <v>-1000</v>
      </c>
      <c r="C73">
        <f>IFERROR(VLOOKUP($A73,TBAranking!$A:$Z,4,FALSE),-1000)</f>
        <v>-1000</v>
      </c>
      <c r="D73">
        <f t="shared" si="25"/>
        <v>-1000</v>
      </c>
      <c r="E73">
        <f t="shared" si="15"/>
        <v>-1000</v>
      </c>
      <c r="F73">
        <f t="shared" si="16"/>
        <v>-1000</v>
      </c>
      <c r="G73">
        <f t="shared" si="17"/>
        <v>-1000</v>
      </c>
      <c r="H73">
        <f t="shared" si="18"/>
        <v>-1000</v>
      </c>
      <c r="I73">
        <f t="shared" si="19"/>
        <v>-1000</v>
      </c>
      <c r="J73">
        <f t="shared" si="13"/>
        <v>-1000</v>
      </c>
      <c r="K73">
        <f t="shared" si="20"/>
        <v>-1000</v>
      </c>
      <c r="L73">
        <f t="shared" si="21"/>
        <v>-1000</v>
      </c>
      <c r="M73">
        <f t="shared" si="22"/>
        <v>-1000</v>
      </c>
      <c r="N73">
        <f t="shared" si="23"/>
        <v>-1000</v>
      </c>
      <c r="O73">
        <f t="shared" si="24"/>
        <v>-1000</v>
      </c>
    </row>
    <row r="74" spans="1:15">
      <c r="A74" t="str">
        <f>IF(EventTeam!$A:$A=0,"",EventTeam!$A:$A)</f>
        <v/>
      </c>
      <c r="B74">
        <f t="shared" si="14"/>
        <v>-1000</v>
      </c>
      <c r="C74">
        <f>IFERROR(VLOOKUP($A74,TBAranking!$A:$Z,4,FALSE),-1000)</f>
        <v>-1000</v>
      </c>
      <c r="D74">
        <f t="shared" si="25"/>
        <v>-1000</v>
      </c>
      <c r="E74">
        <f t="shared" si="15"/>
        <v>-1000</v>
      </c>
      <c r="F74">
        <f t="shared" si="16"/>
        <v>-1000</v>
      </c>
      <c r="G74">
        <f t="shared" si="17"/>
        <v>-1000</v>
      </c>
      <c r="H74">
        <f t="shared" si="18"/>
        <v>-1000</v>
      </c>
      <c r="I74">
        <f t="shared" si="19"/>
        <v>-1000</v>
      </c>
      <c r="J74">
        <f t="shared" si="13"/>
        <v>-1000</v>
      </c>
      <c r="K74">
        <f t="shared" si="20"/>
        <v>-1000</v>
      </c>
      <c r="L74">
        <f t="shared" si="21"/>
        <v>-1000</v>
      </c>
      <c r="M74">
        <f t="shared" si="22"/>
        <v>-1000</v>
      </c>
      <c r="N74">
        <f t="shared" si="23"/>
        <v>-1000</v>
      </c>
      <c r="O74">
        <f t="shared" si="24"/>
        <v>-1000</v>
      </c>
    </row>
    <row r="75" spans="1:15">
      <c r="A75" t="str">
        <f>IF(EventTeam!$A:$A=0,"",EventTeam!$A:$A)</f>
        <v/>
      </c>
      <c r="B75">
        <f t="shared" si="14"/>
        <v>-1000</v>
      </c>
      <c r="C75">
        <f>IFERROR(VLOOKUP($A75,TBAranking!$A:$Z,4,FALSE),-1000)</f>
        <v>-1000</v>
      </c>
      <c r="D75">
        <f t="shared" si="25"/>
        <v>-1000</v>
      </c>
      <c r="E75">
        <f t="shared" si="15"/>
        <v>-1000</v>
      </c>
      <c r="F75">
        <f t="shared" si="16"/>
        <v>-1000</v>
      </c>
      <c r="G75">
        <f t="shared" si="17"/>
        <v>-1000</v>
      </c>
      <c r="H75">
        <f t="shared" si="18"/>
        <v>-1000</v>
      </c>
      <c r="I75">
        <f t="shared" si="19"/>
        <v>-1000</v>
      </c>
      <c r="J75">
        <f t="shared" si="13"/>
        <v>-1000</v>
      </c>
      <c r="K75">
        <f t="shared" si="20"/>
        <v>-1000</v>
      </c>
      <c r="L75">
        <f t="shared" si="21"/>
        <v>-1000</v>
      </c>
      <c r="M75">
        <f t="shared" si="22"/>
        <v>-1000</v>
      </c>
      <c r="N75">
        <f t="shared" si="23"/>
        <v>-1000</v>
      </c>
      <c r="O75">
        <f t="shared" si="24"/>
        <v>-1000</v>
      </c>
    </row>
    <row r="76" spans="1:15">
      <c r="A76" t="str">
        <f>IF(EventTeam!$A:$A=0,"",EventTeam!$A:$A)</f>
        <v/>
      </c>
      <c r="B76">
        <f t="shared" si="14"/>
        <v>-1000</v>
      </c>
      <c r="C76">
        <f>IFERROR(VLOOKUP($A76,TBAranking!$A:$Z,4,FALSE),-1000)</f>
        <v>-1000</v>
      </c>
      <c r="D76">
        <f t="shared" si="25"/>
        <v>-1000</v>
      </c>
      <c r="E76">
        <f t="shared" si="15"/>
        <v>-1000</v>
      </c>
      <c r="F76">
        <f t="shared" si="16"/>
        <v>-1000</v>
      </c>
      <c r="G76">
        <f t="shared" si="17"/>
        <v>-1000</v>
      </c>
      <c r="H76">
        <f t="shared" si="18"/>
        <v>-1000</v>
      </c>
      <c r="I76">
        <f t="shared" si="19"/>
        <v>-1000</v>
      </c>
      <c r="J76">
        <f t="shared" si="13"/>
        <v>-1000</v>
      </c>
      <c r="K76">
        <f t="shared" si="20"/>
        <v>-1000</v>
      </c>
      <c r="L76">
        <f t="shared" si="21"/>
        <v>-1000</v>
      </c>
      <c r="M76">
        <f t="shared" si="22"/>
        <v>-1000</v>
      </c>
      <c r="N76">
        <f t="shared" si="23"/>
        <v>-1000</v>
      </c>
      <c r="O76">
        <f t="shared" si="24"/>
        <v>-1000</v>
      </c>
    </row>
    <row r="77" spans="1:15">
      <c r="A77" t="str">
        <f>IF(EventTeam!$A:$A=0,"",EventTeam!$A:$A)</f>
        <v/>
      </c>
      <c r="B77">
        <f t="shared" si="14"/>
        <v>-1000</v>
      </c>
      <c r="C77">
        <f>IFERROR(VLOOKUP($A77,TBAranking!$A:$Z,4,FALSE),-1000)</f>
        <v>-1000</v>
      </c>
      <c r="D77">
        <f t="shared" si="25"/>
        <v>-1000</v>
      </c>
      <c r="E77">
        <f t="shared" si="15"/>
        <v>-1000</v>
      </c>
      <c r="F77">
        <f t="shared" si="16"/>
        <v>-1000</v>
      </c>
      <c r="G77">
        <f t="shared" si="17"/>
        <v>-1000</v>
      </c>
      <c r="H77">
        <f t="shared" si="18"/>
        <v>-1000</v>
      </c>
      <c r="I77">
        <f t="shared" si="19"/>
        <v>-1000</v>
      </c>
      <c r="J77">
        <f t="shared" si="13"/>
        <v>-1000</v>
      </c>
      <c r="K77">
        <f t="shared" si="20"/>
        <v>-1000</v>
      </c>
      <c r="L77">
        <f t="shared" si="21"/>
        <v>-1000</v>
      </c>
      <c r="M77">
        <f t="shared" si="22"/>
        <v>-1000</v>
      </c>
      <c r="N77">
        <f t="shared" si="23"/>
        <v>-1000</v>
      </c>
      <c r="O77">
        <f t="shared" si="24"/>
        <v>-1000</v>
      </c>
    </row>
    <row r="78" spans="1:15">
      <c r="A78" t="str">
        <f>IF(EventTeam!$A:$A=0,"",EventTeam!$A:$A)</f>
        <v/>
      </c>
      <c r="B78">
        <f t="shared" si="14"/>
        <v>-1000</v>
      </c>
      <c r="C78">
        <f>IFERROR(VLOOKUP($A78,TBAranking!$A:$Z,4,FALSE),-1000)</f>
        <v>-1000</v>
      </c>
      <c r="D78">
        <f t="shared" si="25"/>
        <v>-1000</v>
      </c>
      <c r="E78">
        <f t="shared" si="15"/>
        <v>-1000</v>
      </c>
      <c r="F78">
        <f t="shared" si="16"/>
        <v>-1000</v>
      </c>
      <c r="G78">
        <f t="shared" si="17"/>
        <v>-1000</v>
      </c>
      <c r="H78">
        <f t="shared" si="18"/>
        <v>-1000</v>
      </c>
      <c r="I78">
        <f t="shared" si="19"/>
        <v>-1000</v>
      </c>
      <c r="J78">
        <f t="shared" si="13"/>
        <v>-1000</v>
      </c>
      <c r="K78">
        <f t="shared" si="20"/>
        <v>-1000</v>
      </c>
      <c r="L78">
        <f t="shared" si="21"/>
        <v>-1000</v>
      </c>
      <c r="M78">
        <f t="shared" si="22"/>
        <v>-1000</v>
      </c>
      <c r="N78">
        <f t="shared" si="23"/>
        <v>-1000</v>
      </c>
      <c r="O78">
        <f t="shared" si="24"/>
        <v>-1000</v>
      </c>
    </row>
    <row r="79" spans="1:15">
      <c r="A79" t="str">
        <f>IF(EventTeam!$A:$A=0,"",EventTeam!$A:$A)</f>
        <v/>
      </c>
      <c r="B79">
        <f t="shared" si="14"/>
        <v>-1000</v>
      </c>
      <c r="C79">
        <f>IFERROR(VLOOKUP($A79,TBAranking!$A:$Z,4,FALSE),-1000)</f>
        <v>-1000</v>
      </c>
      <c r="D79">
        <f t="shared" si="25"/>
        <v>-1000</v>
      </c>
      <c r="E79">
        <f t="shared" si="15"/>
        <v>-1000</v>
      </c>
      <c r="F79">
        <f t="shared" si="16"/>
        <v>-1000</v>
      </c>
      <c r="G79">
        <f t="shared" si="17"/>
        <v>-1000</v>
      </c>
      <c r="H79">
        <f t="shared" si="18"/>
        <v>-1000</v>
      </c>
      <c r="I79">
        <f t="shared" si="19"/>
        <v>-1000</v>
      </c>
      <c r="J79">
        <f t="shared" si="13"/>
        <v>-1000</v>
      </c>
      <c r="K79">
        <f t="shared" si="20"/>
        <v>-1000</v>
      </c>
      <c r="L79">
        <f t="shared" si="21"/>
        <v>-1000</v>
      </c>
      <c r="M79">
        <f t="shared" si="22"/>
        <v>-1000</v>
      </c>
      <c r="N79">
        <f t="shared" si="23"/>
        <v>-1000</v>
      </c>
      <c r="O79">
        <f t="shared" si="24"/>
        <v>-1000</v>
      </c>
    </row>
    <row r="80" spans="1:15">
      <c r="A80" t="str">
        <f>IF(EventTeam!$A:$A=0,"",EventTeam!$A:$A)</f>
        <v/>
      </c>
      <c r="B80">
        <f t="shared" si="14"/>
        <v>-1000</v>
      </c>
      <c r="C80">
        <f>IFERROR(VLOOKUP($A80,TBAranking!$A:$Z,4,FALSE),-1000)</f>
        <v>-1000</v>
      </c>
      <c r="D80">
        <f t="shared" si="25"/>
        <v>-1000</v>
      </c>
      <c r="E80">
        <f t="shared" si="15"/>
        <v>-1000</v>
      </c>
      <c r="F80">
        <f t="shared" si="16"/>
        <v>-1000</v>
      </c>
      <c r="G80">
        <f t="shared" si="17"/>
        <v>-1000</v>
      </c>
      <c r="H80">
        <f t="shared" si="18"/>
        <v>-1000</v>
      </c>
      <c r="I80">
        <f t="shared" si="19"/>
        <v>-1000</v>
      </c>
      <c r="J80">
        <f t="shared" si="13"/>
        <v>-1000</v>
      </c>
      <c r="K80">
        <f t="shared" si="20"/>
        <v>-1000</v>
      </c>
      <c r="L80">
        <f t="shared" si="21"/>
        <v>-1000</v>
      </c>
      <c r="M80">
        <f t="shared" si="22"/>
        <v>-1000</v>
      </c>
      <c r="N80">
        <f t="shared" si="23"/>
        <v>-1000</v>
      </c>
      <c r="O80">
        <f t="shared" si="24"/>
        <v>-1000</v>
      </c>
    </row>
    <row r="81" spans="1:15">
      <c r="A81" t="str">
        <f>IF(EventTeam!$A:$A=0,"",EventTeam!$A:$A)</f>
        <v/>
      </c>
      <c r="B81">
        <f t="shared" si="14"/>
        <v>-1000</v>
      </c>
      <c r="C81">
        <f>IFERROR(VLOOKUP($A81,TBAranking!$A:$Z,4,FALSE),-1000)</f>
        <v>-1000</v>
      </c>
      <c r="D81">
        <f t="shared" si="25"/>
        <v>-1000</v>
      </c>
      <c r="E81">
        <f t="shared" si="15"/>
        <v>-1000</v>
      </c>
      <c r="F81">
        <f t="shared" si="16"/>
        <v>-1000</v>
      </c>
      <c r="G81">
        <f t="shared" si="17"/>
        <v>-1000</v>
      </c>
      <c r="H81">
        <f t="shared" si="18"/>
        <v>-1000</v>
      </c>
      <c r="I81">
        <f t="shared" si="19"/>
        <v>-1000</v>
      </c>
      <c r="J81">
        <f t="shared" si="13"/>
        <v>-1000</v>
      </c>
      <c r="K81">
        <f t="shared" si="20"/>
        <v>-1000</v>
      </c>
      <c r="L81">
        <f t="shared" si="21"/>
        <v>-1000</v>
      </c>
      <c r="M81">
        <f t="shared" si="22"/>
        <v>-1000</v>
      </c>
      <c r="N81">
        <f t="shared" si="23"/>
        <v>-1000</v>
      </c>
      <c r="O81">
        <f t="shared" si="24"/>
        <v>-1000</v>
      </c>
    </row>
    <row r="82" spans="1:15">
      <c r="A82" t="str">
        <f>IF(EventTeam!$A:$A=0,"",EventTeam!$A:$A)</f>
        <v/>
      </c>
      <c r="B82">
        <f t="shared" si="14"/>
        <v>-1000</v>
      </c>
      <c r="C82">
        <f>IFERROR(VLOOKUP($A82,TBAranking!$A:$Z,4,FALSE),-1000)</f>
        <v>-1000</v>
      </c>
      <c r="D82">
        <f t="shared" si="25"/>
        <v>-1000</v>
      </c>
      <c r="E82">
        <f t="shared" si="15"/>
        <v>-1000</v>
      </c>
      <c r="F82">
        <f t="shared" si="16"/>
        <v>-1000</v>
      </c>
      <c r="G82">
        <f t="shared" si="17"/>
        <v>-1000</v>
      </c>
      <c r="H82">
        <f t="shared" si="18"/>
        <v>-1000</v>
      </c>
      <c r="I82">
        <f t="shared" si="19"/>
        <v>-1000</v>
      </c>
      <c r="J82">
        <f t="shared" si="13"/>
        <v>-1000</v>
      </c>
      <c r="K82">
        <f t="shared" si="20"/>
        <v>-1000</v>
      </c>
      <c r="L82">
        <f t="shared" si="21"/>
        <v>-1000</v>
      </c>
      <c r="M82">
        <f t="shared" si="22"/>
        <v>-1000</v>
      </c>
      <c r="N82">
        <f t="shared" si="23"/>
        <v>-1000</v>
      </c>
      <c r="O82">
        <f t="shared" si="24"/>
        <v>-1000</v>
      </c>
    </row>
    <row r="83" spans="1:15">
      <c r="A83" t="str">
        <f>IF(EventTeam!$A:$A=0,"",EventTeam!$A:$A)</f>
        <v/>
      </c>
      <c r="B83">
        <f t="shared" si="14"/>
        <v>-1000</v>
      </c>
      <c r="C83">
        <f>IFERROR(VLOOKUP($A83,TBAranking!$A:$Z,4,FALSE),-1000)</f>
        <v>-1000</v>
      </c>
      <c r="D83">
        <f t="shared" si="25"/>
        <v>-1000</v>
      </c>
      <c r="E83">
        <f t="shared" si="15"/>
        <v>-1000</v>
      </c>
      <c r="F83">
        <f t="shared" si="16"/>
        <v>-1000</v>
      </c>
      <c r="G83">
        <f t="shared" si="17"/>
        <v>-1000</v>
      </c>
      <c r="H83">
        <f t="shared" si="18"/>
        <v>-1000</v>
      </c>
      <c r="I83">
        <f t="shared" si="19"/>
        <v>-1000</v>
      </c>
      <c r="J83">
        <f t="shared" si="13"/>
        <v>-1000</v>
      </c>
      <c r="K83">
        <f t="shared" si="20"/>
        <v>-1000</v>
      </c>
      <c r="L83">
        <f t="shared" si="21"/>
        <v>-1000</v>
      </c>
      <c r="M83">
        <f t="shared" si="22"/>
        <v>-1000</v>
      </c>
      <c r="N83">
        <f t="shared" si="23"/>
        <v>-1000</v>
      </c>
      <c r="O83">
        <f t="shared" si="24"/>
        <v>-1000</v>
      </c>
    </row>
    <row r="84" spans="1:15">
      <c r="A84" t="str">
        <f>IF(EventTeam!$A:$A=0,"",EventTeam!$A:$A)</f>
        <v/>
      </c>
      <c r="B84">
        <f t="shared" si="14"/>
        <v>-1000</v>
      </c>
      <c r="C84">
        <f>IFERROR(VLOOKUP($A84,TBAranking!$A:$Z,4,FALSE),-1000)</f>
        <v>-1000</v>
      </c>
      <c r="D84">
        <f t="shared" si="25"/>
        <v>-1000</v>
      </c>
      <c r="E84">
        <f t="shared" si="15"/>
        <v>-1000</v>
      </c>
      <c r="F84">
        <f t="shared" si="16"/>
        <v>-1000</v>
      </c>
      <c r="G84">
        <f t="shared" si="17"/>
        <v>-1000</v>
      </c>
      <c r="H84">
        <f t="shared" si="18"/>
        <v>-1000</v>
      </c>
      <c r="I84">
        <f t="shared" si="19"/>
        <v>-1000</v>
      </c>
      <c r="J84">
        <f t="shared" si="13"/>
        <v>-1000</v>
      </c>
      <c r="K84">
        <f t="shared" si="20"/>
        <v>-1000</v>
      </c>
      <c r="L84">
        <f t="shared" si="21"/>
        <v>-1000</v>
      </c>
      <c r="M84">
        <f t="shared" si="22"/>
        <v>-1000</v>
      </c>
      <c r="N84">
        <f t="shared" si="23"/>
        <v>-1000</v>
      </c>
      <c r="O84">
        <f t="shared" si="24"/>
        <v>-1000</v>
      </c>
    </row>
    <row r="85" spans="1:15">
      <c r="A85" t="str">
        <f>IF(EventTeam!$A:$A=0,"",EventTeam!$A:$A)</f>
        <v/>
      </c>
      <c r="B85">
        <f t="shared" si="14"/>
        <v>-1000</v>
      </c>
      <c r="C85">
        <f>IFERROR(VLOOKUP($A85,TBAranking!$A:$Z,4,FALSE),-1000)</f>
        <v>-1000</v>
      </c>
      <c r="D85">
        <f t="shared" si="25"/>
        <v>-1000</v>
      </c>
      <c r="E85">
        <f t="shared" si="15"/>
        <v>-1000</v>
      </c>
      <c r="F85">
        <f t="shared" si="16"/>
        <v>-1000</v>
      </c>
      <c r="G85">
        <f t="shared" si="17"/>
        <v>-1000</v>
      </c>
      <c r="H85">
        <f t="shared" si="18"/>
        <v>-1000</v>
      </c>
      <c r="I85">
        <f t="shared" si="19"/>
        <v>-1000</v>
      </c>
      <c r="J85">
        <f t="shared" si="13"/>
        <v>-1000</v>
      </c>
      <c r="K85">
        <f t="shared" si="20"/>
        <v>-1000</v>
      </c>
      <c r="L85">
        <f t="shared" si="21"/>
        <v>-1000</v>
      </c>
      <c r="M85">
        <f t="shared" si="22"/>
        <v>-1000</v>
      </c>
      <c r="N85">
        <f t="shared" si="23"/>
        <v>-1000</v>
      </c>
      <c r="O85">
        <f t="shared" si="24"/>
        <v>-1000</v>
      </c>
    </row>
    <row r="86" spans="1:15">
      <c r="A86" t="str">
        <f>IF(EventTeam!$A:$A=0,"",EventTeam!$A:$A)</f>
        <v/>
      </c>
      <c r="B86">
        <f t="shared" si="14"/>
        <v>-1000</v>
      </c>
      <c r="C86">
        <f>IFERROR(VLOOKUP($A86,TBAranking!$A:$Z,4,FALSE),-1000)</f>
        <v>-1000</v>
      </c>
      <c r="D86">
        <f t="shared" si="25"/>
        <v>-1000</v>
      </c>
      <c r="E86">
        <f t="shared" si="15"/>
        <v>-1000</v>
      </c>
      <c r="F86">
        <f t="shared" si="16"/>
        <v>-1000</v>
      </c>
      <c r="G86">
        <f t="shared" si="17"/>
        <v>-1000</v>
      </c>
      <c r="H86">
        <f t="shared" si="18"/>
        <v>-1000</v>
      </c>
      <c r="I86">
        <f t="shared" si="19"/>
        <v>-1000</v>
      </c>
      <c r="J86">
        <f t="shared" si="13"/>
        <v>-1000</v>
      </c>
      <c r="K86">
        <f t="shared" si="20"/>
        <v>-1000</v>
      </c>
      <c r="L86">
        <f t="shared" si="21"/>
        <v>-1000</v>
      </c>
      <c r="M86">
        <f t="shared" si="22"/>
        <v>-1000</v>
      </c>
      <c r="N86">
        <f t="shared" si="23"/>
        <v>-1000</v>
      </c>
      <c r="O86">
        <f t="shared" si="24"/>
        <v>-1000</v>
      </c>
    </row>
    <row r="87" spans="1:15">
      <c r="A87" t="str">
        <f>IF(EventTeam!$A:$A=0,"",EventTeam!$A:$A)</f>
        <v/>
      </c>
      <c r="B87">
        <f t="shared" si="14"/>
        <v>-1000</v>
      </c>
      <c r="C87">
        <f>IFERROR(VLOOKUP($A87,TBAranking!$A:$Z,4,FALSE),-1000)</f>
        <v>-1000</v>
      </c>
      <c r="D87">
        <f t="shared" si="25"/>
        <v>-1000</v>
      </c>
      <c r="E87">
        <f t="shared" si="15"/>
        <v>-1000</v>
      </c>
      <c r="F87">
        <f t="shared" si="16"/>
        <v>-1000</v>
      </c>
      <c r="G87">
        <f t="shared" si="17"/>
        <v>-1000</v>
      </c>
      <c r="H87">
        <f t="shared" si="18"/>
        <v>-1000</v>
      </c>
      <c r="I87">
        <f t="shared" si="19"/>
        <v>-1000</v>
      </c>
      <c r="J87">
        <f t="shared" si="13"/>
        <v>-1000</v>
      </c>
      <c r="K87">
        <f t="shared" si="20"/>
        <v>-1000</v>
      </c>
      <c r="L87">
        <f t="shared" si="21"/>
        <v>-1000</v>
      </c>
      <c r="M87">
        <f t="shared" si="22"/>
        <v>-1000</v>
      </c>
      <c r="N87">
        <f t="shared" si="23"/>
        <v>-1000</v>
      </c>
      <c r="O87">
        <f t="shared" si="24"/>
        <v>-1000</v>
      </c>
    </row>
    <row r="88" spans="1:15">
      <c r="A88" t="str">
        <f>IF(EventTeam!$A:$A=0,"",EventTeam!$A:$A)</f>
        <v/>
      </c>
      <c r="B88">
        <f t="shared" si="14"/>
        <v>-1000</v>
      </c>
      <c r="C88">
        <f>IFERROR(VLOOKUP($A88,TBAranking!$A:$Z,4,FALSE),-1000)</f>
        <v>-1000</v>
      </c>
      <c r="D88">
        <f t="shared" si="25"/>
        <v>-1000</v>
      </c>
      <c r="E88">
        <f t="shared" si="15"/>
        <v>-1000</v>
      </c>
      <c r="F88">
        <f t="shared" si="16"/>
        <v>-1000</v>
      </c>
      <c r="G88">
        <f t="shared" si="17"/>
        <v>-1000</v>
      </c>
      <c r="H88">
        <f t="shared" si="18"/>
        <v>-1000</v>
      </c>
      <c r="I88">
        <f t="shared" si="19"/>
        <v>-1000</v>
      </c>
      <c r="J88">
        <f t="shared" si="13"/>
        <v>-1000</v>
      </c>
      <c r="K88">
        <f t="shared" si="20"/>
        <v>-1000</v>
      </c>
      <c r="L88">
        <f t="shared" si="21"/>
        <v>-1000</v>
      </c>
      <c r="M88">
        <f t="shared" si="22"/>
        <v>-1000</v>
      </c>
      <c r="N88">
        <f t="shared" si="23"/>
        <v>-1000</v>
      </c>
      <c r="O88">
        <f t="shared" si="24"/>
        <v>-1000</v>
      </c>
    </row>
    <row r="89" spans="1:15">
      <c r="A89" t="str">
        <f>IF(EventTeam!$A:$A=0,"",EventTeam!$A:$A)</f>
        <v/>
      </c>
      <c r="B89">
        <f t="shared" si="14"/>
        <v>-1000</v>
      </c>
      <c r="C89">
        <f>IFERROR(VLOOKUP($A89,TBAranking!$A:$Z,4,FALSE),-1000)</f>
        <v>-1000</v>
      </c>
      <c r="D89">
        <f t="shared" si="25"/>
        <v>-1000</v>
      </c>
      <c r="E89">
        <f t="shared" si="15"/>
        <v>-1000</v>
      </c>
      <c r="F89">
        <f t="shared" si="16"/>
        <v>-1000</v>
      </c>
      <c r="G89">
        <f t="shared" si="17"/>
        <v>-1000</v>
      </c>
      <c r="H89">
        <f t="shared" si="18"/>
        <v>-1000</v>
      </c>
      <c r="I89">
        <f t="shared" si="19"/>
        <v>-1000</v>
      </c>
      <c r="J89">
        <f t="shared" si="13"/>
        <v>-1000</v>
      </c>
      <c r="K89">
        <f t="shared" si="20"/>
        <v>-1000</v>
      </c>
      <c r="L89">
        <f t="shared" si="21"/>
        <v>-1000</v>
      </c>
      <c r="M89">
        <f t="shared" si="22"/>
        <v>-1000</v>
      </c>
      <c r="N89">
        <f t="shared" si="23"/>
        <v>-1000</v>
      </c>
      <c r="O89">
        <f t="shared" si="24"/>
        <v>-1000</v>
      </c>
    </row>
    <row r="90" spans="1:15">
      <c r="A90" t="str">
        <f>IF(EventTeam!$A:$A=0,"",EventTeam!$A:$A)</f>
        <v/>
      </c>
      <c r="B90">
        <f t="shared" si="14"/>
        <v>-1000</v>
      </c>
      <c r="C90">
        <f>IFERROR(VLOOKUP($A90,TBAranking!$A:$Z,4,FALSE),-1000)</f>
        <v>-1000</v>
      </c>
      <c r="D90">
        <f t="shared" si="25"/>
        <v>-1000</v>
      </c>
      <c r="E90">
        <f t="shared" si="15"/>
        <v>-1000</v>
      </c>
      <c r="F90">
        <f t="shared" si="16"/>
        <v>-1000</v>
      </c>
      <c r="G90">
        <f t="shared" si="17"/>
        <v>-1000</v>
      </c>
      <c r="H90">
        <f t="shared" si="18"/>
        <v>-1000</v>
      </c>
      <c r="I90">
        <f t="shared" si="19"/>
        <v>-1000</v>
      </c>
      <c r="J90">
        <f t="shared" si="13"/>
        <v>-1000</v>
      </c>
      <c r="K90">
        <f t="shared" si="20"/>
        <v>-1000</v>
      </c>
      <c r="L90">
        <f t="shared" si="21"/>
        <v>-1000</v>
      </c>
      <c r="M90">
        <f t="shared" si="22"/>
        <v>-1000</v>
      </c>
      <c r="N90">
        <f t="shared" si="23"/>
        <v>-1000</v>
      </c>
      <c r="O90">
        <f t="shared" si="24"/>
        <v>-1000</v>
      </c>
    </row>
    <row r="91" spans="1:15">
      <c r="A91" t="str">
        <f>IF(EventTeam!$A:$A=0,"",EventTeam!$A:$A)</f>
        <v/>
      </c>
      <c r="B91">
        <f t="shared" si="14"/>
        <v>-1000</v>
      </c>
      <c r="C91">
        <f>IFERROR(VLOOKUP($A91,TBAranking!$A:$Z,4,FALSE),-1000)</f>
        <v>-1000</v>
      </c>
      <c r="D91">
        <f t="shared" si="25"/>
        <v>-1000</v>
      </c>
      <c r="E91">
        <f t="shared" si="15"/>
        <v>-1000</v>
      </c>
      <c r="F91">
        <f t="shared" si="16"/>
        <v>-1000</v>
      </c>
      <c r="G91">
        <f t="shared" si="17"/>
        <v>-1000</v>
      </c>
      <c r="H91">
        <f t="shared" si="18"/>
        <v>-1000</v>
      </c>
      <c r="I91">
        <f t="shared" si="19"/>
        <v>-1000</v>
      </c>
      <c r="J91">
        <f t="shared" si="13"/>
        <v>-1000</v>
      </c>
      <c r="K91">
        <f t="shared" si="20"/>
        <v>-1000</v>
      </c>
      <c r="L91">
        <f t="shared" si="21"/>
        <v>-1000</v>
      </c>
      <c r="M91">
        <f t="shared" si="22"/>
        <v>-1000</v>
      </c>
      <c r="N91">
        <f t="shared" si="23"/>
        <v>-1000</v>
      </c>
      <c r="O91">
        <f t="shared" si="24"/>
        <v>-1000</v>
      </c>
    </row>
    <row r="92" spans="1:15">
      <c r="A92" t="str">
        <f>IF(EventTeam!$A:$A=0,"",EventTeam!$A:$A)</f>
        <v/>
      </c>
      <c r="B92">
        <f t="shared" si="14"/>
        <v>-1000</v>
      </c>
      <c r="C92">
        <f>IFERROR(VLOOKUP($A92,TBAranking!$A:$Z,4,FALSE),-1000)</f>
        <v>-1000</v>
      </c>
      <c r="D92">
        <f t="shared" si="25"/>
        <v>-1000</v>
      </c>
      <c r="E92">
        <f t="shared" si="15"/>
        <v>-1000</v>
      </c>
      <c r="F92">
        <f t="shared" si="16"/>
        <v>-1000</v>
      </c>
      <c r="G92">
        <f t="shared" si="17"/>
        <v>-1000</v>
      </c>
      <c r="H92">
        <f t="shared" si="18"/>
        <v>-1000</v>
      </c>
      <c r="I92">
        <f t="shared" si="19"/>
        <v>-1000</v>
      </c>
      <c r="J92">
        <f t="shared" si="13"/>
        <v>-1000</v>
      </c>
      <c r="K92">
        <f t="shared" si="20"/>
        <v>-1000</v>
      </c>
      <c r="L92">
        <f t="shared" si="21"/>
        <v>-1000</v>
      </c>
      <c r="M92">
        <f t="shared" si="22"/>
        <v>-1000</v>
      </c>
      <c r="N92">
        <f t="shared" si="23"/>
        <v>-1000</v>
      </c>
      <c r="O92">
        <f t="shared" si="24"/>
        <v>-1000</v>
      </c>
    </row>
    <row r="93" spans="1:15">
      <c r="A93" t="str">
        <f>IF(EventTeam!$A:$A=0,"",EventTeam!$A:$A)</f>
        <v/>
      </c>
      <c r="B93">
        <f t="shared" si="14"/>
        <v>-1000</v>
      </c>
      <c r="C93">
        <f>IFERROR(VLOOKUP($A93,TBAranking!$A:$Z,4,FALSE),-1000)</f>
        <v>-1000</v>
      </c>
      <c r="D93">
        <f t="shared" si="25"/>
        <v>-1000</v>
      </c>
      <c r="E93">
        <f t="shared" si="15"/>
        <v>-1000</v>
      </c>
      <c r="F93">
        <f t="shared" si="16"/>
        <v>-1000</v>
      </c>
      <c r="G93">
        <f t="shared" si="17"/>
        <v>-1000</v>
      </c>
      <c r="H93">
        <f t="shared" si="18"/>
        <v>-1000</v>
      </c>
      <c r="I93">
        <f t="shared" si="19"/>
        <v>-1000</v>
      </c>
      <c r="J93">
        <f t="shared" si="13"/>
        <v>-1000</v>
      </c>
      <c r="K93">
        <f t="shared" si="20"/>
        <v>-1000</v>
      </c>
      <c r="L93">
        <f t="shared" si="21"/>
        <v>-1000</v>
      </c>
      <c r="M93">
        <f t="shared" si="22"/>
        <v>-1000</v>
      </c>
      <c r="N93">
        <f t="shared" si="23"/>
        <v>-1000</v>
      </c>
      <c r="O93">
        <f t="shared" si="24"/>
        <v>-1000</v>
      </c>
    </row>
    <row r="94" spans="1:15">
      <c r="A94" t="str">
        <f>IF(EventTeam!$A:$A=0,"",EventTeam!$A:$A)</f>
        <v/>
      </c>
      <c r="B94">
        <f t="shared" si="14"/>
        <v>-1000</v>
      </c>
      <c r="C94">
        <f>IFERROR(VLOOKUP($A94,TBAranking!$A:$Z,4,FALSE),-1000)</f>
        <v>-1000</v>
      </c>
      <c r="D94">
        <f t="shared" si="25"/>
        <v>-1000</v>
      </c>
      <c r="E94">
        <f t="shared" si="15"/>
        <v>-1000</v>
      </c>
      <c r="F94">
        <f t="shared" si="16"/>
        <v>-1000</v>
      </c>
      <c r="G94">
        <f t="shared" si="17"/>
        <v>-1000</v>
      </c>
      <c r="H94">
        <f t="shared" si="18"/>
        <v>-1000</v>
      </c>
      <c r="I94">
        <f t="shared" si="19"/>
        <v>-1000</v>
      </c>
      <c r="J94">
        <f t="shared" si="13"/>
        <v>-1000</v>
      </c>
      <c r="K94">
        <f t="shared" si="20"/>
        <v>-1000</v>
      </c>
      <c r="L94">
        <f t="shared" si="21"/>
        <v>-1000</v>
      </c>
      <c r="M94">
        <f t="shared" si="22"/>
        <v>-1000</v>
      </c>
      <c r="N94">
        <f t="shared" si="23"/>
        <v>-1000</v>
      </c>
      <c r="O94">
        <f t="shared" si="24"/>
        <v>-1000</v>
      </c>
    </row>
    <row r="95" spans="1:15">
      <c r="A95" t="str">
        <f>IF(EventTeam!$A:$A=0,"",EventTeam!$A:$A)</f>
        <v/>
      </c>
      <c r="B95">
        <f t="shared" si="14"/>
        <v>-1000</v>
      </c>
      <c r="C95">
        <f>IFERROR(VLOOKUP($A95,TBAranking!$A:$Z,4,FALSE),-1000)</f>
        <v>-1000</v>
      </c>
      <c r="D95">
        <f t="shared" si="25"/>
        <v>-1000</v>
      </c>
      <c r="E95">
        <f t="shared" si="15"/>
        <v>-1000</v>
      </c>
      <c r="F95">
        <f t="shared" si="16"/>
        <v>-1000</v>
      </c>
      <c r="G95">
        <f t="shared" si="17"/>
        <v>-1000</v>
      </c>
      <c r="H95">
        <f t="shared" si="18"/>
        <v>-1000</v>
      </c>
      <c r="I95">
        <f t="shared" si="19"/>
        <v>-1000</v>
      </c>
      <c r="J95">
        <f t="shared" si="13"/>
        <v>-1000</v>
      </c>
      <c r="K95">
        <f t="shared" si="20"/>
        <v>-1000</v>
      </c>
      <c r="L95">
        <f t="shared" si="21"/>
        <v>-1000</v>
      </c>
      <c r="M95">
        <f t="shared" si="22"/>
        <v>-1000</v>
      </c>
      <c r="N95">
        <f t="shared" si="23"/>
        <v>-1000</v>
      </c>
      <c r="O95">
        <f t="shared" si="24"/>
        <v>-1000</v>
      </c>
    </row>
    <row r="96" spans="1:15">
      <c r="A96" t="str">
        <f>IF(EventTeam!$A:$A=0,"",EventTeam!$A:$A)</f>
        <v/>
      </c>
      <c r="B96">
        <f t="shared" si="14"/>
        <v>-1000</v>
      </c>
      <c r="C96">
        <f>IFERROR(VLOOKUP($A96,TBAranking!$A:$Z,4,FALSE),-1000)</f>
        <v>-1000</v>
      </c>
      <c r="D96">
        <f t="shared" si="25"/>
        <v>-1000</v>
      </c>
      <c r="E96">
        <f t="shared" si="15"/>
        <v>-1000</v>
      </c>
      <c r="F96">
        <f t="shared" si="16"/>
        <v>-1000</v>
      </c>
      <c r="G96">
        <f t="shared" si="17"/>
        <v>-1000</v>
      </c>
      <c r="H96">
        <f t="shared" si="18"/>
        <v>-1000</v>
      </c>
      <c r="I96">
        <f t="shared" si="19"/>
        <v>-1000</v>
      </c>
      <c r="J96">
        <f t="shared" si="13"/>
        <v>-1000</v>
      </c>
      <c r="K96">
        <f t="shared" si="20"/>
        <v>-1000</v>
      </c>
      <c r="L96">
        <f t="shared" si="21"/>
        <v>-1000</v>
      </c>
      <c r="M96">
        <f t="shared" si="22"/>
        <v>-1000</v>
      </c>
      <c r="N96">
        <f t="shared" si="23"/>
        <v>-1000</v>
      </c>
      <c r="O96">
        <f t="shared" si="24"/>
        <v>-1000</v>
      </c>
    </row>
    <row r="97" spans="1:15">
      <c r="A97" t="str">
        <f>IF(EventTeam!$A:$A=0,"",EventTeam!$A:$A)</f>
        <v/>
      </c>
      <c r="B97">
        <f t="shared" si="14"/>
        <v>-1000</v>
      </c>
      <c r="C97">
        <f>IFERROR(VLOOKUP($A97,TBAranking!$A:$Z,4,FALSE),-1000)</f>
        <v>-1000</v>
      </c>
      <c r="D97">
        <f t="shared" si="25"/>
        <v>-1000</v>
      </c>
      <c r="E97">
        <f t="shared" si="15"/>
        <v>-1000</v>
      </c>
      <c r="F97">
        <f t="shared" si="16"/>
        <v>-1000</v>
      </c>
      <c r="G97">
        <f t="shared" si="17"/>
        <v>-1000</v>
      </c>
      <c r="H97">
        <f t="shared" si="18"/>
        <v>-1000</v>
      </c>
      <c r="I97">
        <f t="shared" si="19"/>
        <v>-1000</v>
      </c>
      <c r="J97">
        <f t="shared" si="13"/>
        <v>-1000</v>
      </c>
      <c r="K97">
        <f t="shared" si="20"/>
        <v>-1000</v>
      </c>
      <c r="L97">
        <f t="shared" si="21"/>
        <v>-1000</v>
      </c>
      <c r="M97">
        <f t="shared" si="22"/>
        <v>-1000</v>
      </c>
      <c r="N97">
        <f t="shared" si="23"/>
        <v>-1000</v>
      </c>
      <c r="O97">
        <f t="shared" si="24"/>
        <v>-1000</v>
      </c>
    </row>
    <row r="98" spans="1:15">
      <c r="A98" t="str">
        <f>IF(EventTeam!$A:$A=0,"",EventTeam!$A:$A)</f>
        <v/>
      </c>
      <c r="B98">
        <f t="shared" si="14"/>
        <v>-1000</v>
      </c>
      <c r="C98">
        <f>IFERROR(VLOOKUP($A98,TBAranking!$A:$Z,4,FALSE),-1000)</f>
        <v>-1000</v>
      </c>
      <c r="D98">
        <f t="shared" si="25"/>
        <v>-1000</v>
      </c>
      <c r="E98">
        <f t="shared" si="15"/>
        <v>-1000</v>
      </c>
      <c r="F98">
        <f t="shared" si="16"/>
        <v>-1000</v>
      </c>
      <c r="G98">
        <f t="shared" si="17"/>
        <v>-1000</v>
      </c>
      <c r="H98">
        <f t="shared" si="18"/>
        <v>-1000</v>
      </c>
      <c r="I98">
        <f t="shared" si="19"/>
        <v>-1000</v>
      </c>
      <c r="J98">
        <f t="shared" si="13"/>
        <v>-1000</v>
      </c>
      <c r="K98">
        <f t="shared" si="20"/>
        <v>-1000</v>
      </c>
      <c r="L98">
        <f t="shared" si="21"/>
        <v>-1000</v>
      </c>
      <c r="M98">
        <f t="shared" si="22"/>
        <v>-1000</v>
      </c>
      <c r="N98">
        <f t="shared" si="23"/>
        <v>-1000</v>
      </c>
      <c r="O98">
        <f t="shared" si="24"/>
        <v>-1000</v>
      </c>
    </row>
    <row r="99" spans="1:15">
      <c r="A99" t="str">
        <f>IF(EventTeam!$A:$A=0,"",EventTeam!$A:$A)</f>
        <v/>
      </c>
      <c r="B99">
        <f t="shared" si="14"/>
        <v>-1000</v>
      </c>
      <c r="C99">
        <f>IFERROR(VLOOKUP($A99,TBAranking!$A:$Z,4,FALSE),-1000)</f>
        <v>-1000</v>
      </c>
      <c r="D99">
        <f t="shared" si="25"/>
        <v>-1000</v>
      </c>
      <c r="E99">
        <f t="shared" si="15"/>
        <v>-1000</v>
      </c>
      <c r="F99">
        <f t="shared" si="16"/>
        <v>-1000</v>
      </c>
      <c r="G99">
        <f t="shared" si="17"/>
        <v>-1000</v>
      </c>
      <c r="H99">
        <f t="shared" si="18"/>
        <v>-1000</v>
      </c>
      <c r="I99">
        <f t="shared" si="19"/>
        <v>-1000</v>
      </c>
      <c r="J99">
        <f t="shared" si="13"/>
        <v>-1000</v>
      </c>
      <c r="K99">
        <f t="shared" si="20"/>
        <v>-1000</v>
      </c>
      <c r="L99">
        <f t="shared" si="21"/>
        <v>-1000</v>
      </c>
      <c r="M99">
        <f t="shared" si="22"/>
        <v>-1000</v>
      </c>
      <c r="N99">
        <f t="shared" si="23"/>
        <v>-1000</v>
      </c>
      <c r="O99">
        <f t="shared" si="24"/>
        <v>-1000</v>
      </c>
    </row>
    <row r="100" spans="1:15">
      <c r="A100" t="str">
        <f>IF(EventTeam!$A:$A=0,"",EventTeam!$A:$A)</f>
        <v/>
      </c>
      <c r="B100">
        <f t="shared" si="14"/>
        <v>-1000</v>
      </c>
      <c r="C100">
        <f>IFERROR(VLOOKUP($A100,TBAranking!$A:$Z,4,FALSE),-1000)</f>
        <v>-1000</v>
      </c>
      <c r="D100">
        <f t="shared" si="25"/>
        <v>-1000</v>
      </c>
      <c r="E100">
        <f t="shared" si="15"/>
        <v>-1000</v>
      </c>
      <c r="F100">
        <f t="shared" si="16"/>
        <v>-1000</v>
      </c>
      <c r="G100">
        <f t="shared" si="17"/>
        <v>-1000</v>
      </c>
      <c r="H100">
        <f t="shared" si="18"/>
        <v>-1000</v>
      </c>
      <c r="I100">
        <f t="shared" si="19"/>
        <v>-1000</v>
      </c>
      <c r="J100">
        <f t="shared" si="13"/>
        <v>-1000</v>
      </c>
      <c r="K100">
        <f t="shared" si="20"/>
        <v>-1000</v>
      </c>
      <c r="L100">
        <f t="shared" si="21"/>
        <v>-1000</v>
      </c>
      <c r="M100">
        <f t="shared" si="22"/>
        <v>-1000</v>
      </c>
      <c r="N100">
        <f t="shared" si="23"/>
        <v>-1000</v>
      </c>
      <c r="O100">
        <f t="shared" si="24"/>
        <v>-1000</v>
      </c>
    </row>
  </sheetData>
  <conditionalFormatting sqref="T2:T36">
    <cfRule type="colorScale" priority="8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7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6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4">
      <colorScale>
        <cfvo type="min"/>
        <cfvo type="max"/>
        <color rgb="FFFCFCFF"/>
        <color rgb="FF63BE7B"/>
      </colorScale>
    </cfRule>
    <cfRule type="cellIs" dxfId="66" priority="5" operator="equal">
      <formula>-1000</formula>
    </cfRule>
  </conditionalFormatting>
  <conditionalFormatting sqref="H2:O100">
    <cfRule type="cellIs" dxfId="65" priority="3" operator="equal">
      <formula>-1000</formula>
    </cfRule>
  </conditionalFormatting>
  <conditionalFormatting sqref="G2:O100">
    <cfRule type="colorScale" priority="2">
      <colorScale>
        <cfvo type="min"/>
        <cfvo type="max"/>
        <color rgb="FF63BE7B"/>
        <color rgb="FFFCFCFF"/>
      </colorScale>
    </cfRule>
  </conditionalFormatting>
  <conditionalFormatting sqref="R2:R42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B100"/>
  <sheetViews>
    <sheetView workbookViewId="0">
      <selection activeCell="I12" sqref="I12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6" max="16" width="6.28515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28" ht="15.75" thickBot="1">
      <c r="A1" s="115" t="s">
        <v>1</v>
      </c>
      <c r="B1" s="116" t="s">
        <v>5984</v>
      </c>
      <c r="C1" s="117" t="s">
        <v>6093</v>
      </c>
      <c r="D1" s="160" t="s">
        <v>5982</v>
      </c>
      <c r="E1" s="161" t="s">
        <v>5986</v>
      </c>
      <c r="F1" s="160" t="s">
        <v>5987</v>
      </c>
      <c r="G1" s="161" t="s">
        <v>5988</v>
      </c>
      <c r="H1" s="160" t="s">
        <v>5989</v>
      </c>
      <c r="I1" s="161" t="s">
        <v>5990</v>
      </c>
      <c r="J1" s="160" t="s">
        <v>5991</v>
      </c>
      <c r="K1" s="161" t="s">
        <v>5992</v>
      </c>
      <c r="L1" s="162" t="s">
        <v>5993</v>
      </c>
      <c r="M1" s="160" t="s">
        <v>5994</v>
      </c>
      <c r="N1" s="161" t="s">
        <v>5995</v>
      </c>
      <c r="O1" s="162" t="s">
        <v>5996</v>
      </c>
      <c r="P1" s="157"/>
      <c r="Q1" s="168" t="s">
        <v>5997</v>
      </c>
      <c r="R1" s="169" t="s">
        <v>6094</v>
      </c>
      <c r="S1" s="168" t="s">
        <v>5998</v>
      </c>
      <c r="T1" s="169" t="s">
        <v>6094</v>
      </c>
      <c r="U1" s="200" t="s">
        <v>5999</v>
      </c>
      <c r="V1" s="169" t="s">
        <v>6094</v>
      </c>
      <c r="W1" s="168" t="s">
        <v>6000</v>
      </c>
      <c r="X1" s="169" t="s">
        <v>6094</v>
      </c>
      <c r="Y1" s="200" t="s">
        <v>6097</v>
      </c>
      <c r="Z1" s="200" t="s">
        <v>6094</v>
      </c>
      <c r="AA1" s="168" t="s">
        <v>6098</v>
      </c>
      <c r="AB1" s="169" t="s">
        <v>6094</v>
      </c>
    </row>
    <row r="2" spans="1:28">
      <c r="A2">
        <f>IF(EventTeam!$A:$A=0,"",EventTeam!$A:$A)</f>
        <v>155</v>
      </c>
      <c r="B2" t="str">
        <f>IF($C2&lt;&gt;-1000,$C2, MAX($D2:$O2))</f>
        <v>432</v>
      </c>
      <c r="C2" t="str">
        <f>IFERROR(VLOOKUP($A2,TBAranking!$A:$Z,4,FALSE),-1000)</f>
        <v>432</v>
      </c>
      <c r="D2">
        <f>IFERROR(VLOOKUP($A2,$Q:$R,2,FALSE),-1000)</f>
        <v>-1000</v>
      </c>
      <c r="E2">
        <f>IFERROR(VLOOKUP($A2,$S:$T,2,FALSE),-1000)</f>
        <v>160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324</v>
      </c>
      <c r="I2">
        <f>IFERROR(VLOOKUP($A2,$AA:$AB,2,FALSE),-1000)</f>
        <v>-1000</v>
      </c>
      <c r="J2">
        <f t="shared" ref="J2:J65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4">
        <v>23</v>
      </c>
      <c r="R2" s="195">
        <v>260</v>
      </c>
      <c r="S2" s="164">
        <v>95</v>
      </c>
      <c r="T2" s="199">
        <v>228</v>
      </c>
      <c r="U2" s="171">
        <v>176</v>
      </c>
      <c r="V2" s="199">
        <v>388</v>
      </c>
      <c r="W2" s="164">
        <v>23</v>
      </c>
      <c r="X2" s="199">
        <v>284</v>
      </c>
      <c r="Y2" s="171">
        <v>69</v>
      </c>
      <c r="Z2" s="208">
        <v>257</v>
      </c>
      <c r="AA2" s="164">
        <v>125</v>
      </c>
      <c r="AB2" s="199">
        <v>399</v>
      </c>
    </row>
    <row r="3" spans="1:28">
      <c r="A3">
        <f>IF(EventTeam!$A:$A=0,"",EventTeam!$A:$A)</f>
        <v>173</v>
      </c>
      <c r="B3" t="str">
        <f t="shared" ref="B3:B66" si="1">IF($C3&lt;&gt;-1000,$C3, MAX($D3:$O3))</f>
        <v>348</v>
      </c>
      <c r="C3" t="str">
        <f>IFERROR(VLOOKUP($A3,TBAranking!$A:$Z,4,FALSE),-1000)</f>
        <v>348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66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-1000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4">
        <v>61</v>
      </c>
      <c r="R3" s="195">
        <v>358</v>
      </c>
      <c r="S3" s="164">
        <v>131</v>
      </c>
      <c r="T3" s="197">
        <v>211</v>
      </c>
      <c r="U3" s="171">
        <v>177</v>
      </c>
      <c r="V3" s="197">
        <v>329</v>
      </c>
      <c r="W3" s="164">
        <v>58</v>
      </c>
      <c r="X3" s="197">
        <v>245</v>
      </c>
      <c r="Y3" s="171">
        <v>95</v>
      </c>
      <c r="Z3" s="194">
        <v>316</v>
      </c>
      <c r="AA3" s="164">
        <v>133</v>
      </c>
      <c r="AB3" s="197">
        <v>376</v>
      </c>
    </row>
    <row r="4" spans="1:28">
      <c r="A4">
        <f>IF(EventTeam!$A:$A=0,"",EventTeam!$A:$A)</f>
        <v>175</v>
      </c>
      <c r="B4" t="str">
        <f t="shared" si="1"/>
        <v>420</v>
      </c>
      <c r="C4" t="str">
        <f>IFERROR(VLOOKUP($A4,TBAranking!$A:$Z,4,FALSE),-1000)</f>
        <v>420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-1000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4">
        <v>78</v>
      </c>
      <c r="R4" s="195">
        <v>331</v>
      </c>
      <c r="S4" s="164">
        <v>138</v>
      </c>
      <c r="T4" s="196">
        <v>207</v>
      </c>
      <c r="U4" s="171">
        <v>181</v>
      </c>
      <c r="V4" s="196">
        <v>257</v>
      </c>
      <c r="W4" s="164">
        <v>78</v>
      </c>
      <c r="X4" s="196">
        <v>374</v>
      </c>
      <c r="Y4" s="171">
        <v>155</v>
      </c>
      <c r="Z4" s="193">
        <v>324</v>
      </c>
      <c r="AA4" s="164">
        <v>238</v>
      </c>
      <c r="AB4" s="196">
        <v>406</v>
      </c>
    </row>
    <row r="5" spans="1:28">
      <c r="A5">
        <f>IF(EventTeam!$A:$A=0,"",EventTeam!$A:$A)</f>
        <v>176</v>
      </c>
      <c r="B5" t="str">
        <f t="shared" si="1"/>
        <v>481</v>
      </c>
      <c r="C5" t="str">
        <f>IFERROR(VLOOKUP($A5,TBAranking!$A:$Z,4,FALSE),-1000)</f>
        <v>481</v>
      </c>
      <c r="D5">
        <f t="shared" si="12"/>
        <v>-1000</v>
      </c>
      <c r="E5">
        <f t="shared" si="2"/>
        <v>-1000</v>
      </c>
      <c r="F5">
        <f t="shared" si="3"/>
        <v>388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4">
        <v>88</v>
      </c>
      <c r="R5" s="195">
        <v>343</v>
      </c>
      <c r="S5" s="164">
        <v>151</v>
      </c>
      <c r="T5" s="197">
        <v>141</v>
      </c>
      <c r="U5" s="171">
        <v>228</v>
      </c>
      <c r="V5" s="197">
        <v>281</v>
      </c>
      <c r="W5" s="164">
        <v>88</v>
      </c>
      <c r="X5" s="197">
        <v>304</v>
      </c>
      <c r="Y5" s="171">
        <v>178</v>
      </c>
      <c r="Z5" s="194">
        <v>271</v>
      </c>
      <c r="AA5" s="164">
        <v>246</v>
      </c>
      <c r="AB5" s="197">
        <v>302</v>
      </c>
    </row>
    <row r="6" spans="1:28">
      <c r="A6">
        <f>IF(EventTeam!$A:$A=0,"",EventTeam!$A:$A)</f>
        <v>177</v>
      </c>
      <c r="B6" t="str">
        <f t="shared" si="1"/>
        <v>377</v>
      </c>
      <c r="C6" t="str">
        <f>IFERROR(VLOOKUP($A6,TBAranking!$A:$Z,4,FALSE),-1000)</f>
        <v>377</v>
      </c>
      <c r="D6">
        <f t="shared" si="12"/>
        <v>-1000</v>
      </c>
      <c r="E6">
        <f t="shared" si="2"/>
        <v>-1000</v>
      </c>
      <c r="F6">
        <f t="shared" si="3"/>
        <v>329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4">
        <v>126</v>
      </c>
      <c r="R6" s="195">
        <v>258</v>
      </c>
      <c r="S6" s="164">
        <v>155</v>
      </c>
      <c r="T6" s="196">
        <v>160</v>
      </c>
      <c r="U6" s="171">
        <v>230</v>
      </c>
      <c r="V6" s="196">
        <v>474</v>
      </c>
      <c r="W6" s="164">
        <v>97</v>
      </c>
      <c r="X6" s="196">
        <v>211</v>
      </c>
      <c r="Y6" s="171">
        <v>195</v>
      </c>
      <c r="Z6" s="193">
        <v>464</v>
      </c>
      <c r="AA6" s="164">
        <v>319</v>
      </c>
      <c r="AB6" s="196">
        <v>376</v>
      </c>
    </row>
    <row r="7" spans="1:28">
      <c r="A7">
        <f>IF(EventTeam!$A:$A=0,"",EventTeam!$A:$A)</f>
        <v>181</v>
      </c>
      <c r="B7" t="str">
        <f t="shared" si="1"/>
        <v>370</v>
      </c>
      <c r="C7" t="str">
        <f>IFERROR(VLOOKUP($A7,TBAranking!$A:$Z,4,FALSE),-1000)</f>
        <v>370</v>
      </c>
      <c r="D7">
        <f t="shared" si="12"/>
        <v>-1000</v>
      </c>
      <c r="E7">
        <f t="shared" si="2"/>
        <v>-1000</v>
      </c>
      <c r="F7">
        <f t="shared" si="3"/>
        <v>257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4">
        <v>172</v>
      </c>
      <c r="R7" s="195">
        <v>221</v>
      </c>
      <c r="S7" s="164">
        <v>238</v>
      </c>
      <c r="T7" s="197">
        <v>327</v>
      </c>
      <c r="U7" s="171">
        <v>236</v>
      </c>
      <c r="V7" s="197">
        <v>319</v>
      </c>
      <c r="W7" s="164">
        <v>121</v>
      </c>
      <c r="X7" s="197">
        <v>273</v>
      </c>
      <c r="Y7" s="171">
        <v>228</v>
      </c>
      <c r="Z7" s="194">
        <v>343</v>
      </c>
      <c r="AA7" s="164">
        <v>509</v>
      </c>
      <c r="AB7" s="197">
        <v>250</v>
      </c>
    </row>
    <row r="8" spans="1:28">
      <c r="A8">
        <f>IF(EventTeam!$A:$A=0,"",EventTeam!$A:$A)</f>
        <v>190</v>
      </c>
      <c r="B8" t="str">
        <f t="shared" si="1"/>
        <v>398</v>
      </c>
      <c r="C8" t="str">
        <f>IFERROR(VLOOKUP($A8,TBAranking!$A:$Z,4,FALSE),-1000)</f>
        <v>398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-1000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4">
        <v>213</v>
      </c>
      <c r="R8" s="195">
        <v>294</v>
      </c>
      <c r="S8" s="164">
        <v>811</v>
      </c>
      <c r="T8" s="196">
        <v>250</v>
      </c>
      <c r="U8" s="171">
        <v>237</v>
      </c>
      <c r="V8" s="196">
        <v>334</v>
      </c>
      <c r="W8" s="164">
        <v>157</v>
      </c>
      <c r="X8" s="196">
        <v>241</v>
      </c>
      <c r="Y8" s="171">
        <v>230</v>
      </c>
      <c r="Z8" s="193">
        <v>444</v>
      </c>
      <c r="AA8" s="164">
        <v>811</v>
      </c>
      <c r="AB8" s="196">
        <v>356</v>
      </c>
    </row>
    <row r="9" spans="1:28">
      <c r="A9">
        <f>IF(EventTeam!$A:$A=0,"",EventTeam!$A:$A)</f>
        <v>195</v>
      </c>
      <c r="B9" t="str">
        <f t="shared" si="1"/>
        <v>481</v>
      </c>
      <c r="C9" t="str">
        <f>IFERROR(VLOOKUP($A9,TBAranking!$A:$Z,4,FALSE),-1000)</f>
        <v>481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464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4">
        <v>467</v>
      </c>
      <c r="R9" s="195">
        <v>302</v>
      </c>
      <c r="S9" s="164">
        <v>885</v>
      </c>
      <c r="T9" s="197">
        <v>167</v>
      </c>
      <c r="U9" s="171">
        <v>501</v>
      </c>
      <c r="V9" s="197">
        <v>249</v>
      </c>
      <c r="W9" s="164">
        <v>166</v>
      </c>
      <c r="X9" s="197">
        <v>223</v>
      </c>
      <c r="Y9" s="171">
        <v>467</v>
      </c>
      <c r="Z9" s="194">
        <v>263</v>
      </c>
      <c r="AA9" s="164">
        <v>1058</v>
      </c>
      <c r="AB9" s="197">
        <v>259</v>
      </c>
    </row>
    <row r="10" spans="1:28">
      <c r="A10">
        <f>IF(EventTeam!$A:$A=0,"",EventTeam!$A:$A)</f>
        <v>230</v>
      </c>
      <c r="B10" t="str">
        <f t="shared" si="1"/>
        <v>452</v>
      </c>
      <c r="C10" t="str">
        <f>IFERROR(VLOOKUP($A10,TBAranking!$A:$Z,4,FALSE),-1000)</f>
        <v>452</v>
      </c>
      <c r="D10">
        <f t="shared" si="12"/>
        <v>-1000</v>
      </c>
      <c r="E10">
        <f t="shared" si="2"/>
        <v>-1000</v>
      </c>
      <c r="F10">
        <f t="shared" si="3"/>
        <v>474</v>
      </c>
      <c r="G10">
        <f t="shared" si="4"/>
        <v>-1000</v>
      </c>
      <c r="H10">
        <f t="shared" si="5"/>
        <v>444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4">
        <v>663</v>
      </c>
      <c r="R10" s="195">
        <v>281</v>
      </c>
      <c r="S10" s="164">
        <v>1058</v>
      </c>
      <c r="T10" s="196">
        <v>181</v>
      </c>
      <c r="U10" s="171">
        <v>558</v>
      </c>
      <c r="V10" s="196">
        <v>361</v>
      </c>
      <c r="W10" s="164">
        <v>178</v>
      </c>
      <c r="X10" s="196">
        <v>237</v>
      </c>
      <c r="Y10" s="171">
        <v>1027</v>
      </c>
      <c r="Z10" s="193">
        <v>223</v>
      </c>
      <c r="AA10" s="164">
        <v>1289</v>
      </c>
      <c r="AB10" s="196">
        <v>269</v>
      </c>
    </row>
    <row r="11" spans="1:28">
      <c r="A11">
        <f>IF(EventTeam!$A:$A=0,"",EventTeam!$A:$A)</f>
        <v>236</v>
      </c>
      <c r="B11" t="str">
        <f t="shared" si="1"/>
        <v>413</v>
      </c>
      <c r="C11" t="str">
        <f>IFERROR(VLOOKUP($A11,TBAranking!$A:$Z,4,FALSE),-1000)</f>
        <v>413</v>
      </c>
      <c r="D11">
        <f t="shared" si="12"/>
        <v>-1000</v>
      </c>
      <c r="E11">
        <f t="shared" si="2"/>
        <v>-1000</v>
      </c>
      <c r="F11">
        <f t="shared" si="3"/>
        <v>319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4">
        <v>716</v>
      </c>
      <c r="R11" s="195">
        <v>281</v>
      </c>
      <c r="S11" s="164">
        <v>1073</v>
      </c>
      <c r="T11" s="197">
        <v>171</v>
      </c>
      <c r="U11" s="171">
        <v>571</v>
      </c>
      <c r="V11" s="197">
        <v>299</v>
      </c>
      <c r="W11" s="164">
        <v>348</v>
      </c>
      <c r="X11" s="197">
        <v>240</v>
      </c>
      <c r="Y11" s="171">
        <v>1071</v>
      </c>
      <c r="Z11" s="194">
        <v>243</v>
      </c>
      <c r="AA11" s="164">
        <v>1474</v>
      </c>
      <c r="AB11" s="197">
        <v>261</v>
      </c>
    </row>
    <row r="12" spans="1:28">
      <c r="A12">
        <f>IF(EventTeam!$A:$A=0,"",EventTeam!$A:$A)</f>
        <v>558</v>
      </c>
      <c r="B12" t="str">
        <f t="shared" si="1"/>
        <v>422</v>
      </c>
      <c r="C12" t="str">
        <f>IFERROR(VLOOKUP($A12,TBAranking!$A:$Z,4,FALSE),-1000)</f>
        <v>422</v>
      </c>
      <c r="D12">
        <f t="shared" si="12"/>
        <v>-1000</v>
      </c>
      <c r="E12">
        <f t="shared" si="2"/>
        <v>-1000</v>
      </c>
      <c r="F12">
        <f t="shared" si="3"/>
        <v>361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4">
        <v>1100</v>
      </c>
      <c r="R12" s="195">
        <v>323</v>
      </c>
      <c r="S12" s="164">
        <v>1247</v>
      </c>
      <c r="T12" s="196">
        <v>215</v>
      </c>
      <c r="U12" s="171">
        <v>999</v>
      </c>
      <c r="V12" s="196">
        <v>222</v>
      </c>
      <c r="W12" s="164">
        <v>839</v>
      </c>
      <c r="X12" s="196">
        <v>168</v>
      </c>
      <c r="Y12" s="171">
        <v>1099</v>
      </c>
      <c r="Z12" s="193">
        <v>351</v>
      </c>
      <c r="AA12" s="164">
        <v>1761</v>
      </c>
      <c r="AB12" s="196">
        <v>262</v>
      </c>
    </row>
    <row r="13" spans="1:28">
      <c r="A13">
        <f>IF(EventTeam!$A:$A=0,"",EventTeam!$A:$A)</f>
        <v>571</v>
      </c>
      <c r="B13" t="str">
        <f t="shared" si="1"/>
        <v>369</v>
      </c>
      <c r="C13" t="str">
        <f>IFERROR(VLOOKUP($A13,TBAranking!$A:$Z,4,FALSE),-1000)</f>
        <v>369</v>
      </c>
      <c r="D13">
        <f t="shared" si="12"/>
        <v>-1000</v>
      </c>
      <c r="E13">
        <f t="shared" si="2"/>
        <v>-1000</v>
      </c>
      <c r="F13">
        <f t="shared" si="3"/>
        <v>299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4">
        <v>1153</v>
      </c>
      <c r="R13" s="195">
        <v>263</v>
      </c>
      <c r="S13" s="164">
        <v>1289</v>
      </c>
      <c r="T13" s="197">
        <v>232</v>
      </c>
      <c r="U13" s="171">
        <v>1085</v>
      </c>
      <c r="V13" s="197">
        <v>216</v>
      </c>
      <c r="W13" s="164">
        <v>1735</v>
      </c>
      <c r="X13" s="197">
        <v>201</v>
      </c>
      <c r="Y13" s="171">
        <v>2064</v>
      </c>
      <c r="Z13" s="194">
        <v>280</v>
      </c>
      <c r="AA13" s="164">
        <v>1965</v>
      </c>
      <c r="AB13" s="197">
        <v>279</v>
      </c>
    </row>
    <row r="14" spans="1:28">
      <c r="A14">
        <f>IF(EventTeam!$A:$A=0,"",EventTeam!$A:$A)</f>
        <v>839</v>
      </c>
      <c r="B14" t="str">
        <f t="shared" si="1"/>
        <v>342</v>
      </c>
      <c r="C14" t="str">
        <f>IFERROR(VLOOKUP($A14,TBAranking!$A:$Z,4,FALSE),-1000)</f>
        <v>342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168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4">
        <v>1277</v>
      </c>
      <c r="R14" s="195">
        <v>223</v>
      </c>
      <c r="S14" s="164">
        <v>1307</v>
      </c>
      <c r="T14" s="196">
        <v>175</v>
      </c>
      <c r="U14" s="171">
        <v>1099</v>
      </c>
      <c r="V14" s="196">
        <v>330</v>
      </c>
      <c r="W14" s="164">
        <v>1757</v>
      </c>
      <c r="X14" s="196">
        <v>221</v>
      </c>
      <c r="Y14" s="171">
        <v>2067</v>
      </c>
      <c r="Z14" s="193">
        <v>362</v>
      </c>
      <c r="AA14" s="164">
        <v>2084</v>
      </c>
      <c r="AB14" s="196">
        <v>266</v>
      </c>
    </row>
    <row r="15" spans="1:28">
      <c r="A15">
        <f>IF(EventTeam!$A:$A=0,"",EventTeam!$A:$A)</f>
        <v>999</v>
      </c>
      <c r="B15" t="str">
        <f t="shared" si="1"/>
        <v>395</v>
      </c>
      <c r="C15" t="str">
        <f>IFERROR(VLOOKUP($A15,TBAranking!$A:$Z,4,FALSE),-1000)</f>
        <v>395</v>
      </c>
      <c r="D15">
        <f t="shared" si="12"/>
        <v>-1000</v>
      </c>
      <c r="E15">
        <f t="shared" si="2"/>
        <v>-1000</v>
      </c>
      <c r="F15">
        <f t="shared" si="3"/>
        <v>222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4">
        <v>1350</v>
      </c>
      <c r="R15" s="195">
        <v>236</v>
      </c>
      <c r="S15" s="164">
        <v>1474</v>
      </c>
      <c r="T15" s="197">
        <v>205</v>
      </c>
      <c r="U15" s="171">
        <v>1124</v>
      </c>
      <c r="V15" s="197">
        <v>278</v>
      </c>
      <c r="W15" s="164">
        <v>2079</v>
      </c>
      <c r="X15" s="197">
        <v>231</v>
      </c>
      <c r="Y15" s="171">
        <v>2836</v>
      </c>
      <c r="Z15" s="194">
        <v>359</v>
      </c>
      <c r="AA15" s="164">
        <v>2423</v>
      </c>
      <c r="AB15" s="197">
        <v>258</v>
      </c>
    </row>
    <row r="16" spans="1:28">
      <c r="A16">
        <f>IF(EventTeam!$A:$A=0,"",EventTeam!$A:$A)</f>
        <v>1027</v>
      </c>
      <c r="B16" t="str">
        <f t="shared" si="1"/>
        <v>295</v>
      </c>
      <c r="C16" t="str">
        <f>IFERROR(VLOOKUP($A16,TBAranking!$A:$Z,4,FALSE),-1000)</f>
        <v>295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223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4">
        <v>1519</v>
      </c>
      <c r="R16" s="195">
        <v>388</v>
      </c>
      <c r="S16" s="164">
        <v>1512</v>
      </c>
      <c r="T16" s="196">
        <v>239</v>
      </c>
      <c r="U16" s="171">
        <v>1676</v>
      </c>
      <c r="V16" s="196">
        <v>281</v>
      </c>
      <c r="W16" s="164">
        <v>2168</v>
      </c>
      <c r="X16" s="196">
        <v>229</v>
      </c>
      <c r="Y16" s="171">
        <v>3104</v>
      </c>
      <c r="Z16" s="193">
        <v>286</v>
      </c>
      <c r="AA16" s="164">
        <v>2713</v>
      </c>
      <c r="AB16" s="196">
        <v>290</v>
      </c>
    </row>
    <row r="17" spans="1:28">
      <c r="A17">
        <f>IF(EventTeam!$A:$A=0,"",EventTeam!$A:$A)</f>
        <v>1085</v>
      </c>
      <c r="B17" t="str">
        <f t="shared" si="1"/>
        <v>337</v>
      </c>
      <c r="C17" t="str">
        <f>IFERROR(VLOOKUP($A17,TBAranking!$A:$Z,4,FALSE),-1000)</f>
        <v>337</v>
      </c>
      <c r="D17">
        <f t="shared" si="12"/>
        <v>-1000</v>
      </c>
      <c r="E17">
        <f t="shared" si="2"/>
        <v>-1000</v>
      </c>
      <c r="F17">
        <f t="shared" si="3"/>
        <v>216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4">
        <v>1729</v>
      </c>
      <c r="R17" s="195">
        <v>293</v>
      </c>
      <c r="S17" s="164">
        <v>1517</v>
      </c>
      <c r="T17" s="197">
        <v>135</v>
      </c>
      <c r="U17" s="171">
        <v>1699</v>
      </c>
      <c r="V17" s="197">
        <v>331</v>
      </c>
      <c r="W17" s="164">
        <v>2648</v>
      </c>
      <c r="X17" s="197">
        <v>208</v>
      </c>
      <c r="Y17" s="171">
        <v>3555</v>
      </c>
      <c r="Z17" s="194">
        <v>394</v>
      </c>
      <c r="AA17" s="164">
        <v>2876</v>
      </c>
      <c r="AB17" s="197">
        <v>294</v>
      </c>
    </row>
    <row r="18" spans="1:28">
      <c r="A18">
        <f>IF(EventTeam!$A:$A=0,"",EventTeam!$A:$A)</f>
        <v>1124</v>
      </c>
      <c r="B18">
        <f t="shared" si="1"/>
        <v>278</v>
      </c>
      <c r="C18">
        <f>IFERROR(VLOOKUP($A18,TBAranking!$A:$Z,4,FALSE),-1000)</f>
        <v>-1000</v>
      </c>
      <c r="D18">
        <f t="shared" si="12"/>
        <v>-1000</v>
      </c>
      <c r="E18">
        <f t="shared" si="2"/>
        <v>-1000</v>
      </c>
      <c r="F18">
        <f t="shared" si="3"/>
        <v>278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si="0"/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4">
        <v>1768</v>
      </c>
      <c r="R18" s="195">
        <v>249</v>
      </c>
      <c r="S18" s="164">
        <v>2342</v>
      </c>
      <c r="T18" s="196">
        <v>215</v>
      </c>
      <c r="U18" s="171">
        <v>2067</v>
      </c>
      <c r="V18" s="196">
        <v>284</v>
      </c>
      <c r="W18" s="164">
        <v>3566</v>
      </c>
      <c r="X18" s="196">
        <v>220</v>
      </c>
      <c r="Y18" s="171">
        <v>3634</v>
      </c>
      <c r="Z18" s="193">
        <v>250</v>
      </c>
      <c r="AA18" s="164">
        <v>2877</v>
      </c>
      <c r="AB18" s="196">
        <v>303</v>
      </c>
    </row>
    <row r="19" spans="1:28">
      <c r="A19">
        <f>IF(EventTeam!$A:$A=0,"",EventTeam!$A:$A)</f>
        <v>1740</v>
      </c>
      <c r="B19" t="str">
        <f t="shared" si="1"/>
        <v>314</v>
      </c>
      <c r="C19" t="str">
        <f>IFERROR(VLOOKUP($A19,TBAranking!$A:$Z,4,FALSE),-1000)</f>
        <v>314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0"/>
        <v>-1000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4">
        <v>1786</v>
      </c>
      <c r="R19" s="195">
        <v>225</v>
      </c>
      <c r="S19" s="164">
        <v>2876</v>
      </c>
      <c r="T19" s="197">
        <v>257</v>
      </c>
      <c r="U19" s="171">
        <v>2170</v>
      </c>
      <c r="V19" s="197">
        <v>301</v>
      </c>
      <c r="W19" s="164">
        <v>4041</v>
      </c>
      <c r="X19" s="197">
        <v>271</v>
      </c>
      <c r="Y19" s="171">
        <v>3654</v>
      </c>
      <c r="Z19" s="194">
        <v>281</v>
      </c>
      <c r="AA19" s="164">
        <v>3205</v>
      </c>
      <c r="AB19" s="197">
        <v>261</v>
      </c>
    </row>
    <row r="20" spans="1:28">
      <c r="A20">
        <f>IF(EventTeam!$A:$A=0,"",EventTeam!$A:$A)</f>
        <v>1973</v>
      </c>
      <c r="B20" t="str">
        <f t="shared" si="1"/>
        <v>254</v>
      </c>
      <c r="C20" t="str">
        <f>IFERROR(VLOOKUP($A20,TBAranking!$A:$Z,4,FALSE),-1000)</f>
        <v>254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0"/>
        <v>-1000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4">
        <v>1831</v>
      </c>
      <c r="R20" s="195">
        <v>237</v>
      </c>
      <c r="S20" s="164">
        <v>3205</v>
      </c>
      <c r="T20" s="196">
        <v>171</v>
      </c>
      <c r="U20" s="171">
        <v>3182</v>
      </c>
      <c r="V20" s="196">
        <v>267</v>
      </c>
      <c r="W20" s="164">
        <v>4151</v>
      </c>
      <c r="X20" s="196">
        <v>189</v>
      </c>
      <c r="Y20" s="171">
        <v>3958</v>
      </c>
      <c r="Z20" s="193">
        <v>305</v>
      </c>
      <c r="AA20" s="164">
        <v>3467</v>
      </c>
      <c r="AB20" s="196">
        <v>326</v>
      </c>
    </row>
    <row r="21" spans="1:28">
      <c r="A21">
        <f>IF(EventTeam!$A:$A=0,"",EventTeam!$A:$A)</f>
        <v>1991</v>
      </c>
      <c r="B21" t="str">
        <f t="shared" si="1"/>
        <v>343</v>
      </c>
      <c r="C21" t="str">
        <f>IFERROR(VLOOKUP($A21,TBAranking!$A:$Z,4,FALSE),-1000)</f>
        <v>343</v>
      </c>
      <c r="D21">
        <f t="shared" si="12"/>
        <v>249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si="5"/>
        <v>-1000</v>
      </c>
      <c r="I21">
        <f t="shared" si="6"/>
        <v>-1000</v>
      </c>
      <c r="J21">
        <f t="shared" si="0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4">
        <v>1991</v>
      </c>
      <c r="R21" s="195">
        <v>249</v>
      </c>
      <c r="S21" s="164">
        <v>3323</v>
      </c>
      <c r="T21" s="197">
        <v>206</v>
      </c>
      <c r="U21" s="171">
        <v>3314</v>
      </c>
      <c r="V21" s="197">
        <v>352</v>
      </c>
      <c r="W21" s="164">
        <v>4169</v>
      </c>
      <c r="X21" s="197">
        <v>213</v>
      </c>
      <c r="Y21" s="171">
        <v>4055</v>
      </c>
      <c r="Z21" s="194">
        <v>269</v>
      </c>
      <c r="AA21" s="164">
        <v>4034</v>
      </c>
      <c r="AB21" s="197">
        <v>222</v>
      </c>
    </row>
    <row r="22" spans="1:28">
      <c r="A22">
        <f>IF(EventTeam!$A:$A=0,"",EventTeam!$A:$A)</f>
        <v>2064</v>
      </c>
      <c r="B22" t="str">
        <f t="shared" si="1"/>
        <v>331</v>
      </c>
      <c r="C22" t="str">
        <f>IFERROR(VLOOKUP($A22,TBAranking!$A:$Z,4,FALSE),-1000)</f>
        <v>331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5"/>
        <v>280</v>
      </c>
      <c r="I22">
        <f t="shared" si="6"/>
        <v>-1000</v>
      </c>
      <c r="J22">
        <f t="shared" si="0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4">
        <v>2262</v>
      </c>
      <c r="R22" s="195">
        <v>271</v>
      </c>
      <c r="S22" s="164">
        <v>3930</v>
      </c>
      <c r="T22" s="196">
        <v>153</v>
      </c>
      <c r="U22" s="171">
        <v>3461</v>
      </c>
      <c r="V22" s="196">
        <v>363</v>
      </c>
      <c r="W22" s="164">
        <v>4176</v>
      </c>
      <c r="X22" s="196">
        <v>271</v>
      </c>
      <c r="Y22" s="171">
        <v>4557</v>
      </c>
      <c r="Z22" s="193">
        <v>337</v>
      </c>
      <c r="AA22" s="164">
        <v>4169</v>
      </c>
      <c r="AB22" s="196">
        <v>233</v>
      </c>
    </row>
    <row r="23" spans="1:28">
      <c r="A23">
        <f>IF(EventTeam!$A:$A=0,"",EventTeam!$A:$A)</f>
        <v>2067</v>
      </c>
      <c r="B23" t="str">
        <f t="shared" si="1"/>
        <v>388</v>
      </c>
      <c r="C23" t="str">
        <f>IFERROR(VLOOKUP($A23,TBAranking!$A:$Z,4,FALSE),-1000)</f>
        <v>388</v>
      </c>
      <c r="D23">
        <f t="shared" si="12"/>
        <v>-1000</v>
      </c>
      <c r="E23">
        <f t="shared" si="2"/>
        <v>-1000</v>
      </c>
      <c r="F23">
        <f t="shared" si="3"/>
        <v>284</v>
      </c>
      <c r="G23">
        <f t="shared" si="4"/>
        <v>-1000</v>
      </c>
      <c r="H23">
        <f t="shared" si="5"/>
        <v>362</v>
      </c>
      <c r="I23">
        <f t="shared" si="6"/>
        <v>-1000</v>
      </c>
      <c r="J23">
        <f t="shared" si="0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4">
        <v>2370</v>
      </c>
      <c r="R23" s="195">
        <v>341</v>
      </c>
      <c r="S23" s="164">
        <v>3958</v>
      </c>
      <c r="T23" s="197">
        <v>244</v>
      </c>
      <c r="U23" s="171">
        <v>3464</v>
      </c>
      <c r="V23" s="197">
        <v>302</v>
      </c>
      <c r="W23" s="164">
        <v>4761</v>
      </c>
      <c r="X23" s="197">
        <v>220</v>
      </c>
      <c r="Y23" s="171">
        <v>4572</v>
      </c>
      <c r="Z23" s="194">
        <v>293</v>
      </c>
      <c r="AA23" s="164">
        <v>4311</v>
      </c>
      <c r="AB23" s="197">
        <v>266</v>
      </c>
    </row>
    <row r="24" spans="1:28">
      <c r="A24">
        <f>IF(EventTeam!$A:$A=0,"",EventTeam!$A:$A)</f>
        <v>2170</v>
      </c>
      <c r="B24" t="str">
        <f t="shared" si="1"/>
        <v>467</v>
      </c>
      <c r="C24" t="str">
        <f>IFERROR(VLOOKUP($A24,TBAranking!$A:$Z,4,FALSE),-1000)</f>
        <v>467</v>
      </c>
      <c r="D24">
        <f t="shared" si="12"/>
        <v>-1000</v>
      </c>
      <c r="E24">
        <f t="shared" si="2"/>
        <v>-1000</v>
      </c>
      <c r="F24">
        <f t="shared" si="3"/>
        <v>301</v>
      </c>
      <c r="G24">
        <f t="shared" si="4"/>
        <v>-1000</v>
      </c>
      <c r="H24">
        <f t="shared" si="5"/>
        <v>-1000</v>
      </c>
      <c r="I24">
        <f t="shared" si="6"/>
        <v>-1000</v>
      </c>
      <c r="J24">
        <f t="shared" si="0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4">
        <v>2785</v>
      </c>
      <c r="R24" s="195">
        <v>249</v>
      </c>
      <c r="S24" s="164">
        <v>5265</v>
      </c>
      <c r="T24" s="196">
        <v>197</v>
      </c>
      <c r="U24" s="171">
        <v>3525</v>
      </c>
      <c r="V24" s="196">
        <v>266</v>
      </c>
      <c r="W24" s="164">
        <v>4796</v>
      </c>
      <c r="X24" s="196">
        <v>223</v>
      </c>
      <c r="Y24" s="171">
        <v>5687</v>
      </c>
      <c r="Z24" s="193">
        <v>374</v>
      </c>
      <c r="AA24" s="164">
        <v>4473</v>
      </c>
      <c r="AB24" s="196">
        <v>246</v>
      </c>
    </row>
    <row r="25" spans="1:28">
      <c r="A25">
        <f>IF(EventTeam!$A:$A=0,"",EventTeam!$A:$A)</f>
        <v>2785</v>
      </c>
      <c r="B25" t="str">
        <f t="shared" si="1"/>
        <v>308</v>
      </c>
      <c r="C25" t="str">
        <f>IFERROR(VLOOKUP($A25,TBAranking!$A:$Z,4,FALSE),-1000)</f>
        <v>308</v>
      </c>
      <c r="D25">
        <f t="shared" si="12"/>
        <v>249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5"/>
        <v>-1000</v>
      </c>
      <c r="I25">
        <f t="shared" si="6"/>
        <v>-1000</v>
      </c>
      <c r="J25">
        <f t="shared" si="0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4">
        <v>3236</v>
      </c>
      <c r="R25" s="195">
        <v>322</v>
      </c>
      <c r="S25" s="164">
        <v>5459</v>
      </c>
      <c r="T25" s="197">
        <v>148</v>
      </c>
      <c r="U25" s="171">
        <v>4055</v>
      </c>
      <c r="V25" s="197">
        <v>248</v>
      </c>
      <c r="W25" s="164">
        <v>4908</v>
      </c>
      <c r="X25" s="197">
        <v>198</v>
      </c>
      <c r="Y25" s="171">
        <v>5746</v>
      </c>
      <c r="Z25" s="194">
        <v>316</v>
      </c>
      <c r="AA25" s="164">
        <v>4761</v>
      </c>
      <c r="AB25" s="197">
        <v>306</v>
      </c>
    </row>
    <row r="26" spans="1:28">
      <c r="A26">
        <f>IF(EventTeam!$A:$A=0,"",EventTeam!$A:$A)</f>
        <v>2836</v>
      </c>
      <c r="B26" t="str">
        <f t="shared" si="1"/>
        <v>392</v>
      </c>
      <c r="C26" t="str">
        <f>IFERROR(VLOOKUP($A26,TBAranking!$A:$Z,4,FALSE),-1000)</f>
        <v>392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5"/>
        <v>359</v>
      </c>
      <c r="I26">
        <f t="shared" si="6"/>
        <v>-1000</v>
      </c>
      <c r="J26">
        <f t="shared" si="0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4">
        <v>3466</v>
      </c>
      <c r="R26" s="195">
        <v>248</v>
      </c>
      <c r="S26" s="164">
        <v>5471</v>
      </c>
      <c r="T26" s="196">
        <v>129</v>
      </c>
      <c r="U26" s="171">
        <v>4097</v>
      </c>
      <c r="V26" s="196">
        <v>215</v>
      </c>
      <c r="W26" s="164">
        <v>5000</v>
      </c>
      <c r="X26" s="196">
        <v>263</v>
      </c>
      <c r="Y26" s="171">
        <v>5856</v>
      </c>
      <c r="Z26" s="193">
        <v>277</v>
      </c>
      <c r="AA26" s="164">
        <v>4905</v>
      </c>
      <c r="AB26" s="196">
        <v>326</v>
      </c>
    </row>
    <row r="27" spans="1:28">
      <c r="A27">
        <f>IF(EventTeam!$A:$A=0,"",EventTeam!$A:$A)</f>
        <v>3104</v>
      </c>
      <c r="B27">
        <f t="shared" si="1"/>
        <v>286</v>
      </c>
      <c r="C27">
        <f>IFERROR(VLOOKUP($A27,TBAranking!$A:$Z,4,FALSE),-1000)</f>
        <v>-1000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5"/>
        <v>286</v>
      </c>
      <c r="I27">
        <f t="shared" si="6"/>
        <v>-1000</v>
      </c>
      <c r="J27">
        <f t="shared" si="0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4">
        <v>3555</v>
      </c>
      <c r="R27" s="195">
        <v>285</v>
      </c>
      <c r="S27" s="164">
        <v>5556</v>
      </c>
      <c r="T27" s="197">
        <v>193</v>
      </c>
      <c r="U27" s="171">
        <v>4557</v>
      </c>
      <c r="V27" s="197">
        <v>314</v>
      </c>
      <c r="W27" s="164">
        <v>5112</v>
      </c>
      <c r="X27" s="197">
        <v>184</v>
      </c>
      <c r="Y27" s="171">
        <v>6346</v>
      </c>
      <c r="Z27" s="194">
        <v>237</v>
      </c>
      <c r="AA27" s="164">
        <v>4906</v>
      </c>
      <c r="AB27" s="197">
        <v>254</v>
      </c>
    </row>
    <row r="28" spans="1:28">
      <c r="A28">
        <f>IF(EventTeam!$A:$A=0,"",EventTeam!$A:$A)</f>
        <v>3146</v>
      </c>
      <c r="B28" t="str">
        <f t="shared" si="1"/>
        <v>297</v>
      </c>
      <c r="C28" t="str">
        <f>IFERROR(VLOOKUP($A28,TBAranking!$A:$Z,4,FALSE),-1000)</f>
        <v>297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5"/>
        <v>-1000</v>
      </c>
      <c r="I28">
        <f t="shared" si="6"/>
        <v>-1000</v>
      </c>
      <c r="J28">
        <f t="shared" si="0"/>
        <v>-1000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4">
        <v>3566</v>
      </c>
      <c r="R28" s="195">
        <v>246</v>
      </c>
      <c r="S28" s="164">
        <v>5686</v>
      </c>
      <c r="T28" s="196">
        <v>212</v>
      </c>
      <c r="U28" s="171">
        <v>4572</v>
      </c>
      <c r="V28" s="196">
        <v>282</v>
      </c>
      <c r="W28" s="164">
        <v>5422</v>
      </c>
      <c r="X28" s="196">
        <v>200</v>
      </c>
      <c r="Y28" s="171">
        <v>6367</v>
      </c>
      <c r="Z28" s="193">
        <v>282</v>
      </c>
      <c r="AA28" s="164">
        <v>4909</v>
      </c>
      <c r="AB28" s="196">
        <v>286</v>
      </c>
    </row>
    <row r="29" spans="1:28">
      <c r="A29">
        <f>IF(EventTeam!$A:$A=0,"",EventTeam!$A:$A)</f>
        <v>3182</v>
      </c>
      <c r="B29" t="str">
        <f t="shared" si="1"/>
        <v>312</v>
      </c>
      <c r="C29" t="str">
        <f>IFERROR(VLOOKUP($A29,TBAranking!$A:$Z,4,FALSE),-1000)</f>
        <v>312</v>
      </c>
      <c r="D29">
        <f t="shared" si="12"/>
        <v>-1000</v>
      </c>
      <c r="E29">
        <f t="shared" si="2"/>
        <v>-1000</v>
      </c>
      <c r="F29">
        <f t="shared" si="3"/>
        <v>267</v>
      </c>
      <c r="G29">
        <f t="shared" si="4"/>
        <v>-1000</v>
      </c>
      <c r="H29">
        <f t="shared" si="5"/>
        <v>-1000</v>
      </c>
      <c r="I29">
        <f t="shared" si="6"/>
        <v>-1000</v>
      </c>
      <c r="J29">
        <f t="shared" si="0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4">
        <v>3623</v>
      </c>
      <c r="R29" s="195">
        <v>223</v>
      </c>
      <c r="S29" s="164">
        <v>5687</v>
      </c>
      <c r="T29" s="197">
        <v>325</v>
      </c>
      <c r="U29" s="171">
        <v>5129</v>
      </c>
      <c r="V29" s="197">
        <v>216</v>
      </c>
      <c r="W29" s="164">
        <v>5563</v>
      </c>
      <c r="X29" s="197">
        <v>208</v>
      </c>
      <c r="Y29" s="171">
        <v>6811</v>
      </c>
      <c r="Z29" s="194">
        <v>304</v>
      </c>
      <c r="AA29" s="164">
        <v>5122</v>
      </c>
      <c r="AB29" s="197">
        <v>275</v>
      </c>
    </row>
    <row r="30" spans="1:28">
      <c r="A30">
        <f>IF(EventTeam!$A:$A=0,"",EventTeam!$A:$A)</f>
        <v>3464</v>
      </c>
      <c r="B30" t="str">
        <f t="shared" si="1"/>
        <v>374</v>
      </c>
      <c r="C30" t="str">
        <f>IFERROR(VLOOKUP($A30,TBAranking!$A:$Z,4,FALSE),-1000)</f>
        <v>374</v>
      </c>
      <c r="D30">
        <f t="shared" si="12"/>
        <v>-1000</v>
      </c>
      <c r="E30">
        <f t="shared" si="2"/>
        <v>-1000</v>
      </c>
      <c r="F30">
        <f t="shared" si="3"/>
        <v>302</v>
      </c>
      <c r="G30">
        <f t="shared" si="4"/>
        <v>-1000</v>
      </c>
      <c r="H30">
        <f t="shared" si="5"/>
        <v>-1000</v>
      </c>
      <c r="I30">
        <f t="shared" si="6"/>
        <v>-1000</v>
      </c>
      <c r="J30">
        <f t="shared" si="0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4">
        <v>3719</v>
      </c>
      <c r="R30" s="195">
        <v>192</v>
      </c>
      <c r="S30" s="164">
        <v>5902</v>
      </c>
      <c r="T30" s="196">
        <v>169</v>
      </c>
      <c r="U30" s="171">
        <v>5142</v>
      </c>
      <c r="V30" s="196">
        <v>301</v>
      </c>
      <c r="W30" s="164">
        <v>5813</v>
      </c>
      <c r="X30" s="196">
        <v>382</v>
      </c>
      <c r="Y30" s="171">
        <v>7127</v>
      </c>
      <c r="Z30" s="193">
        <v>300</v>
      </c>
      <c r="AA30" s="164">
        <v>5347</v>
      </c>
      <c r="AB30" s="196">
        <v>246</v>
      </c>
    </row>
    <row r="31" spans="1:28" ht="15.75" thickBot="1">
      <c r="A31">
        <f>IF(EventTeam!$A:$A=0,"",EventTeam!$A:$A)</f>
        <v>3634</v>
      </c>
      <c r="B31" t="str">
        <f t="shared" si="1"/>
        <v>327</v>
      </c>
      <c r="C31" t="str">
        <f>IFERROR(VLOOKUP($A31,TBAranking!$A:$Z,4,FALSE),-1000)</f>
        <v>327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5"/>
        <v>250</v>
      </c>
      <c r="I31">
        <f t="shared" si="6"/>
        <v>-1000</v>
      </c>
      <c r="J31">
        <f t="shared" si="0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4">
        <v>4042</v>
      </c>
      <c r="R31" s="195">
        <v>282</v>
      </c>
      <c r="S31" s="164">
        <v>6324</v>
      </c>
      <c r="T31" s="197">
        <v>272</v>
      </c>
      <c r="U31" s="171">
        <v>5856</v>
      </c>
      <c r="V31" s="197">
        <v>333</v>
      </c>
      <c r="W31" s="164">
        <v>5846</v>
      </c>
      <c r="X31" s="197">
        <v>255</v>
      </c>
      <c r="Y31" s="172">
        <v>7153</v>
      </c>
      <c r="Z31" s="209">
        <v>307</v>
      </c>
      <c r="AA31" s="164">
        <v>5459</v>
      </c>
      <c r="AB31" s="197">
        <v>267</v>
      </c>
    </row>
    <row r="32" spans="1:28">
      <c r="A32">
        <f>IF(EventTeam!$A:$A=0,"",EventTeam!$A:$A)</f>
        <v>3654</v>
      </c>
      <c r="B32" t="str">
        <f t="shared" si="1"/>
        <v>336</v>
      </c>
      <c r="C32" t="str">
        <f>IFERROR(VLOOKUP($A32,TBAranking!$A:$Z,4,FALSE),-1000)</f>
        <v>336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5"/>
        <v>281</v>
      </c>
      <c r="I32">
        <f t="shared" si="6"/>
        <v>-1000</v>
      </c>
      <c r="J32">
        <f t="shared" si="0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4">
        <v>4048</v>
      </c>
      <c r="R32" s="195">
        <v>250</v>
      </c>
      <c r="S32" s="164">
        <v>6335</v>
      </c>
      <c r="T32" s="196">
        <v>174</v>
      </c>
      <c r="U32" s="171">
        <v>6723</v>
      </c>
      <c r="V32" s="196">
        <v>299</v>
      </c>
      <c r="W32" s="164">
        <v>6153</v>
      </c>
      <c r="X32" s="196">
        <v>243</v>
      </c>
      <c r="Y32" s="171"/>
      <c r="Z32" s="171"/>
      <c r="AA32" s="164">
        <v>5556</v>
      </c>
      <c r="AB32" s="196">
        <v>335</v>
      </c>
    </row>
    <row r="33" spans="1:28" ht="15.75" thickBot="1">
      <c r="A33">
        <f>IF(EventTeam!$A:$A=0,"",EventTeam!$A:$A)</f>
        <v>4987</v>
      </c>
      <c r="B33" t="str">
        <f t="shared" si="1"/>
        <v>333</v>
      </c>
      <c r="C33" t="str">
        <f>IFERROR(VLOOKUP($A33,TBAranking!$A:$Z,4,FALSE),-1000)</f>
        <v>333</v>
      </c>
      <c r="D33">
        <f t="shared" si="12"/>
        <v>324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5"/>
        <v>-1000</v>
      </c>
      <c r="I33">
        <f t="shared" si="6"/>
        <v>-1000</v>
      </c>
      <c r="J33">
        <f t="shared" si="0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4">
        <v>4564</v>
      </c>
      <c r="R33" s="195">
        <v>378</v>
      </c>
      <c r="S33" s="164">
        <v>6691</v>
      </c>
      <c r="T33" s="197">
        <v>152</v>
      </c>
      <c r="U33" s="172">
        <v>7266</v>
      </c>
      <c r="V33" s="198">
        <v>247</v>
      </c>
      <c r="W33" s="164">
        <v>6172</v>
      </c>
      <c r="X33" s="197">
        <v>210</v>
      </c>
      <c r="Y33" s="171"/>
      <c r="Z33" s="171"/>
      <c r="AA33" s="164">
        <v>5735</v>
      </c>
      <c r="AB33" s="197">
        <v>402</v>
      </c>
    </row>
    <row r="34" spans="1:28">
      <c r="A34">
        <f>IF(EventTeam!$A:$A=0,"",EventTeam!$A:$A)</f>
        <v>5129</v>
      </c>
      <c r="B34" t="str">
        <f t="shared" si="1"/>
        <v>348</v>
      </c>
      <c r="C34" t="str">
        <f>IFERROR(VLOOKUP($A34,TBAranking!$A:$Z,4,FALSE),-1000)</f>
        <v>348</v>
      </c>
      <c r="D34">
        <f t="shared" si="12"/>
        <v>-1000</v>
      </c>
      <c r="E34">
        <f t="shared" si="2"/>
        <v>-1000</v>
      </c>
      <c r="F34">
        <f t="shared" si="3"/>
        <v>216</v>
      </c>
      <c r="G34">
        <f t="shared" si="4"/>
        <v>-1000</v>
      </c>
      <c r="H34">
        <f t="shared" si="5"/>
        <v>-1000</v>
      </c>
      <c r="I34">
        <f t="shared" si="6"/>
        <v>-1000</v>
      </c>
      <c r="J34">
        <f t="shared" si="0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4">
        <v>4905</v>
      </c>
      <c r="R34" s="195">
        <v>296</v>
      </c>
      <c r="S34" s="164">
        <v>6933</v>
      </c>
      <c r="T34" s="196">
        <v>277</v>
      </c>
      <c r="W34" s="164">
        <v>6201</v>
      </c>
      <c r="X34" s="196">
        <v>283</v>
      </c>
      <c r="Y34" s="171"/>
      <c r="Z34" s="171"/>
      <c r="AA34" s="164">
        <v>5752</v>
      </c>
      <c r="AB34" s="196">
        <v>257</v>
      </c>
    </row>
    <row r="35" spans="1:28">
      <c r="A35">
        <f>IF(EventTeam!$A:$A=0,"",EventTeam!$A:$A)</f>
        <v>5142</v>
      </c>
      <c r="B35" t="str">
        <f t="shared" si="1"/>
        <v>304</v>
      </c>
      <c r="C35" t="str">
        <f>IFERROR(VLOOKUP($A35,TBAranking!$A:$Z,4,FALSE),-1000)</f>
        <v>304</v>
      </c>
      <c r="D35">
        <f t="shared" si="12"/>
        <v>-1000</v>
      </c>
      <c r="E35">
        <f t="shared" si="2"/>
        <v>-1000</v>
      </c>
      <c r="F35">
        <f t="shared" si="3"/>
        <v>301</v>
      </c>
      <c r="G35">
        <f t="shared" si="4"/>
        <v>-1000</v>
      </c>
      <c r="H35">
        <f t="shared" si="5"/>
        <v>-1000</v>
      </c>
      <c r="I35">
        <f t="shared" si="6"/>
        <v>-1000</v>
      </c>
      <c r="J35">
        <f t="shared" si="0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4">
        <v>4987</v>
      </c>
      <c r="R35" s="195">
        <v>324</v>
      </c>
      <c r="S35" s="164">
        <v>7133</v>
      </c>
      <c r="T35" s="197">
        <v>201</v>
      </c>
      <c r="W35" s="164">
        <v>6224</v>
      </c>
      <c r="X35" s="197">
        <v>229</v>
      </c>
      <c r="Y35" s="171"/>
      <c r="Z35" s="171"/>
      <c r="AA35" s="164">
        <v>5962</v>
      </c>
      <c r="AB35" s="197">
        <v>265</v>
      </c>
    </row>
    <row r="36" spans="1:28" ht="15.75" thickBot="1">
      <c r="A36">
        <f>IF(EventTeam!$A:$A=0,"",EventTeam!$A:$A)</f>
        <v>5686</v>
      </c>
      <c r="B36" t="str">
        <f t="shared" si="1"/>
        <v>401</v>
      </c>
      <c r="C36" t="str">
        <f>IFERROR(VLOOKUP($A36,TBAranking!$A:$Z,4,FALSE),-1000)</f>
        <v>401</v>
      </c>
      <c r="D36">
        <f t="shared" si="12"/>
        <v>-1000</v>
      </c>
      <c r="E36">
        <f t="shared" si="2"/>
        <v>212</v>
      </c>
      <c r="F36">
        <f t="shared" si="3"/>
        <v>-1000</v>
      </c>
      <c r="G36">
        <f t="shared" si="4"/>
        <v>-1000</v>
      </c>
      <c r="H36">
        <f t="shared" si="5"/>
        <v>-1000</v>
      </c>
      <c r="I36">
        <f t="shared" si="6"/>
        <v>-1000</v>
      </c>
      <c r="J36">
        <f t="shared" si="0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4">
        <v>5491</v>
      </c>
      <c r="R36" s="195">
        <v>185</v>
      </c>
      <c r="S36" s="166">
        <v>7314</v>
      </c>
      <c r="T36" s="201">
        <v>119</v>
      </c>
      <c r="W36" s="164">
        <v>6301</v>
      </c>
      <c r="X36" s="196">
        <v>148</v>
      </c>
      <c r="Y36" s="171"/>
      <c r="Z36" s="171"/>
      <c r="AA36" s="164">
        <v>6324</v>
      </c>
      <c r="AB36" s="196">
        <v>376</v>
      </c>
    </row>
    <row r="37" spans="1:28">
      <c r="A37">
        <f>IF(EventTeam!$A:$A=0,"",EventTeam!$A:$A)</f>
        <v>5746</v>
      </c>
      <c r="B37" t="str">
        <f t="shared" si="1"/>
        <v>321</v>
      </c>
      <c r="C37" t="str">
        <f>IFERROR(VLOOKUP($A37,TBAranking!$A:$Z,4,FALSE),-1000)</f>
        <v>321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5"/>
        <v>316</v>
      </c>
      <c r="I37">
        <f t="shared" si="6"/>
        <v>-1000</v>
      </c>
      <c r="J37">
        <f t="shared" si="0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4">
        <v>5494</v>
      </c>
      <c r="R37" s="195">
        <v>226</v>
      </c>
      <c r="W37" s="164">
        <v>6328</v>
      </c>
      <c r="X37" s="197">
        <v>236</v>
      </c>
      <c r="Y37" s="171"/>
      <c r="Z37" s="171"/>
      <c r="AA37" s="164">
        <v>6335</v>
      </c>
      <c r="AB37" s="197">
        <v>236</v>
      </c>
    </row>
    <row r="38" spans="1:28">
      <c r="A38">
        <f>IF(EventTeam!$A:$A=0,"",EventTeam!$A:$A)</f>
        <v>6333</v>
      </c>
      <c r="B38" t="str">
        <f t="shared" si="1"/>
        <v>329</v>
      </c>
      <c r="C38" t="str">
        <f>IFERROR(VLOOKUP($A38,TBAranking!$A:$Z,4,FALSE),-1000)</f>
        <v>329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5"/>
        <v>-1000</v>
      </c>
      <c r="I38">
        <f t="shared" si="6"/>
        <v>-1000</v>
      </c>
      <c r="J38">
        <f t="shared" si="0"/>
        <v>-1000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4">
        <v>5735</v>
      </c>
      <c r="R38" s="195">
        <v>327</v>
      </c>
      <c r="W38" s="164">
        <v>6337</v>
      </c>
      <c r="X38" s="196">
        <v>229</v>
      </c>
      <c r="Y38" s="171"/>
      <c r="Z38" s="171"/>
      <c r="AA38" s="164">
        <v>6731</v>
      </c>
      <c r="AB38" s="196">
        <v>342</v>
      </c>
    </row>
    <row r="39" spans="1:28">
      <c r="A39">
        <f>IF(EventTeam!$A:$A=0,"",EventTeam!$A:$A)</f>
        <v>6346</v>
      </c>
      <c r="B39" t="str">
        <f t="shared" si="1"/>
        <v>396</v>
      </c>
      <c r="C39" t="str">
        <f>IFERROR(VLOOKUP($A39,TBAranking!$A:$Z,4,FALSE),-1000)</f>
        <v>396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5"/>
        <v>237</v>
      </c>
      <c r="I39">
        <f t="shared" si="6"/>
        <v>-1000</v>
      </c>
      <c r="J39">
        <f t="shared" si="0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4">
        <v>6329</v>
      </c>
      <c r="R39" s="195">
        <v>334</v>
      </c>
      <c r="W39" s="164">
        <v>6529</v>
      </c>
      <c r="X39" s="197">
        <v>200</v>
      </c>
      <c r="Y39" s="171"/>
      <c r="Z39" s="171"/>
      <c r="AA39" s="164">
        <v>6762</v>
      </c>
      <c r="AB39" s="197">
        <v>271</v>
      </c>
    </row>
    <row r="40" spans="1:28">
      <c r="A40">
        <f>IF(EventTeam!$A:$A=0,"",EventTeam!$A:$A)</f>
        <v>6811</v>
      </c>
      <c r="B40" t="str">
        <f t="shared" si="1"/>
        <v>287</v>
      </c>
      <c r="C40" t="str">
        <f>IFERROR(VLOOKUP($A40,TBAranking!$A:$Z,4,FALSE),-1000)</f>
        <v>287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5"/>
        <v>304</v>
      </c>
      <c r="I40">
        <f t="shared" si="6"/>
        <v>-1000</v>
      </c>
      <c r="J40">
        <f t="shared" si="0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4">
        <v>6723</v>
      </c>
      <c r="R40" s="195">
        <v>215</v>
      </c>
      <c r="W40" s="164">
        <v>6620</v>
      </c>
      <c r="X40" s="196">
        <v>199</v>
      </c>
      <c r="Y40" s="171"/>
      <c r="Z40" s="171"/>
      <c r="AA40" s="164">
        <v>6763</v>
      </c>
      <c r="AB40" s="196">
        <v>282</v>
      </c>
    </row>
    <row r="41" spans="1:28" ht="15.75" thickBot="1">
      <c r="A41">
        <f>IF(EventTeam!$A:$A=0,"",EventTeam!$A:$A)</f>
        <v>6812</v>
      </c>
      <c r="B41" t="str">
        <f t="shared" si="1"/>
        <v>278</v>
      </c>
      <c r="C41" t="str">
        <f>IFERROR(VLOOKUP($A41,TBAranking!$A:$Z,4,FALSE),-1000)</f>
        <v>278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5"/>
        <v>-1000</v>
      </c>
      <c r="I41">
        <f t="shared" si="6"/>
        <v>-1000</v>
      </c>
      <c r="J41">
        <f t="shared" si="0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4">
        <v>7164</v>
      </c>
      <c r="R41" s="195">
        <v>259</v>
      </c>
      <c r="W41" s="166">
        <v>6731</v>
      </c>
      <c r="X41" s="198">
        <v>199</v>
      </c>
      <c r="Y41" s="171"/>
      <c r="Z41" s="171"/>
      <c r="AA41" s="166">
        <v>7240</v>
      </c>
      <c r="AB41" s="198">
        <v>240</v>
      </c>
    </row>
    <row r="42" spans="1:28" ht="15.75" thickBot="1">
      <c r="A42">
        <f>IF(EventTeam!$A:$A=0,"",EventTeam!$A:$A)</f>
        <v>6895</v>
      </c>
      <c r="B42" t="str">
        <f t="shared" si="1"/>
        <v>279</v>
      </c>
      <c r="C42" t="str">
        <f>IFERROR(VLOOKUP($A42,TBAranking!$A:$Z,4,FALSE),-1000)</f>
        <v>279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5"/>
        <v>-1000</v>
      </c>
      <c r="I42">
        <f t="shared" si="6"/>
        <v>-1000</v>
      </c>
      <c r="J42">
        <f t="shared" si="0"/>
        <v>-1000</v>
      </c>
      <c r="K42">
        <f t="shared" si="7"/>
        <v>-1000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6">
        <v>7259</v>
      </c>
      <c r="R42" s="202">
        <v>311</v>
      </c>
    </row>
    <row r="43" spans="1:28">
      <c r="A43">
        <f>IF(EventTeam!$A:$A=0,"",EventTeam!$A:$A)</f>
        <v>7127</v>
      </c>
      <c r="B43" t="str">
        <f t="shared" si="1"/>
        <v>377</v>
      </c>
      <c r="C43" t="str">
        <f>IFERROR(VLOOKUP($A43,TBAranking!$A:$Z,4,FALSE),-1000)</f>
        <v>377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5"/>
        <v>300</v>
      </c>
      <c r="I43">
        <f t="shared" si="6"/>
        <v>-1000</v>
      </c>
      <c r="J43">
        <f t="shared" si="0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28">
      <c r="A44">
        <f>IF(EventTeam!$A:$A=0,"",EventTeam!$A:$A)</f>
        <v>7153</v>
      </c>
      <c r="B44" t="str">
        <f t="shared" si="1"/>
        <v>307</v>
      </c>
      <c r="C44" t="str">
        <f>IFERROR(VLOOKUP($A44,TBAranking!$A:$Z,4,FALSE),-1000)</f>
        <v>307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5"/>
        <v>307</v>
      </c>
      <c r="I44">
        <f t="shared" si="6"/>
        <v>-1000</v>
      </c>
      <c r="J44">
        <f t="shared" si="0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28">
      <c r="A45" t="str">
        <f>IF(EventTeam!$A:$A=0,"",EventTeam!$A:$A)</f>
        <v/>
      </c>
      <c r="B45">
        <f t="shared" si="1"/>
        <v>-1000</v>
      </c>
      <c r="C45">
        <f>IFERROR(VLOOKUP($A45,TBAranking!$A:$Z,4,FALSE),-1000)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5"/>
        <v>-1000</v>
      </c>
      <c r="I45">
        <f t="shared" si="6"/>
        <v>-1000</v>
      </c>
      <c r="J45">
        <f t="shared" si="0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28">
      <c r="A46" t="str">
        <f>IF(EventTeam!$A:$A=0,"",EventTeam!$A:$A)</f>
        <v/>
      </c>
      <c r="B46">
        <f t="shared" si="1"/>
        <v>-1000</v>
      </c>
      <c r="C46">
        <f>IFERROR(VLOOKUP($A46,TBAranking!$A:$Z,4,FALSE),-1000)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5"/>
        <v>-1000</v>
      </c>
      <c r="I46">
        <f t="shared" si="6"/>
        <v>-1000</v>
      </c>
      <c r="J46">
        <f t="shared" si="0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28">
      <c r="A47" t="str">
        <f>IF(EventTeam!$A:$A=0,"",EventTeam!$A:$A)</f>
        <v/>
      </c>
      <c r="B47">
        <f t="shared" si="1"/>
        <v>-1000</v>
      </c>
      <c r="C47">
        <f>IFERROR(VLOOKUP($A47,TBAranking!$A:$Z,4,FALSE),-1000)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5"/>
        <v>-1000</v>
      </c>
      <c r="I47">
        <f t="shared" si="6"/>
        <v>-1000</v>
      </c>
      <c r="J47">
        <f t="shared" si="0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28">
      <c r="A48" t="str">
        <f>IF(EventTeam!$A:$A=0,"",EventTeam!$A:$A)</f>
        <v/>
      </c>
      <c r="B48">
        <f t="shared" si="1"/>
        <v>-1000</v>
      </c>
      <c r="C48">
        <f>IFERROR(VLOOKUP($A48,TBAranking!$A:$Z,4,FALSE),-1000)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5"/>
        <v>-1000</v>
      </c>
      <c r="I48">
        <f t="shared" si="6"/>
        <v>-1000</v>
      </c>
      <c r="J48">
        <f t="shared" si="0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IFERROR(VLOOKUP($A49,TBAranking!$A:$Z,4,FALSE),-1000)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5"/>
        <v>-1000</v>
      </c>
      <c r="I49">
        <f t="shared" si="6"/>
        <v>-1000</v>
      </c>
      <c r="J49">
        <f t="shared" si="0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IFERROR(VLOOKUP($A50,TBAranking!$A:$Z,4,FALSE),-1000)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5"/>
        <v>-1000</v>
      </c>
      <c r="I50">
        <f t="shared" si="6"/>
        <v>-1000</v>
      </c>
      <c r="J50">
        <f t="shared" si="0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IFERROR(VLOOKUP($A51,TBAranking!$A:$Z,4,FALSE),-1000)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5"/>
        <v>-1000</v>
      </c>
      <c r="I51">
        <f t="shared" si="6"/>
        <v>-1000</v>
      </c>
      <c r="J51">
        <f t="shared" si="0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IFERROR(VLOOKUP($A52,TBAranking!$A:$Z,4,FALSE),-1000)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5"/>
        <v>-1000</v>
      </c>
      <c r="I52">
        <f t="shared" si="6"/>
        <v>-1000</v>
      </c>
      <c r="J52">
        <f t="shared" si="0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IFERROR(VLOOKUP($A53,TBAranking!$A:$Z,4,FALSE),-1000)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5"/>
        <v>-1000</v>
      </c>
      <c r="I53">
        <f t="shared" si="6"/>
        <v>-1000</v>
      </c>
      <c r="J53">
        <f t="shared" si="0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IFERROR(VLOOKUP($A54,TBAranking!$A:$Z,4,FALSE),-1000)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5"/>
        <v>-1000</v>
      </c>
      <c r="I54">
        <f t="shared" si="6"/>
        <v>-1000</v>
      </c>
      <c r="J54">
        <f t="shared" si="0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IFERROR(VLOOKUP($A55,TBAranking!$A:$Z,4,FALSE),-1000)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5"/>
        <v>-1000</v>
      </c>
      <c r="I55">
        <f t="shared" si="6"/>
        <v>-1000</v>
      </c>
      <c r="J55">
        <f t="shared" si="0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IFERROR(VLOOKUP($A56,TBAranking!$A:$Z,4,FALSE),-1000)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5"/>
        <v>-1000</v>
      </c>
      <c r="I56">
        <f t="shared" si="6"/>
        <v>-1000</v>
      </c>
      <c r="J56">
        <f t="shared" si="0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IFERROR(VLOOKUP($A57,TBAranking!$A:$Z,4,FALSE),-1000)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5"/>
        <v>-1000</v>
      </c>
      <c r="I57">
        <f t="shared" si="6"/>
        <v>-1000</v>
      </c>
      <c r="J57">
        <f t="shared" si="0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IFERROR(VLOOKUP($A58,TBAranking!$A:$Z,4,FALSE),-1000)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5"/>
        <v>-1000</v>
      </c>
      <c r="I58">
        <f t="shared" si="6"/>
        <v>-1000</v>
      </c>
      <c r="J58">
        <f t="shared" si="0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IFERROR(VLOOKUP($A59,TBAranking!$A:$Z,4,FALSE),-1000)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5"/>
        <v>-1000</v>
      </c>
      <c r="I59">
        <f t="shared" si="6"/>
        <v>-1000</v>
      </c>
      <c r="J59">
        <f t="shared" si="0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IFERROR(VLOOKUP($A60,TBAranking!$A:$Z,4,FALSE),-1000)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5"/>
        <v>-1000</v>
      </c>
      <c r="I60">
        <f t="shared" si="6"/>
        <v>-1000</v>
      </c>
      <c r="J60">
        <f t="shared" si="0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IFERROR(VLOOKUP($A61,TBAranking!$A:$Z,4,FALSE),-1000)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5"/>
        <v>-1000</v>
      </c>
      <c r="I61">
        <f t="shared" si="6"/>
        <v>-1000</v>
      </c>
      <c r="J61">
        <f t="shared" si="0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IFERROR(VLOOKUP($A62,TBAranking!$A:$Z,4,FALSE),-1000)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5"/>
        <v>-1000</v>
      </c>
      <c r="I62">
        <f t="shared" si="6"/>
        <v>-1000</v>
      </c>
      <c r="J62">
        <f t="shared" si="0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IFERROR(VLOOKUP($A63,TBAranking!$A:$Z,4,FALSE),-1000)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5"/>
        <v>-1000</v>
      </c>
      <c r="I63">
        <f t="shared" si="6"/>
        <v>-1000</v>
      </c>
      <c r="J63">
        <f t="shared" si="0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IFERROR(VLOOKUP($A64,TBAranking!$A:$Z,4,FALSE),-1000)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5"/>
        <v>-1000</v>
      </c>
      <c r="I64">
        <f t="shared" si="6"/>
        <v>-1000</v>
      </c>
      <c r="J64">
        <f t="shared" si="0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IFERROR(VLOOKUP($A65,TBAranking!$A:$Z,4,FALSE),-1000)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5"/>
        <v>-1000</v>
      </c>
      <c r="I65">
        <f t="shared" si="6"/>
        <v>-1000</v>
      </c>
      <c r="J65">
        <f t="shared" si="0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IFERROR(VLOOKUP($A66,TBAranking!$A:$Z,4,FALSE),-1000)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5"/>
        <v>-1000</v>
      </c>
      <c r="I66">
        <f t="shared" si="6"/>
        <v>-1000</v>
      </c>
      <c r="J66">
        <f t="shared" ref="J66:J100" si="13">IFERROR(VLOOKUP($A66,$AC:$AD,2,FALSE),-1000)</f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4">IF($C67&lt;&gt;-1000,$C67, MAX($D67:$O67))</f>
        <v>-1000</v>
      </c>
      <c r="C67">
        <f>IFERROR(VLOOKUP($A67,TBAranking!$A:$Z,4,FALSE),-1000)</f>
        <v>-1000</v>
      </c>
      <c r="D67">
        <f t="shared" si="12"/>
        <v>-1000</v>
      </c>
      <c r="E67">
        <f t="shared" ref="E67:E100" si="15">IFERROR(VLOOKUP($A67,$S:$T,2,FALSE),-1000)</f>
        <v>-1000</v>
      </c>
      <c r="F67">
        <f t="shared" ref="F67:F100" si="16">IFERROR(VLOOKUP($A67,$U:$V,2,FALSE),-1000)</f>
        <v>-1000</v>
      </c>
      <c r="G67">
        <f t="shared" ref="G67:G100" si="17">IFERROR(VLOOKUP($A67,$W:$X,2,FALSE),-1000)</f>
        <v>-1000</v>
      </c>
      <c r="H67">
        <f t="shared" ref="H67:H100" si="18">IFERROR(VLOOKUP($A67,$Y:$Z,2,FALSE),-1000)</f>
        <v>-1000</v>
      </c>
      <c r="I67">
        <f t="shared" ref="I67:I100" si="19">IFERROR(VLOOKUP($A67,$AA:$AB,2,FALSE),-1000)</f>
        <v>-1000</v>
      </c>
      <c r="J67">
        <f t="shared" si="13"/>
        <v>-1000</v>
      </c>
      <c r="K67">
        <f t="shared" ref="K67:K100" si="20">IFERROR(VLOOKUP($A67,$AE:$AF,2,FALSE),-1000)</f>
        <v>-1000</v>
      </c>
      <c r="L67">
        <f t="shared" ref="L67:L100" si="21">IFERROR(VLOOKUP($A67,$AG:$AH,2,FALSE),-1000)</f>
        <v>-1000</v>
      </c>
      <c r="M67">
        <f t="shared" ref="M67:M100" si="22">IFERROR(VLOOKUP($A67,$AI:$AJ,2,FALSE),-1000)</f>
        <v>-1000</v>
      </c>
      <c r="N67">
        <f t="shared" ref="N67:N100" si="23">IFERROR(VLOOKUP($A67,$AK:$AL,2,FALSE),-1000)</f>
        <v>-1000</v>
      </c>
      <c r="O67">
        <f t="shared" ref="O67:O100" si="24">IFERROR(VLOOKUP($A67,$AM:$AN,2,FALSE),-1000)</f>
        <v>-1000</v>
      </c>
    </row>
    <row r="68" spans="1:15">
      <c r="A68" t="str">
        <f>IF(EventTeam!$A:$A=0,"",EventTeam!$A:$A)</f>
        <v/>
      </c>
      <c r="B68">
        <f t="shared" si="14"/>
        <v>-1000</v>
      </c>
      <c r="C68">
        <f>IFERROR(VLOOKUP($A68,TBAranking!$A:$Z,4,FALSE),-1000)</f>
        <v>-1000</v>
      </c>
      <c r="D68">
        <f t="shared" ref="D68:D100" si="25">IFERROR(VLOOKUP($A68,$Q:$R,2,FALSE),-1000)</f>
        <v>-1000</v>
      </c>
      <c r="E68">
        <f t="shared" si="15"/>
        <v>-1000</v>
      </c>
      <c r="F68">
        <f t="shared" si="16"/>
        <v>-1000</v>
      </c>
      <c r="G68">
        <f t="shared" si="17"/>
        <v>-1000</v>
      </c>
      <c r="H68">
        <f t="shared" si="18"/>
        <v>-1000</v>
      </c>
      <c r="I68">
        <f t="shared" si="19"/>
        <v>-1000</v>
      </c>
      <c r="J68">
        <f t="shared" si="13"/>
        <v>-1000</v>
      </c>
      <c r="K68">
        <f t="shared" si="20"/>
        <v>-1000</v>
      </c>
      <c r="L68">
        <f t="shared" si="21"/>
        <v>-1000</v>
      </c>
      <c r="M68">
        <f t="shared" si="22"/>
        <v>-1000</v>
      </c>
      <c r="N68">
        <f t="shared" si="23"/>
        <v>-1000</v>
      </c>
      <c r="O68">
        <f t="shared" si="24"/>
        <v>-1000</v>
      </c>
    </row>
    <row r="69" spans="1:15">
      <c r="A69" t="str">
        <f>IF(EventTeam!$A:$A=0,"",EventTeam!$A:$A)</f>
        <v/>
      </c>
      <c r="B69">
        <f t="shared" si="14"/>
        <v>-1000</v>
      </c>
      <c r="C69">
        <f>IFERROR(VLOOKUP($A69,TBAranking!$A:$Z,4,FALSE),-1000)</f>
        <v>-1000</v>
      </c>
      <c r="D69">
        <f t="shared" si="25"/>
        <v>-1000</v>
      </c>
      <c r="E69">
        <f t="shared" si="15"/>
        <v>-1000</v>
      </c>
      <c r="F69">
        <f t="shared" si="16"/>
        <v>-1000</v>
      </c>
      <c r="G69">
        <f t="shared" si="17"/>
        <v>-1000</v>
      </c>
      <c r="H69">
        <f t="shared" si="18"/>
        <v>-1000</v>
      </c>
      <c r="I69">
        <f t="shared" si="19"/>
        <v>-1000</v>
      </c>
      <c r="J69">
        <f t="shared" si="13"/>
        <v>-1000</v>
      </c>
      <c r="K69">
        <f t="shared" si="20"/>
        <v>-1000</v>
      </c>
      <c r="L69">
        <f t="shared" si="21"/>
        <v>-1000</v>
      </c>
      <c r="M69">
        <f t="shared" si="22"/>
        <v>-1000</v>
      </c>
      <c r="N69">
        <f t="shared" si="23"/>
        <v>-1000</v>
      </c>
      <c r="O69">
        <f t="shared" si="24"/>
        <v>-1000</v>
      </c>
    </row>
    <row r="70" spans="1:15">
      <c r="A70" t="str">
        <f>IF(EventTeam!$A:$A=0,"",EventTeam!$A:$A)</f>
        <v/>
      </c>
      <c r="B70">
        <f t="shared" si="14"/>
        <v>-1000</v>
      </c>
      <c r="C70">
        <f>IFERROR(VLOOKUP($A70,TBAranking!$A:$Z,4,FALSE),-1000)</f>
        <v>-1000</v>
      </c>
      <c r="D70">
        <f t="shared" si="25"/>
        <v>-1000</v>
      </c>
      <c r="E70">
        <f t="shared" si="15"/>
        <v>-1000</v>
      </c>
      <c r="F70">
        <f t="shared" si="16"/>
        <v>-1000</v>
      </c>
      <c r="G70">
        <f t="shared" si="17"/>
        <v>-1000</v>
      </c>
      <c r="H70">
        <f t="shared" si="18"/>
        <v>-1000</v>
      </c>
      <c r="I70">
        <f t="shared" si="19"/>
        <v>-1000</v>
      </c>
      <c r="J70">
        <f t="shared" si="13"/>
        <v>-1000</v>
      </c>
      <c r="K70">
        <f t="shared" si="20"/>
        <v>-1000</v>
      </c>
      <c r="L70">
        <f t="shared" si="21"/>
        <v>-1000</v>
      </c>
      <c r="M70">
        <f t="shared" si="22"/>
        <v>-1000</v>
      </c>
      <c r="N70">
        <f t="shared" si="23"/>
        <v>-1000</v>
      </c>
      <c r="O70">
        <f t="shared" si="24"/>
        <v>-1000</v>
      </c>
    </row>
    <row r="71" spans="1:15">
      <c r="A71" t="str">
        <f>IF(EventTeam!$A:$A=0,"",EventTeam!$A:$A)</f>
        <v/>
      </c>
      <c r="B71">
        <f t="shared" si="14"/>
        <v>-1000</v>
      </c>
      <c r="C71">
        <f>IFERROR(VLOOKUP($A71,TBAranking!$A:$Z,4,FALSE),-1000)</f>
        <v>-1000</v>
      </c>
      <c r="D71">
        <f t="shared" si="25"/>
        <v>-1000</v>
      </c>
      <c r="E71">
        <f t="shared" si="15"/>
        <v>-1000</v>
      </c>
      <c r="F71">
        <f t="shared" si="16"/>
        <v>-1000</v>
      </c>
      <c r="G71">
        <f t="shared" si="17"/>
        <v>-1000</v>
      </c>
      <c r="H71">
        <f t="shared" si="18"/>
        <v>-1000</v>
      </c>
      <c r="I71">
        <f t="shared" si="19"/>
        <v>-1000</v>
      </c>
      <c r="J71">
        <f t="shared" si="13"/>
        <v>-1000</v>
      </c>
      <c r="K71">
        <f t="shared" si="20"/>
        <v>-1000</v>
      </c>
      <c r="L71">
        <f t="shared" si="21"/>
        <v>-1000</v>
      </c>
      <c r="M71">
        <f t="shared" si="22"/>
        <v>-1000</v>
      </c>
      <c r="N71">
        <f t="shared" si="23"/>
        <v>-1000</v>
      </c>
      <c r="O71">
        <f t="shared" si="24"/>
        <v>-1000</v>
      </c>
    </row>
    <row r="72" spans="1:15">
      <c r="A72" t="str">
        <f>IF(EventTeam!$A:$A=0,"",EventTeam!$A:$A)</f>
        <v/>
      </c>
      <c r="B72">
        <f t="shared" si="14"/>
        <v>-1000</v>
      </c>
      <c r="C72">
        <f>IFERROR(VLOOKUP($A72,TBAranking!$A:$Z,4,FALSE),-1000)</f>
        <v>-1000</v>
      </c>
      <c r="D72">
        <f t="shared" si="25"/>
        <v>-1000</v>
      </c>
      <c r="E72">
        <f t="shared" si="15"/>
        <v>-1000</v>
      </c>
      <c r="F72">
        <f t="shared" si="16"/>
        <v>-1000</v>
      </c>
      <c r="G72">
        <f t="shared" si="17"/>
        <v>-1000</v>
      </c>
      <c r="H72">
        <f t="shared" si="18"/>
        <v>-1000</v>
      </c>
      <c r="I72">
        <f t="shared" si="19"/>
        <v>-1000</v>
      </c>
      <c r="J72">
        <f t="shared" si="13"/>
        <v>-1000</v>
      </c>
      <c r="K72">
        <f t="shared" si="20"/>
        <v>-1000</v>
      </c>
      <c r="L72">
        <f t="shared" si="21"/>
        <v>-1000</v>
      </c>
      <c r="M72">
        <f t="shared" si="22"/>
        <v>-1000</v>
      </c>
      <c r="N72">
        <f t="shared" si="23"/>
        <v>-1000</v>
      </c>
      <c r="O72">
        <f t="shared" si="24"/>
        <v>-1000</v>
      </c>
    </row>
    <row r="73" spans="1:15">
      <c r="A73" t="str">
        <f>IF(EventTeam!$A:$A=0,"",EventTeam!$A:$A)</f>
        <v/>
      </c>
      <c r="B73">
        <f t="shared" si="14"/>
        <v>-1000</v>
      </c>
      <c r="C73">
        <f>IFERROR(VLOOKUP($A73,TBAranking!$A:$Z,4,FALSE),-1000)</f>
        <v>-1000</v>
      </c>
      <c r="D73">
        <f t="shared" si="25"/>
        <v>-1000</v>
      </c>
      <c r="E73">
        <f t="shared" si="15"/>
        <v>-1000</v>
      </c>
      <c r="F73">
        <f t="shared" si="16"/>
        <v>-1000</v>
      </c>
      <c r="G73">
        <f t="shared" si="17"/>
        <v>-1000</v>
      </c>
      <c r="H73">
        <f t="shared" si="18"/>
        <v>-1000</v>
      </c>
      <c r="I73">
        <f t="shared" si="19"/>
        <v>-1000</v>
      </c>
      <c r="J73">
        <f t="shared" si="13"/>
        <v>-1000</v>
      </c>
      <c r="K73">
        <f t="shared" si="20"/>
        <v>-1000</v>
      </c>
      <c r="L73">
        <f t="shared" si="21"/>
        <v>-1000</v>
      </c>
      <c r="M73">
        <f t="shared" si="22"/>
        <v>-1000</v>
      </c>
      <c r="N73">
        <f t="shared" si="23"/>
        <v>-1000</v>
      </c>
      <c r="O73">
        <f t="shared" si="24"/>
        <v>-1000</v>
      </c>
    </row>
    <row r="74" spans="1:15">
      <c r="A74" t="str">
        <f>IF(EventTeam!$A:$A=0,"",EventTeam!$A:$A)</f>
        <v/>
      </c>
      <c r="B74">
        <f t="shared" si="14"/>
        <v>-1000</v>
      </c>
      <c r="C74">
        <f>IFERROR(VLOOKUP($A74,TBAranking!$A:$Z,4,FALSE),-1000)</f>
        <v>-1000</v>
      </c>
      <c r="D74">
        <f t="shared" si="25"/>
        <v>-1000</v>
      </c>
      <c r="E74">
        <f t="shared" si="15"/>
        <v>-1000</v>
      </c>
      <c r="F74">
        <f t="shared" si="16"/>
        <v>-1000</v>
      </c>
      <c r="G74">
        <f t="shared" si="17"/>
        <v>-1000</v>
      </c>
      <c r="H74">
        <f t="shared" si="18"/>
        <v>-1000</v>
      </c>
      <c r="I74">
        <f t="shared" si="19"/>
        <v>-1000</v>
      </c>
      <c r="J74">
        <f t="shared" si="13"/>
        <v>-1000</v>
      </c>
      <c r="K74">
        <f t="shared" si="20"/>
        <v>-1000</v>
      </c>
      <c r="L74">
        <f t="shared" si="21"/>
        <v>-1000</v>
      </c>
      <c r="M74">
        <f t="shared" si="22"/>
        <v>-1000</v>
      </c>
      <c r="N74">
        <f t="shared" si="23"/>
        <v>-1000</v>
      </c>
      <c r="O74">
        <f t="shared" si="24"/>
        <v>-1000</v>
      </c>
    </row>
    <row r="75" spans="1:15">
      <c r="A75" t="str">
        <f>IF(EventTeam!$A:$A=0,"",EventTeam!$A:$A)</f>
        <v/>
      </c>
      <c r="B75">
        <f t="shared" si="14"/>
        <v>-1000</v>
      </c>
      <c r="C75">
        <f>IFERROR(VLOOKUP($A75,TBAranking!$A:$Z,4,FALSE),-1000)</f>
        <v>-1000</v>
      </c>
      <c r="D75">
        <f t="shared" si="25"/>
        <v>-1000</v>
      </c>
      <c r="E75">
        <f t="shared" si="15"/>
        <v>-1000</v>
      </c>
      <c r="F75">
        <f t="shared" si="16"/>
        <v>-1000</v>
      </c>
      <c r="G75">
        <f t="shared" si="17"/>
        <v>-1000</v>
      </c>
      <c r="H75">
        <f t="shared" si="18"/>
        <v>-1000</v>
      </c>
      <c r="I75">
        <f t="shared" si="19"/>
        <v>-1000</v>
      </c>
      <c r="J75">
        <f t="shared" si="13"/>
        <v>-1000</v>
      </c>
      <c r="K75">
        <f t="shared" si="20"/>
        <v>-1000</v>
      </c>
      <c r="L75">
        <f t="shared" si="21"/>
        <v>-1000</v>
      </c>
      <c r="M75">
        <f t="shared" si="22"/>
        <v>-1000</v>
      </c>
      <c r="N75">
        <f t="shared" si="23"/>
        <v>-1000</v>
      </c>
      <c r="O75">
        <f t="shared" si="24"/>
        <v>-1000</v>
      </c>
    </row>
    <row r="76" spans="1:15">
      <c r="A76" t="str">
        <f>IF(EventTeam!$A:$A=0,"",EventTeam!$A:$A)</f>
        <v/>
      </c>
      <c r="B76">
        <f t="shared" si="14"/>
        <v>-1000</v>
      </c>
      <c r="C76">
        <f>IFERROR(VLOOKUP($A76,TBAranking!$A:$Z,4,FALSE),-1000)</f>
        <v>-1000</v>
      </c>
      <c r="D76">
        <f t="shared" si="25"/>
        <v>-1000</v>
      </c>
      <c r="E76">
        <f t="shared" si="15"/>
        <v>-1000</v>
      </c>
      <c r="F76">
        <f t="shared" si="16"/>
        <v>-1000</v>
      </c>
      <c r="G76">
        <f t="shared" si="17"/>
        <v>-1000</v>
      </c>
      <c r="H76">
        <f t="shared" si="18"/>
        <v>-1000</v>
      </c>
      <c r="I76">
        <f t="shared" si="19"/>
        <v>-1000</v>
      </c>
      <c r="J76">
        <f t="shared" si="13"/>
        <v>-1000</v>
      </c>
      <c r="K76">
        <f t="shared" si="20"/>
        <v>-1000</v>
      </c>
      <c r="L76">
        <f t="shared" si="21"/>
        <v>-1000</v>
      </c>
      <c r="M76">
        <f t="shared" si="22"/>
        <v>-1000</v>
      </c>
      <c r="N76">
        <f t="shared" si="23"/>
        <v>-1000</v>
      </c>
      <c r="O76">
        <f t="shared" si="24"/>
        <v>-1000</v>
      </c>
    </row>
    <row r="77" spans="1:15">
      <c r="A77" t="str">
        <f>IF(EventTeam!$A:$A=0,"",EventTeam!$A:$A)</f>
        <v/>
      </c>
      <c r="B77">
        <f t="shared" si="14"/>
        <v>-1000</v>
      </c>
      <c r="C77">
        <f>IFERROR(VLOOKUP($A77,TBAranking!$A:$Z,4,FALSE),-1000)</f>
        <v>-1000</v>
      </c>
      <c r="D77">
        <f t="shared" si="25"/>
        <v>-1000</v>
      </c>
      <c r="E77">
        <f t="shared" si="15"/>
        <v>-1000</v>
      </c>
      <c r="F77">
        <f t="shared" si="16"/>
        <v>-1000</v>
      </c>
      <c r="G77">
        <f t="shared" si="17"/>
        <v>-1000</v>
      </c>
      <c r="H77">
        <f t="shared" si="18"/>
        <v>-1000</v>
      </c>
      <c r="I77">
        <f t="shared" si="19"/>
        <v>-1000</v>
      </c>
      <c r="J77">
        <f t="shared" si="13"/>
        <v>-1000</v>
      </c>
      <c r="K77">
        <f t="shared" si="20"/>
        <v>-1000</v>
      </c>
      <c r="L77">
        <f t="shared" si="21"/>
        <v>-1000</v>
      </c>
      <c r="M77">
        <f t="shared" si="22"/>
        <v>-1000</v>
      </c>
      <c r="N77">
        <f t="shared" si="23"/>
        <v>-1000</v>
      </c>
      <c r="O77">
        <f t="shared" si="24"/>
        <v>-1000</v>
      </c>
    </row>
    <row r="78" spans="1:15">
      <c r="A78" t="str">
        <f>IF(EventTeam!$A:$A=0,"",EventTeam!$A:$A)</f>
        <v/>
      </c>
      <c r="B78">
        <f t="shared" si="14"/>
        <v>-1000</v>
      </c>
      <c r="C78">
        <f>IFERROR(VLOOKUP($A78,TBAranking!$A:$Z,4,FALSE),-1000)</f>
        <v>-1000</v>
      </c>
      <c r="D78">
        <f t="shared" si="25"/>
        <v>-1000</v>
      </c>
      <c r="E78">
        <f t="shared" si="15"/>
        <v>-1000</v>
      </c>
      <c r="F78">
        <f t="shared" si="16"/>
        <v>-1000</v>
      </c>
      <c r="G78">
        <f t="shared" si="17"/>
        <v>-1000</v>
      </c>
      <c r="H78">
        <f t="shared" si="18"/>
        <v>-1000</v>
      </c>
      <c r="I78">
        <f t="shared" si="19"/>
        <v>-1000</v>
      </c>
      <c r="J78">
        <f t="shared" si="13"/>
        <v>-1000</v>
      </c>
      <c r="K78">
        <f t="shared" si="20"/>
        <v>-1000</v>
      </c>
      <c r="L78">
        <f t="shared" si="21"/>
        <v>-1000</v>
      </c>
      <c r="M78">
        <f t="shared" si="22"/>
        <v>-1000</v>
      </c>
      <c r="N78">
        <f t="shared" si="23"/>
        <v>-1000</v>
      </c>
      <c r="O78">
        <f t="shared" si="24"/>
        <v>-1000</v>
      </c>
    </row>
    <row r="79" spans="1:15">
      <c r="A79" t="str">
        <f>IF(EventTeam!$A:$A=0,"",EventTeam!$A:$A)</f>
        <v/>
      </c>
      <c r="B79">
        <f t="shared" si="14"/>
        <v>-1000</v>
      </c>
      <c r="C79">
        <f>IFERROR(VLOOKUP($A79,TBAranking!$A:$Z,4,FALSE),-1000)</f>
        <v>-1000</v>
      </c>
      <c r="D79">
        <f t="shared" si="25"/>
        <v>-1000</v>
      </c>
      <c r="E79">
        <f t="shared" si="15"/>
        <v>-1000</v>
      </c>
      <c r="F79">
        <f t="shared" si="16"/>
        <v>-1000</v>
      </c>
      <c r="G79">
        <f t="shared" si="17"/>
        <v>-1000</v>
      </c>
      <c r="H79">
        <f t="shared" si="18"/>
        <v>-1000</v>
      </c>
      <c r="I79">
        <f t="shared" si="19"/>
        <v>-1000</v>
      </c>
      <c r="J79">
        <f t="shared" si="13"/>
        <v>-1000</v>
      </c>
      <c r="K79">
        <f t="shared" si="20"/>
        <v>-1000</v>
      </c>
      <c r="L79">
        <f t="shared" si="21"/>
        <v>-1000</v>
      </c>
      <c r="M79">
        <f t="shared" si="22"/>
        <v>-1000</v>
      </c>
      <c r="N79">
        <f t="shared" si="23"/>
        <v>-1000</v>
      </c>
      <c r="O79">
        <f t="shared" si="24"/>
        <v>-1000</v>
      </c>
    </row>
    <row r="80" spans="1:15">
      <c r="A80" t="str">
        <f>IF(EventTeam!$A:$A=0,"",EventTeam!$A:$A)</f>
        <v/>
      </c>
      <c r="B80">
        <f t="shared" si="14"/>
        <v>-1000</v>
      </c>
      <c r="C80">
        <f>IFERROR(VLOOKUP($A80,TBAranking!$A:$Z,4,FALSE),-1000)</f>
        <v>-1000</v>
      </c>
      <c r="D80">
        <f t="shared" si="25"/>
        <v>-1000</v>
      </c>
      <c r="E80">
        <f t="shared" si="15"/>
        <v>-1000</v>
      </c>
      <c r="F80">
        <f t="shared" si="16"/>
        <v>-1000</v>
      </c>
      <c r="G80">
        <f t="shared" si="17"/>
        <v>-1000</v>
      </c>
      <c r="H80">
        <f t="shared" si="18"/>
        <v>-1000</v>
      </c>
      <c r="I80">
        <f t="shared" si="19"/>
        <v>-1000</v>
      </c>
      <c r="J80">
        <f t="shared" si="13"/>
        <v>-1000</v>
      </c>
      <c r="K80">
        <f t="shared" si="20"/>
        <v>-1000</v>
      </c>
      <c r="L80">
        <f t="shared" si="21"/>
        <v>-1000</v>
      </c>
      <c r="M80">
        <f t="shared" si="22"/>
        <v>-1000</v>
      </c>
      <c r="N80">
        <f t="shared" si="23"/>
        <v>-1000</v>
      </c>
      <c r="O80">
        <f t="shared" si="24"/>
        <v>-1000</v>
      </c>
    </row>
    <row r="81" spans="1:15">
      <c r="A81" t="str">
        <f>IF(EventTeam!$A:$A=0,"",EventTeam!$A:$A)</f>
        <v/>
      </c>
      <c r="B81">
        <f t="shared" si="14"/>
        <v>-1000</v>
      </c>
      <c r="C81">
        <f>IFERROR(VLOOKUP($A81,TBAranking!$A:$Z,4,FALSE),-1000)</f>
        <v>-1000</v>
      </c>
      <c r="D81">
        <f t="shared" si="25"/>
        <v>-1000</v>
      </c>
      <c r="E81">
        <f t="shared" si="15"/>
        <v>-1000</v>
      </c>
      <c r="F81">
        <f t="shared" si="16"/>
        <v>-1000</v>
      </c>
      <c r="G81">
        <f t="shared" si="17"/>
        <v>-1000</v>
      </c>
      <c r="H81">
        <f t="shared" si="18"/>
        <v>-1000</v>
      </c>
      <c r="I81">
        <f t="shared" si="19"/>
        <v>-1000</v>
      </c>
      <c r="J81">
        <f t="shared" si="13"/>
        <v>-1000</v>
      </c>
      <c r="K81">
        <f t="shared" si="20"/>
        <v>-1000</v>
      </c>
      <c r="L81">
        <f t="shared" si="21"/>
        <v>-1000</v>
      </c>
      <c r="M81">
        <f t="shared" si="22"/>
        <v>-1000</v>
      </c>
      <c r="N81">
        <f t="shared" si="23"/>
        <v>-1000</v>
      </c>
      <c r="O81">
        <f t="shared" si="24"/>
        <v>-1000</v>
      </c>
    </row>
    <row r="82" spans="1:15">
      <c r="A82" t="str">
        <f>IF(EventTeam!$A:$A=0,"",EventTeam!$A:$A)</f>
        <v/>
      </c>
      <c r="B82">
        <f t="shared" si="14"/>
        <v>-1000</v>
      </c>
      <c r="C82">
        <f>IFERROR(VLOOKUP($A82,TBAranking!$A:$Z,4,FALSE),-1000)</f>
        <v>-1000</v>
      </c>
      <c r="D82">
        <f t="shared" si="25"/>
        <v>-1000</v>
      </c>
      <c r="E82">
        <f t="shared" si="15"/>
        <v>-1000</v>
      </c>
      <c r="F82">
        <f t="shared" si="16"/>
        <v>-1000</v>
      </c>
      <c r="G82">
        <f t="shared" si="17"/>
        <v>-1000</v>
      </c>
      <c r="H82">
        <f t="shared" si="18"/>
        <v>-1000</v>
      </c>
      <c r="I82">
        <f t="shared" si="19"/>
        <v>-1000</v>
      </c>
      <c r="J82">
        <f t="shared" si="13"/>
        <v>-1000</v>
      </c>
      <c r="K82">
        <f t="shared" si="20"/>
        <v>-1000</v>
      </c>
      <c r="L82">
        <f t="shared" si="21"/>
        <v>-1000</v>
      </c>
      <c r="M82">
        <f t="shared" si="22"/>
        <v>-1000</v>
      </c>
      <c r="N82">
        <f t="shared" si="23"/>
        <v>-1000</v>
      </c>
      <c r="O82">
        <f t="shared" si="24"/>
        <v>-1000</v>
      </c>
    </row>
    <row r="83" spans="1:15">
      <c r="A83" t="str">
        <f>IF(EventTeam!$A:$A=0,"",EventTeam!$A:$A)</f>
        <v/>
      </c>
      <c r="B83">
        <f t="shared" si="14"/>
        <v>-1000</v>
      </c>
      <c r="C83">
        <f>IFERROR(VLOOKUP($A83,TBAranking!$A:$Z,4,FALSE),-1000)</f>
        <v>-1000</v>
      </c>
      <c r="D83">
        <f t="shared" si="25"/>
        <v>-1000</v>
      </c>
      <c r="E83">
        <f t="shared" si="15"/>
        <v>-1000</v>
      </c>
      <c r="F83">
        <f t="shared" si="16"/>
        <v>-1000</v>
      </c>
      <c r="G83">
        <f t="shared" si="17"/>
        <v>-1000</v>
      </c>
      <c r="H83">
        <f t="shared" si="18"/>
        <v>-1000</v>
      </c>
      <c r="I83">
        <f t="shared" si="19"/>
        <v>-1000</v>
      </c>
      <c r="J83">
        <f t="shared" si="13"/>
        <v>-1000</v>
      </c>
      <c r="K83">
        <f t="shared" si="20"/>
        <v>-1000</v>
      </c>
      <c r="L83">
        <f t="shared" si="21"/>
        <v>-1000</v>
      </c>
      <c r="M83">
        <f t="shared" si="22"/>
        <v>-1000</v>
      </c>
      <c r="N83">
        <f t="shared" si="23"/>
        <v>-1000</v>
      </c>
      <c r="O83">
        <f t="shared" si="24"/>
        <v>-1000</v>
      </c>
    </row>
    <row r="84" spans="1:15">
      <c r="A84" t="str">
        <f>IF(EventTeam!$A:$A=0,"",EventTeam!$A:$A)</f>
        <v/>
      </c>
      <c r="B84">
        <f t="shared" si="14"/>
        <v>-1000</v>
      </c>
      <c r="C84">
        <f>IFERROR(VLOOKUP($A84,TBAranking!$A:$Z,4,FALSE),-1000)</f>
        <v>-1000</v>
      </c>
      <c r="D84">
        <f t="shared" si="25"/>
        <v>-1000</v>
      </c>
      <c r="E84">
        <f t="shared" si="15"/>
        <v>-1000</v>
      </c>
      <c r="F84">
        <f t="shared" si="16"/>
        <v>-1000</v>
      </c>
      <c r="G84">
        <f t="shared" si="17"/>
        <v>-1000</v>
      </c>
      <c r="H84">
        <f t="shared" si="18"/>
        <v>-1000</v>
      </c>
      <c r="I84">
        <f t="shared" si="19"/>
        <v>-1000</v>
      </c>
      <c r="J84">
        <f t="shared" si="13"/>
        <v>-1000</v>
      </c>
      <c r="K84">
        <f t="shared" si="20"/>
        <v>-1000</v>
      </c>
      <c r="L84">
        <f t="shared" si="21"/>
        <v>-1000</v>
      </c>
      <c r="M84">
        <f t="shared" si="22"/>
        <v>-1000</v>
      </c>
      <c r="N84">
        <f t="shared" si="23"/>
        <v>-1000</v>
      </c>
      <c r="O84">
        <f t="shared" si="24"/>
        <v>-1000</v>
      </c>
    </row>
    <row r="85" spans="1:15">
      <c r="A85" t="str">
        <f>IF(EventTeam!$A:$A=0,"",EventTeam!$A:$A)</f>
        <v/>
      </c>
      <c r="B85">
        <f t="shared" si="14"/>
        <v>-1000</v>
      </c>
      <c r="C85">
        <f>IFERROR(VLOOKUP($A85,TBAranking!$A:$Z,4,FALSE),-1000)</f>
        <v>-1000</v>
      </c>
      <c r="D85">
        <f t="shared" si="25"/>
        <v>-1000</v>
      </c>
      <c r="E85">
        <f t="shared" si="15"/>
        <v>-1000</v>
      </c>
      <c r="F85">
        <f t="shared" si="16"/>
        <v>-1000</v>
      </c>
      <c r="G85">
        <f t="shared" si="17"/>
        <v>-1000</v>
      </c>
      <c r="H85">
        <f t="shared" si="18"/>
        <v>-1000</v>
      </c>
      <c r="I85">
        <f t="shared" si="19"/>
        <v>-1000</v>
      </c>
      <c r="J85">
        <f t="shared" si="13"/>
        <v>-1000</v>
      </c>
      <c r="K85">
        <f t="shared" si="20"/>
        <v>-1000</v>
      </c>
      <c r="L85">
        <f t="shared" si="21"/>
        <v>-1000</v>
      </c>
      <c r="M85">
        <f t="shared" si="22"/>
        <v>-1000</v>
      </c>
      <c r="N85">
        <f t="shared" si="23"/>
        <v>-1000</v>
      </c>
      <c r="O85">
        <f t="shared" si="24"/>
        <v>-1000</v>
      </c>
    </row>
    <row r="86" spans="1:15">
      <c r="A86" t="str">
        <f>IF(EventTeam!$A:$A=0,"",EventTeam!$A:$A)</f>
        <v/>
      </c>
      <c r="B86">
        <f t="shared" si="14"/>
        <v>-1000</v>
      </c>
      <c r="C86">
        <f>IFERROR(VLOOKUP($A86,TBAranking!$A:$Z,4,FALSE),-1000)</f>
        <v>-1000</v>
      </c>
      <c r="D86">
        <f t="shared" si="25"/>
        <v>-1000</v>
      </c>
      <c r="E86">
        <f t="shared" si="15"/>
        <v>-1000</v>
      </c>
      <c r="F86">
        <f t="shared" si="16"/>
        <v>-1000</v>
      </c>
      <c r="G86">
        <f t="shared" si="17"/>
        <v>-1000</v>
      </c>
      <c r="H86">
        <f t="shared" si="18"/>
        <v>-1000</v>
      </c>
      <c r="I86">
        <f t="shared" si="19"/>
        <v>-1000</v>
      </c>
      <c r="J86">
        <f t="shared" si="13"/>
        <v>-1000</v>
      </c>
      <c r="K86">
        <f t="shared" si="20"/>
        <v>-1000</v>
      </c>
      <c r="L86">
        <f t="shared" si="21"/>
        <v>-1000</v>
      </c>
      <c r="M86">
        <f t="shared" si="22"/>
        <v>-1000</v>
      </c>
      <c r="N86">
        <f t="shared" si="23"/>
        <v>-1000</v>
      </c>
      <c r="O86">
        <f t="shared" si="24"/>
        <v>-1000</v>
      </c>
    </row>
    <row r="87" spans="1:15">
      <c r="A87" t="str">
        <f>IF(EventTeam!$A:$A=0,"",EventTeam!$A:$A)</f>
        <v/>
      </c>
      <c r="B87">
        <f t="shared" si="14"/>
        <v>-1000</v>
      </c>
      <c r="C87">
        <f>IFERROR(VLOOKUP($A87,TBAranking!$A:$Z,4,FALSE),-1000)</f>
        <v>-1000</v>
      </c>
      <c r="D87">
        <f t="shared" si="25"/>
        <v>-1000</v>
      </c>
      <c r="E87">
        <f t="shared" si="15"/>
        <v>-1000</v>
      </c>
      <c r="F87">
        <f t="shared" si="16"/>
        <v>-1000</v>
      </c>
      <c r="G87">
        <f t="shared" si="17"/>
        <v>-1000</v>
      </c>
      <c r="H87">
        <f t="shared" si="18"/>
        <v>-1000</v>
      </c>
      <c r="I87">
        <f t="shared" si="19"/>
        <v>-1000</v>
      </c>
      <c r="J87">
        <f t="shared" si="13"/>
        <v>-1000</v>
      </c>
      <c r="K87">
        <f t="shared" si="20"/>
        <v>-1000</v>
      </c>
      <c r="L87">
        <f t="shared" si="21"/>
        <v>-1000</v>
      </c>
      <c r="M87">
        <f t="shared" si="22"/>
        <v>-1000</v>
      </c>
      <c r="N87">
        <f t="shared" si="23"/>
        <v>-1000</v>
      </c>
      <c r="O87">
        <f t="shared" si="24"/>
        <v>-1000</v>
      </c>
    </row>
    <row r="88" spans="1:15">
      <c r="A88" t="str">
        <f>IF(EventTeam!$A:$A=0,"",EventTeam!$A:$A)</f>
        <v/>
      </c>
      <c r="B88">
        <f t="shared" si="14"/>
        <v>-1000</v>
      </c>
      <c r="C88">
        <f>IFERROR(VLOOKUP($A88,TBAranking!$A:$Z,4,FALSE),-1000)</f>
        <v>-1000</v>
      </c>
      <c r="D88">
        <f t="shared" si="25"/>
        <v>-1000</v>
      </c>
      <c r="E88">
        <f t="shared" si="15"/>
        <v>-1000</v>
      </c>
      <c r="F88">
        <f t="shared" si="16"/>
        <v>-1000</v>
      </c>
      <c r="G88">
        <f t="shared" si="17"/>
        <v>-1000</v>
      </c>
      <c r="H88">
        <f t="shared" si="18"/>
        <v>-1000</v>
      </c>
      <c r="I88">
        <f t="shared" si="19"/>
        <v>-1000</v>
      </c>
      <c r="J88">
        <f t="shared" si="13"/>
        <v>-1000</v>
      </c>
      <c r="K88">
        <f t="shared" si="20"/>
        <v>-1000</v>
      </c>
      <c r="L88">
        <f t="shared" si="21"/>
        <v>-1000</v>
      </c>
      <c r="M88">
        <f t="shared" si="22"/>
        <v>-1000</v>
      </c>
      <c r="N88">
        <f t="shared" si="23"/>
        <v>-1000</v>
      </c>
      <c r="O88">
        <f t="shared" si="24"/>
        <v>-1000</v>
      </c>
    </row>
    <row r="89" spans="1:15">
      <c r="A89" t="str">
        <f>IF(EventTeam!$A:$A=0,"",EventTeam!$A:$A)</f>
        <v/>
      </c>
      <c r="B89">
        <f t="shared" si="14"/>
        <v>-1000</v>
      </c>
      <c r="C89">
        <f>IFERROR(VLOOKUP($A89,TBAranking!$A:$Z,4,FALSE),-1000)</f>
        <v>-1000</v>
      </c>
      <c r="D89">
        <f t="shared" si="25"/>
        <v>-1000</v>
      </c>
      <c r="E89">
        <f t="shared" si="15"/>
        <v>-1000</v>
      </c>
      <c r="F89">
        <f t="shared" si="16"/>
        <v>-1000</v>
      </c>
      <c r="G89">
        <f t="shared" si="17"/>
        <v>-1000</v>
      </c>
      <c r="H89">
        <f t="shared" si="18"/>
        <v>-1000</v>
      </c>
      <c r="I89">
        <f t="shared" si="19"/>
        <v>-1000</v>
      </c>
      <c r="J89">
        <f t="shared" si="13"/>
        <v>-1000</v>
      </c>
      <c r="K89">
        <f t="shared" si="20"/>
        <v>-1000</v>
      </c>
      <c r="L89">
        <f t="shared" si="21"/>
        <v>-1000</v>
      </c>
      <c r="M89">
        <f t="shared" si="22"/>
        <v>-1000</v>
      </c>
      <c r="N89">
        <f t="shared" si="23"/>
        <v>-1000</v>
      </c>
      <c r="O89">
        <f t="shared" si="24"/>
        <v>-1000</v>
      </c>
    </row>
    <row r="90" spans="1:15">
      <c r="A90" t="str">
        <f>IF(EventTeam!$A:$A=0,"",EventTeam!$A:$A)</f>
        <v/>
      </c>
      <c r="B90">
        <f t="shared" si="14"/>
        <v>-1000</v>
      </c>
      <c r="C90">
        <f>IFERROR(VLOOKUP($A90,TBAranking!$A:$Z,4,FALSE),-1000)</f>
        <v>-1000</v>
      </c>
      <c r="D90">
        <f t="shared" si="25"/>
        <v>-1000</v>
      </c>
      <c r="E90">
        <f t="shared" si="15"/>
        <v>-1000</v>
      </c>
      <c r="F90">
        <f t="shared" si="16"/>
        <v>-1000</v>
      </c>
      <c r="G90">
        <f t="shared" si="17"/>
        <v>-1000</v>
      </c>
      <c r="H90">
        <f t="shared" si="18"/>
        <v>-1000</v>
      </c>
      <c r="I90">
        <f t="shared" si="19"/>
        <v>-1000</v>
      </c>
      <c r="J90">
        <f t="shared" si="13"/>
        <v>-1000</v>
      </c>
      <c r="K90">
        <f t="shared" si="20"/>
        <v>-1000</v>
      </c>
      <c r="L90">
        <f t="shared" si="21"/>
        <v>-1000</v>
      </c>
      <c r="M90">
        <f t="shared" si="22"/>
        <v>-1000</v>
      </c>
      <c r="N90">
        <f t="shared" si="23"/>
        <v>-1000</v>
      </c>
      <c r="O90">
        <f t="shared" si="24"/>
        <v>-1000</v>
      </c>
    </row>
    <row r="91" spans="1:15">
      <c r="A91" t="str">
        <f>IF(EventTeam!$A:$A=0,"",EventTeam!$A:$A)</f>
        <v/>
      </c>
      <c r="B91">
        <f t="shared" si="14"/>
        <v>-1000</v>
      </c>
      <c r="C91">
        <f>IFERROR(VLOOKUP($A91,TBAranking!$A:$Z,4,FALSE),-1000)</f>
        <v>-1000</v>
      </c>
      <c r="D91">
        <f t="shared" si="25"/>
        <v>-1000</v>
      </c>
      <c r="E91">
        <f t="shared" si="15"/>
        <v>-1000</v>
      </c>
      <c r="F91">
        <f t="shared" si="16"/>
        <v>-1000</v>
      </c>
      <c r="G91">
        <f t="shared" si="17"/>
        <v>-1000</v>
      </c>
      <c r="H91">
        <f t="shared" si="18"/>
        <v>-1000</v>
      </c>
      <c r="I91">
        <f t="shared" si="19"/>
        <v>-1000</v>
      </c>
      <c r="J91">
        <f t="shared" si="13"/>
        <v>-1000</v>
      </c>
      <c r="K91">
        <f t="shared" si="20"/>
        <v>-1000</v>
      </c>
      <c r="L91">
        <f t="shared" si="21"/>
        <v>-1000</v>
      </c>
      <c r="M91">
        <f t="shared" si="22"/>
        <v>-1000</v>
      </c>
      <c r="N91">
        <f t="shared" si="23"/>
        <v>-1000</v>
      </c>
      <c r="O91">
        <f t="shared" si="24"/>
        <v>-1000</v>
      </c>
    </row>
    <row r="92" spans="1:15">
      <c r="A92" t="str">
        <f>IF(EventTeam!$A:$A=0,"",EventTeam!$A:$A)</f>
        <v/>
      </c>
      <c r="B92">
        <f t="shared" si="14"/>
        <v>-1000</v>
      </c>
      <c r="C92">
        <f>IFERROR(VLOOKUP($A92,TBAranking!$A:$Z,4,FALSE),-1000)</f>
        <v>-1000</v>
      </c>
      <c r="D92">
        <f t="shared" si="25"/>
        <v>-1000</v>
      </c>
      <c r="E92">
        <f t="shared" si="15"/>
        <v>-1000</v>
      </c>
      <c r="F92">
        <f t="shared" si="16"/>
        <v>-1000</v>
      </c>
      <c r="G92">
        <f t="shared" si="17"/>
        <v>-1000</v>
      </c>
      <c r="H92">
        <f t="shared" si="18"/>
        <v>-1000</v>
      </c>
      <c r="I92">
        <f t="shared" si="19"/>
        <v>-1000</v>
      </c>
      <c r="J92">
        <f t="shared" si="13"/>
        <v>-1000</v>
      </c>
      <c r="K92">
        <f t="shared" si="20"/>
        <v>-1000</v>
      </c>
      <c r="L92">
        <f t="shared" si="21"/>
        <v>-1000</v>
      </c>
      <c r="M92">
        <f t="shared" si="22"/>
        <v>-1000</v>
      </c>
      <c r="N92">
        <f t="shared" si="23"/>
        <v>-1000</v>
      </c>
      <c r="O92">
        <f t="shared" si="24"/>
        <v>-1000</v>
      </c>
    </row>
    <row r="93" spans="1:15">
      <c r="A93" t="str">
        <f>IF(EventTeam!$A:$A=0,"",EventTeam!$A:$A)</f>
        <v/>
      </c>
      <c r="B93">
        <f t="shared" si="14"/>
        <v>-1000</v>
      </c>
      <c r="C93">
        <f>IFERROR(VLOOKUP($A93,TBAranking!$A:$Z,4,FALSE),-1000)</f>
        <v>-1000</v>
      </c>
      <c r="D93">
        <f t="shared" si="25"/>
        <v>-1000</v>
      </c>
      <c r="E93">
        <f t="shared" si="15"/>
        <v>-1000</v>
      </c>
      <c r="F93">
        <f t="shared" si="16"/>
        <v>-1000</v>
      </c>
      <c r="G93">
        <f t="shared" si="17"/>
        <v>-1000</v>
      </c>
      <c r="H93">
        <f t="shared" si="18"/>
        <v>-1000</v>
      </c>
      <c r="I93">
        <f t="shared" si="19"/>
        <v>-1000</v>
      </c>
      <c r="J93">
        <f t="shared" si="13"/>
        <v>-1000</v>
      </c>
      <c r="K93">
        <f t="shared" si="20"/>
        <v>-1000</v>
      </c>
      <c r="L93">
        <f t="shared" si="21"/>
        <v>-1000</v>
      </c>
      <c r="M93">
        <f t="shared" si="22"/>
        <v>-1000</v>
      </c>
      <c r="N93">
        <f t="shared" si="23"/>
        <v>-1000</v>
      </c>
      <c r="O93">
        <f t="shared" si="24"/>
        <v>-1000</v>
      </c>
    </row>
    <row r="94" spans="1:15">
      <c r="A94" t="str">
        <f>IF(EventTeam!$A:$A=0,"",EventTeam!$A:$A)</f>
        <v/>
      </c>
      <c r="B94">
        <f t="shared" si="14"/>
        <v>-1000</v>
      </c>
      <c r="C94">
        <f>IFERROR(VLOOKUP($A94,TBAranking!$A:$Z,4,FALSE),-1000)</f>
        <v>-1000</v>
      </c>
      <c r="D94">
        <f t="shared" si="25"/>
        <v>-1000</v>
      </c>
      <c r="E94">
        <f t="shared" si="15"/>
        <v>-1000</v>
      </c>
      <c r="F94">
        <f t="shared" si="16"/>
        <v>-1000</v>
      </c>
      <c r="G94">
        <f t="shared" si="17"/>
        <v>-1000</v>
      </c>
      <c r="H94">
        <f t="shared" si="18"/>
        <v>-1000</v>
      </c>
      <c r="I94">
        <f t="shared" si="19"/>
        <v>-1000</v>
      </c>
      <c r="J94">
        <f t="shared" si="13"/>
        <v>-1000</v>
      </c>
      <c r="K94">
        <f t="shared" si="20"/>
        <v>-1000</v>
      </c>
      <c r="L94">
        <f t="shared" si="21"/>
        <v>-1000</v>
      </c>
      <c r="M94">
        <f t="shared" si="22"/>
        <v>-1000</v>
      </c>
      <c r="N94">
        <f t="shared" si="23"/>
        <v>-1000</v>
      </c>
      <c r="O94">
        <f t="shared" si="24"/>
        <v>-1000</v>
      </c>
    </row>
    <row r="95" spans="1:15">
      <c r="A95" t="str">
        <f>IF(EventTeam!$A:$A=0,"",EventTeam!$A:$A)</f>
        <v/>
      </c>
      <c r="B95">
        <f t="shared" si="14"/>
        <v>-1000</v>
      </c>
      <c r="C95">
        <f>IFERROR(VLOOKUP($A95,TBAranking!$A:$Z,4,FALSE),-1000)</f>
        <v>-1000</v>
      </c>
      <c r="D95">
        <f t="shared" si="25"/>
        <v>-1000</v>
      </c>
      <c r="E95">
        <f t="shared" si="15"/>
        <v>-1000</v>
      </c>
      <c r="F95">
        <f t="shared" si="16"/>
        <v>-1000</v>
      </c>
      <c r="G95">
        <f t="shared" si="17"/>
        <v>-1000</v>
      </c>
      <c r="H95">
        <f t="shared" si="18"/>
        <v>-1000</v>
      </c>
      <c r="I95">
        <f t="shared" si="19"/>
        <v>-1000</v>
      </c>
      <c r="J95">
        <f t="shared" si="13"/>
        <v>-1000</v>
      </c>
      <c r="K95">
        <f t="shared" si="20"/>
        <v>-1000</v>
      </c>
      <c r="L95">
        <f t="shared" si="21"/>
        <v>-1000</v>
      </c>
      <c r="M95">
        <f t="shared" si="22"/>
        <v>-1000</v>
      </c>
      <c r="N95">
        <f t="shared" si="23"/>
        <v>-1000</v>
      </c>
      <c r="O95">
        <f t="shared" si="24"/>
        <v>-1000</v>
      </c>
    </row>
    <row r="96" spans="1:15">
      <c r="A96" t="str">
        <f>IF(EventTeam!$A:$A=0,"",EventTeam!$A:$A)</f>
        <v/>
      </c>
      <c r="B96">
        <f t="shared" si="14"/>
        <v>-1000</v>
      </c>
      <c r="C96">
        <f>IFERROR(VLOOKUP($A96,TBAranking!$A:$Z,4,FALSE),-1000)</f>
        <v>-1000</v>
      </c>
      <c r="D96">
        <f t="shared" si="25"/>
        <v>-1000</v>
      </c>
      <c r="E96">
        <f t="shared" si="15"/>
        <v>-1000</v>
      </c>
      <c r="F96">
        <f t="shared" si="16"/>
        <v>-1000</v>
      </c>
      <c r="G96">
        <f t="shared" si="17"/>
        <v>-1000</v>
      </c>
      <c r="H96">
        <f t="shared" si="18"/>
        <v>-1000</v>
      </c>
      <c r="I96">
        <f t="shared" si="19"/>
        <v>-1000</v>
      </c>
      <c r="J96">
        <f t="shared" si="13"/>
        <v>-1000</v>
      </c>
      <c r="K96">
        <f t="shared" si="20"/>
        <v>-1000</v>
      </c>
      <c r="L96">
        <f t="shared" si="21"/>
        <v>-1000</v>
      </c>
      <c r="M96">
        <f t="shared" si="22"/>
        <v>-1000</v>
      </c>
      <c r="N96">
        <f t="shared" si="23"/>
        <v>-1000</v>
      </c>
      <c r="O96">
        <f t="shared" si="24"/>
        <v>-1000</v>
      </c>
    </row>
    <row r="97" spans="1:15">
      <c r="A97" t="str">
        <f>IF(EventTeam!$A:$A=0,"",EventTeam!$A:$A)</f>
        <v/>
      </c>
      <c r="B97">
        <f t="shared" si="14"/>
        <v>-1000</v>
      </c>
      <c r="C97">
        <f>IFERROR(VLOOKUP($A97,TBAranking!$A:$Z,4,FALSE),-1000)</f>
        <v>-1000</v>
      </c>
      <c r="D97">
        <f t="shared" si="25"/>
        <v>-1000</v>
      </c>
      <c r="E97">
        <f t="shared" si="15"/>
        <v>-1000</v>
      </c>
      <c r="F97">
        <f t="shared" si="16"/>
        <v>-1000</v>
      </c>
      <c r="G97">
        <f t="shared" si="17"/>
        <v>-1000</v>
      </c>
      <c r="H97">
        <f t="shared" si="18"/>
        <v>-1000</v>
      </c>
      <c r="I97">
        <f t="shared" si="19"/>
        <v>-1000</v>
      </c>
      <c r="J97">
        <f t="shared" si="13"/>
        <v>-1000</v>
      </c>
      <c r="K97">
        <f t="shared" si="20"/>
        <v>-1000</v>
      </c>
      <c r="L97">
        <f t="shared" si="21"/>
        <v>-1000</v>
      </c>
      <c r="M97">
        <f t="shared" si="22"/>
        <v>-1000</v>
      </c>
      <c r="N97">
        <f t="shared" si="23"/>
        <v>-1000</v>
      </c>
      <c r="O97">
        <f t="shared" si="24"/>
        <v>-1000</v>
      </c>
    </row>
    <row r="98" spans="1:15">
      <c r="A98" t="str">
        <f>IF(EventTeam!$A:$A=0,"",EventTeam!$A:$A)</f>
        <v/>
      </c>
      <c r="B98">
        <f t="shared" si="14"/>
        <v>-1000</v>
      </c>
      <c r="C98">
        <f>IFERROR(VLOOKUP($A98,TBAranking!$A:$Z,4,FALSE),-1000)</f>
        <v>-1000</v>
      </c>
      <c r="D98">
        <f t="shared" si="25"/>
        <v>-1000</v>
      </c>
      <c r="E98">
        <f t="shared" si="15"/>
        <v>-1000</v>
      </c>
      <c r="F98">
        <f t="shared" si="16"/>
        <v>-1000</v>
      </c>
      <c r="G98">
        <f t="shared" si="17"/>
        <v>-1000</v>
      </c>
      <c r="H98">
        <f t="shared" si="18"/>
        <v>-1000</v>
      </c>
      <c r="I98">
        <f t="shared" si="19"/>
        <v>-1000</v>
      </c>
      <c r="J98">
        <f t="shared" si="13"/>
        <v>-1000</v>
      </c>
      <c r="K98">
        <f t="shared" si="20"/>
        <v>-1000</v>
      </c>
      <c r="L98">
        <f t="shared" si="21"/>
        <v>-1000</v>
      </c>
      <c r="M98">
        <f t="shared" si="22"/>
        <v>-1000</v>
      </c>
      <c r="N98">
        <f t="shared" si="23"/>
        <v>-1000</v>
      </c>
      <c r="O98">
        <f t="shared" si="24"/>
        <v>-1000</v>
      </c>
    </row>
    <row r="99" spans="1:15">
      <c r="A99" t="str">
        <f>IF(EventTeam!$A:$A=0,"",EventTeam!$A:$A)</f>
        <v/>
      </c>
      <c r="B99">
        <f t="shared" si="14"/>
        <v>-1000</v>
      </c>
      <c r="C99">
        <f>IFERROR(VLOOKUP($A99,TBAranking!$A:$Z,4,FALSE),-1000)</f>
        <v>-1000</v>
      </c>
      <c r="D99">
        <f t="shared" si="25"/>
        <v>-1000</v>
      </c>
      <c r="E99">
        <f t="shared" si="15"/>
        <v>-1000</v>
      </c>
      <c r="F99">
        <f t="shared" si="16"/>
        <v>-1000</v>
      </c>
      <c r="G99">
        <f t="shared" si="17"/>
        <v>-1000</v>
      </c>
      <c r="H99">
        <f t="shared" si="18"/>
        <v>-1000</v>
      </c>
      <c r="I99">
        <f t="shared" si="19"/>
        <v>-1000</v>
      </c>
      <c r="J99">
        <f t="shared" si="13"/>
        <v>-1000</v>
      </c>
      <c r="K99">
        <f t="shared" si="20"/>
        <v>-1000</v>
      </c>
      <c r="L99">
        <f t="shared" si="21"/>
        <v>-1000</v>
      </c>
      <c r="M99">
        <f t="shared" si="22"/>
        <v>-1000</v>
      </c>
      <c r="N99">
        <f t="shared" si="23"/>
        <v>-1000</v>
      </c>
      <c r="O99">
        <f t="shared" si="24"/>
        <v>-1000</v>
      </c>
    </row>
    <row r="100" spans="1:15">
      <c r="A100" t="str">
        <f>IF(EventTeam!$A:$A=0,"",EventTeam!$A:$A)</f>
        <v/>
      </c>
      <c r="B100">
        <f t="shared" si="14"/>
        <v>-1000</v>
      </c>
      <c r="C100">
        <f>IFERROR(VLOOKUP($A100,TBAranking!$A:$Z,4,FALSE),-1000)</f>
        <v>-1000</v>
      </c>
      <c r="D100">
        <f t="shared" si="25"/>
        <v>-1000</v>
      </c>
      <c r="E100">
        <f t="shared" si="15"/>
        <v>-1000</v>
      </c>
      <c r="F100">
        <f t="shared" si="16"/>
        <v>-1000</v>
      </c>
      <c r="G100">
        <f t="shared" si="17"/>
        <v>-1000</v>
      </c>
      <c r="H100">
        <f t="shared" si="18"/>
        <v>-1000</v>
      </c>
      <c r="I100">
        <f t="shared" si="19"/>
        <v>-1000</v>
      </c>
      <c r="J100">
        <f t="shared" si="13"/>
        <v>-1000</v>
      </c>
      <c r="K100">
        <f t="shared" si="20"/>
        <v>-1000</v>
      </c>
      <c r="L100">
        <f t="shared" si="21"/>
        <v>-1000</v>
      </c>
      <c r="M100">
        <f t="shared" si="22"/>
        <v>-1000</v>
      </c>
      <c r="N100">
        <f t="shared" si="23"/>
        <v>-1000</v>
      </c>
      <c r="O100">
        <f t="shared" si="24"/>
        <v>-1000</v>
      </c>
    </row>
  </sheetData>
  <conditionalFormatting sqref="T2:T36">
    <cfRule type="colorScale" priority="8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7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6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4">
      <colorScale>
        <cfvo type="min"/>
        <cfvo type="max"/>
        <color rgb="FFFCFCFF"/>
        <color rgb="FF63BE7B"/>
      </colorScale>
    </cfRule>
    <cfRule type="cellIs" dxfId="64" priority="5" operator="equal">
      <formula>-1000</formula>
    </cfRule>
  </conditionalFormatting>
  <conditionalFormatting sqref="H2:O100">
    <cfRule type="cellIs" dxfId="63" priority="3" operator="equal">
      <formula>-1000</formula>
    </cfRule>
  </conditionalFormatting>
  <conditionalFormatting sqref="G2:O100">
    <cfRule type="colorScale" priority="2">
      <colorScale>
        <cfvo type="min"/>
        <cfvo type="max"/>
        <color rgb="FF63BE7B"/>
        <color rgb="FFFCFCFF"/>
      </colorScale>
    </cfRule>
  </conditionalFormatting>
  <conditionalFormatting sqref="R2:R42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00"/>
  <sheetViews>
    <sheetView workbookViewId="0">
      <pane ySplit="1" topLeftCell="A2" activePane="bottomLeft" state="frozen"/>
      <selection pane="bottomLeft" activeCell="L4" sqref="L4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34" ht="15.75" thickBot="1">
      <c r="A1" s="8" t="s">
        <v>1</v>
      </c>
      <c r="B1" s="8" t="s">
        <v>5984</v>
      </c>
      <c r="C1" s="173" t="s">
        <v>5985</v>
      </c>
      <c r="D1" s="160" t="s">
        <v>5982</v>
      </c>
      <c r="E1" s="161" t="s">
        <v>5986</v>
      </c>
      <c r="F1" s="160" t="s">
        <v>5987</v>
      </c>
      <c r="G1" s="161" t="s">
        <v>5988</v>
      </c>
      <c r="H1" s="160" t="s">
        <v>5989</v>
      </c>
      <c r="I1" s="161" t="s">
        <v>5990</v>
      </c>
      <c r="J1" s="161" t="s">
        <v>5992</v>
      </c>
      <c r="K1" s="161" t="s">
        <v>6230</v>
      </c>
      <c r="L1" s="162" t="s">
        <v>5991</v>
      </c>
      <c r="M1" s="160" t="s">
        <v>5994</v>
      </c>
      <c r="N1" s="161" t="s">
        <v>5995</v>
      </c>
      <c r="O1" s="162" t="s">
        <v>5996</v>
      </c>
      <c r="P1" s="157"/>
      <c r="Q1" s="168" t="s">
        <v>5997</v>
      </c>
      <c r="R1" s="169" t="s">
        <v>5876</v>
      </c>
      <c r="S1" s="168" t="s">
        <v>5998</v>
      </c>
      <c r="T1" s="169" t="s">
        <v>5876</v>
      </c>
      <c r="U1" s="168" t="s">
        <v>5999</v>
      </c>
      <c r="V1" s="169" t="s">
        <v>5876</v>
      </c>
      <c r="W1" s="168" t="s">
        <v>6000</v>
      </c>
      <c r="X1" s="169" t="s">
        <v>5876</v>
      </c>
      <c r="Y1" s="157" t="s">
        <v>6097</v>
      </c>
      <c r="Z1" s="157" t="s">
        <v>6028</v>
      </c>
      <c r="AA1" s="168" t="s">
        <v>6098</v>
      </c>
      <c r="AB1" s="169" t="s">
        <v>6028</v>
      </c>
      <c r="AC1" t="s">
        <v>5899</v>
      </c>
      <c r="AD1" t="s">
        <v>5900</v>
      </c>
      <c r="AE1" t="s">
        <v>5899</v>
      </c>
      <c r="AF1" t="s">
        <v>5900</v>
      </c>
      <c r="AG1" t="s">
        <v>5899</v>
      </c>
      <c r="AH1" t="s">
        <v>5900</v>
      </c>
    </row>
    <row r="2" spans="1:34">
      <c r="A2">
        <f>IF(EventTeam!$A:$A=0,"",EventTeam!$A:$A)</f>
        <v>155</v>
      </c>
      <c r="B2">
        <f>IF($C2&lt;&gt;-1000,$C2, MAX($D2:$O2))</f>
        <v>123.86791124277281</v>
      </c>
      <c r="C2">
        <f>IFERROR(VLOOKUP($A2,TBAopr!$A:$B,2,FALSE),-1000)</f>
        <v>123.86791124277281</v>
      </c>
      <c r="D2">
        <f>IFERROR(VLOOKUP($A2,$Q:$R,2,FALSE),-1000)</f>
        <v>-1000</v>
      </c>
      <c r="E2">
        <f>IFERROR(VLOOKUP($A2,$S:$T,2,FALSE),-1000)</f>
        <v>60.108431820209837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73.423777860757156</v>
      </c>
      <c r="I2">
        <f>IFERROR(VLOOKUP($A2,$AA:$AB,2,FALSE),-1000)</f>
        <v>-1000</v>
      </c>
      <c r="J2">
        <f t="shared" ref="J2:J65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4">
        <v>23</v>
      </c>
      <c r="R2" s="165">
        <v>127.44615363604558</v>
      </c>
      <c r="S2" s="164">
        <v>95</v>
      </c>
      <c r="T2" s="165">
        <v>155.49275900777178</v>
      </c>
      <c r="U2" s="163">
        <v>176</v>
      </c>
      <c r="V2" s="170">
        <v>162.52098339644303</v>
      </c>
      <c r="W2" s="163">
        <v>23</v>
      </c>
      <c r="X2" s="170">
        <v>112.48877499433564</v>
      </c>
      <c r="Y2" s="163">
        <v>69</v>
      </c>
      <c r="Z2" s="203">
        <v>60.686522703118357</v>
      </c>
      <c r="AA2" s="163">
        <v>125</v>
      </c>
      <c r="AB2" s="207">
        <v>157.95554730323352</v>
      </c>
      <c r="AC2">
        <v>61</v>
      </c>
      <c r="AD2">
        <v>145.30335008903927</v>
      </c>
      <c r="AE2">
        <v>131</v>
      </c>
      <c r="AF2">
        <v>127.06212231166526</v>
      </c>
      <c r="AG2">
        <v>58</v>
      </c>
      <c r="AH2">
        <v>132.93158093216928</v>
      </c>
    </row>
    <row r="3" spans="1:34">
      <c r="A3">
        <f>IF(EventTeam!$A:$A=0,"",EventTeam!$A:$A)</f>
        <v>173</v>
      </c>
      <c r="B3">
        <f t="shared" ref="B3:B66" si="1">IF($C3&lt;&gt;-1000,$C3, MAX($D3:$O3))</f>
        <v>140.73609465916982</v>
      </c>
      <c r="C3">
        <f>IFERROR(VLOOKUP($A3,TBAopr!$A:$B,2,FALSE),-1000)</f>
        <v>140.73609465916982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66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103.98071581018164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4">
        <v>61</v>
      </c>
      <c r="R3" s="165">
        <v>171.5308279279584</v>
      </c>
      <c r="S3" s="164">
        <v>131</v>
      </c>
      <c r="T3" s="165">
        <v>80.059136201335335</v>
      </c>
      <c r="U3" s="164">
        <v>177</v>
      </c>
      <c r="V3" s="171">
        <v>165.96741872731482</v>
      </c>
      <c r="W3" s="164">
        <v>58</v>
      </c>
      <c r="X3" s="171">
        <v>190.75416976711048</v>
      </c>
      <c r="Y3" s="164">
        <v>95</v>
      </c>
      <c r="Z3" s="204">
        <v>226.30021655537985</v>
      </c>
      <c r="AA3" s="164">
        <v>133</v>
      </c>
      <c r="AB3" s="197">
        <v>199.73821093681312</v>
      </c>
      <c r="AC3">
        <v>78</v>
      </c>
      <c r="AD3">
        <v>135.81626683024618</v>
      </c>
      <c r="AE3">
        <v>138</v>
      </c>
      <c r="AF3">
        <v>143.11732323323452</v>
      </c>
      <c r="AG3">
        <v>95</v>
      </c>
      <c r="AH3">
        <v>151.41751349069318</v>
      </c>
    </row>
    <row r="4" spans="1:34">
      <c r="A4">
        <f>IF(EventTeam!$A:$A=0,"",EventTeam!$A:$A)</f>
        <v>175</v>
      </c>
      <c r="B4">
        <f t="shared" si="1"/>
        <v>168.38140290174633</v>
      </c>
      <c r="C4">
        <f>IFERROR(VLOOKUP($A4,TBAopr!$A:$B,2,FALSE),-1000)</f>
        <v>168.38140290174633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129.00282034748611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4">
        <v>78</v>
      </c>
      <c r="R4" s="165">
        <v>161.00018093325534</v>
      </c>
      <c r="S4" s="164">
        <v>138</v>
      </c>
      <c r="T4" s="165">
        <v>119.23677226695769</v>
      </c>
      <c r="U4" s="164">
        <v>181</v>
      </c>
      <c r="V4" s="171">
        <v>105.73977035515053</v>
      </c>
      <c r="W4" s="164">
        <v>78</v>
      </c>
      <c r="X4" s="171">
        <v>148.22535707338207</v>
      </c>
      <c r="Y4" s="164">
        <v>155</v>
      </c>
      <c r="Z4" s="205">
        <v>73.423777860757156</v>
      </c>
      <c r="AA4" s="164">
        <v>238</v>
      </c>
      <c r="AB4" s="196">
        <v>222.30989383113939</v>
      </c>
      <c r="AC4">
        <v>121</v>
      </c>
      <c r="AD4">
        <v>90.336601495227697</v>
      </c>
      <c r="AE4">
        <v>151</v>
      </c>
      <c r="AF4">
        <v>59.84079237476891</v>
      </c>
      <c r="AG4">
        <v>133</v>
      </c>
      <c r="AH4">
        <v>196.17536771597705</v>
      </c>
    </row>
    <row r="5" spans="1:34">
      <c r="A5">
        <f>IF(EventTeam!$A:$A=0,"",EventTeam!$A:$A)</f>
        <v>176</v>
      </c>
      <c r="B5">
        <f t="shared" si="1"/>
        <v>156.43602733826111</v>
      </c>
      <c r="C5">
        <f>IFERROR(VLOOKUP($A5,TBAopr!$A:$B,2,FALSE),-1000)</f>
        <v>156.43602733826111</v>
      </c>
      <c r="D5">
        <f t="shared" si="12"/>
        <v>-1000</v>
      </c>
      <c r="E5">
        <f t="shared" si="2"/>
        <v>-1000</v>
      </c>
      <c r="F5">
        <f t="shared" si="3"/>
        <v>162.52098339644303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4">
        <v>88</v>
      </c>
      <c r="R5" s="165">
        <v>142.89240126888464</v>
      </c>
      <c r="S5" s="164">
        <v>151</v>
      </c>
      <c r="T5" s="165">
        <v>35.062866945698453</v>
      </c>
      <c r="U5" s="164">
        <v>228</v>
      </c>
      <c r="V5" s="171">
        <v>159.49598365023738</v>
      </c>
      <c r="W5" s="164">
        <v>88</v>
      </c>
      <c r="X5" s="171">
        <v>206.47795440024373</v>
      </c>
      <c r="Y5" s="164">
        <v>178</v>
      </c>
      <c r="Z5" s="204">
        <v>124.8725457246364</v>
      </c>
      <c r="AA5" s="164">
        <v>246</v>
      </c>
      <c r="AB5" s="197">
        <v>66.851637713572217</v>
      </c>
      <c r="AC5">
        <v>125</v>
      </c>
      <c r="AD5">
        <v>181.60357636735853</v>
      </c>
      <c r="AE5">
        <v>166</v>
      </c>
      <c r="AF5">
        <v>68.78008214926939</v>
      </c>
      <c r="AG5">
        <v>172</v>
      </c>
      <c r="AH5">
        <v>114.51663638305446</v>
      </c>
    </row>
    <row r="6" spans="1:34">
      <c r="A6">
        <f>IF(EventTeam!$A:$A=0,"",EventTeam!$A:$A)</f>
        <v>177</v>
      </c>
      <c r="B6">
        <f t="shared" si="1"/>
        <v>158.76196204350734</v>
      </c>
      <c r="C6">
        <f>IFERROR(VLOOKUP($A6,TBAopr!$A:$B,2,FALSE),-1000)</f>
        <v>158.76196204350734</v>
      </c>
      <c r="D6">
        <f t="shared" si="12"/>
        <v>-1000</v>
      </c>
      <c r="E6">
        <f t="shared" si="2"/>
        <v>-1000</v>
      </c>
      <c r="F6">
        <f t="shared" si="3"/>
        <v>165.96741872731482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4">
        <v>126</v>
      </c>
      <c r="R6" s="165">
        <v>46.741937545625959</v>
      </c>
      <c r="S6" s="164">
        <v>155</v>
      </c>
      <c r="T6" s="165">
        <v>60.108431820209837</v>
      </c>
      <c r="U6" s="164">
        <v>230</v>
      </c>
      <c r="V6" s="171">
        <v>239.29478983892295</v>
      </c>
      <c r="W6" s="164">
        <v>97</v>
      </c>
      <c r="X6" s="171">
        <v>25.443535818957905</v>
      </c>
      <c r="Y6" s="164">
        <v>195</v>
      </c>
      <c r="Z6" s="205">
        <v>198.456944880999</v>
      </c>
      <c r="AA6" s="164">
        <v>319</v>
      </c>
      <c r="AB6" s="196">
        <v>211.18468400545231</v>
      </c>
      <c r="AC6">
        <v>126</v>
      </c>
      <c r="AD6">
        <v>136.29424901363416</v>
      </c>
      <c r="AE6">
        <v>213</v>
      </c>
      <c r="AF6">
        <v>124.07779803825566</v>
      </c>
      <c r="AG6">
        <v>237</v>
      </c>
      <c r="AH6">
        <v>128.80111880605071</v>
      </c>
    </row>
    <row r="7" spans="1:34">
      <c r="A7">
        <f>IF(EventTeam!$A:$A=0,"",EventTeam!$A:$A)</f>
        <v>181</v>
      </c>
      <c r="B7">
        <f t="shared" si="1"/>
        <v>147.1201130322396</v>
      </c>
      <c r="C7">
        <f>IFERROR(VLOOKUP($A7,TBAopr!$A:$B,2,FALSE),-1000)</f>
        <v>147.1201130322396</v>
      </c>
      <c r="D7">
        <f t="shared" si="12"/>
        <v>-1000</v>
      </c>
      <c r="E7">
        <f t="shared" si="2"/>
        <v>-1000</v>
      </c>
      <c r="F7">
        <f t="shared" si="3"/>
        <v>105.73977035515053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4">
        <v>172</v>
      </c>
      <c r="R7" s="165">
        <v>69.711638499195431</v>
      </c>
      <c r="S7" s="164">
        <v>238</v>
      </c>
      <c r="T7" s="165">
        <v>211.99943359245356</v>
      </c>
      <c r="U7" s="164">
        <v>236</v>
      </c>
      <c r="V7" s="171">
        <v>154.33078825956537</v>
      </c>
      <c r="W7" s="164">
        <v>121</v>
      </c>
      <c r="X7" s="171">
        <v>121.34951357875046</v>
      </c>
      <c r="Y7" s="164">
        <v>228</v>
      </c>
      <c r="Z7" s="204">
        <v>116.01942588383</v>
      </c>
      <c r="AA7" s="164">
        <v>509</v>
      </c>
      <c r="AB7" s="197">
        <v>103.26732683580732</v>
      </c>
      <c r="AC7">
        <v>157</v>
      </c>
      <c r="AD7">
        <v>121.0916399538275</v>
      </c>
      <c r="AE7">
        <v>319</v>
      </c>
      <c r="AF7">
        <v>238.45962174180627</v>
      </c>
      <c r="AG7">
        <v>348</v>
      </c>
      <c r="AH7">
        <v>104.4095390407155</v>
      </c>
    </row>
    <row r="8" spans="1:34">
      <c r="A8">
        <f>IF(EventTeam!$A:$A=0,"",EventTeam!$A:$A)</f>
        <v>190</v>
      </c>
      <c r="B8">
        <f t="shared" si="1"/>
        <v>150.73868731907288</v>
      </c>
      <c r="C8">
        <f>IFERROR(VLOOKUP($A8,TBAopr!$A:$B,2,FALSE),-1000)</f>
        <v>150.73868731907288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94.739694602515812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4">
        <v>213</v>
      </c>
      <c r="R8" s="165">
        <v>86.572341974757549</v>
      </c>
      <c r="S8" s="164">
        <v>811</v>
      </c>
      <c r="T8" s="165">
        <v>130.07530572946996</v>
      </c>
      <c r="U8" s="164">
        <v>237</v>
      </c>
      <c r="V8" s="171">
        <v>140.70242922083861</v>
      </c>
      <c r="W8" s="164">
        <v>157</v>
      </c>
      <c r="X8" s="171">
        <v>87.05275426123643</v>
      </c>
      <c r="Y8" s="164">
        <v>230</v>
      </c>
      <c r="Z8" s="205">
        <v>245.93311485175485</v>
      </c>
      <c r="AA8" s="164">
        <v>811</v>
      </c>
      <c r="AB8" s="196">
        <v>110.16696121314804</v>
      </c>
      <c r="AC8">
        <v>173</v>
      </c>
      <c r="AD8">
        <v>103.98071581018164</v>
      </c>
      <c r="AE8">
        <v>501</v>
      </c>
      <c r="AF8">
        <v>145.63103072988096</v>
      </c>
      <c r="AG8">
        <v>663</v>
      </c>
      <c r="AH8">
        <v>145.8919587360501</v>
      </c>
    </row>
    <row r="9" spans="1:34">
      <c r="A9">
        <f>IF(EventTeam!$A:$A=0,"",EventTeam!$A:$A)</f>
        <v>195</v>
      </c>
      <c r="B9">
        <f t="shared" si="1"/>
        <v>228.91158142199529</v>
      </c>
      <c r="C9">
        <f>IFERROR(VLOOKUP($A9,TBAopr!$A:$B,2,FALSE),-1000)</f>
        <v>228.91158142199529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198.456944880999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4">
        <v>467</v>
      </c>
      <c r="R9" s="165">
        <v>70.335473916901947</v>
      </c>
      <c r="S9" s="164">
        <v>885</v>
      </c>
      <c r="T9" s="165">
        <v>73.490739640208389</v>
      </c>
      <c r="U9" s="164">
        <v>501</v>
      </c>
      <c r="V9" s="171">
        <v>24.698092993809908</v>
      </c>
      <c r="W9" s="164">
        <v>166</v>
      </c>
      <c r="X9" s="171">
        <v>85.862820798214884</v>
      </c>
      <c r="Y9" s="164">
        <v>467</v>
      </c>
      <c r="Z9" s="204">
        <v>110.84565211600255</v>
      </c>
      <c r="AA9" s="164">
        <v>1058</v>
      </c>
      <c r="AB9" s="197">
        <v>132.03310042664231</v>
      </c>
      <c r="AC9">
        <v>175</v>
      </c>
      <c r="AD9">
        <v>129.00282034748611</v>
      </c>
      <c r="AE9">
        <v>509</v>
      </c>
      <c r="AF9">
        <v>129.28845284580566</v>
      </c>
      <c r="AG9">
        <v>716</v>
      </c>
      <c r="AH9">
        <v>122.0986366280884</v>
      </c>
    </row>
    <row r="10" spans="1:34">
      <c r="A10">
        <f>IF(EventTeam!$A:$A=0,"",EventTeam!$A:$A)</f>
        <v>230</v>
      </c>
      <c r="B10">
        <f t="shared" si="1"/>
        <v>192.65911703712757</v>
      </c>
      <c r="C10">
        <f>IFERROR(VLOOKUP($A10,TBAopr!$A:$B,2,FALSE),-1000)</f>
        <v>192.65911703712757</v>
      </c>
      <c r="D10">
        <f t="shared" si="12"/>
        <v>-1000</v>
      </c>
      <c r="E10">
        <f t="shared" si="2"/>
        <v>-1000</v>
      </c>
      <c r="F10">
        <f t="shared" si="3"/>
        <v>239.29478983892295</v>
      </c>
      <c r="G10">
        <f t="shared" si="4"/>
        <v>-1000</v>
      </c>
      <c r="H10">
        <f t="shared" si="5"/>
        <v>245.93311485175485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4">
        <v>663</v>
      </c>
      <c r="R10" s="165">
        <v>133.97044851013266</v>
      </c>
      <c r="S10" s="164">
        <v>1058</v>
      </c>
      <c r="T10" s="165">
        <v>188.3369246597652</v>
      </c>
      <c r="U10" s="164">
        <v>558</v>
      </c>
      <c r="V10" s="171">
        <v>98.704644736243765</v>
      </c>
      <c r="W10" s="164">
        <v>178</v>
      </c>
      <c r="X10" s="171">
        <v>109.93707286098881</v>
      </c>
      <c r="Y10" s="164">
        <v>1027</v>
      </c>
      <c r="Z10" s="205">
        <v>32.705689296290622</v>
      </c>
      <c r="AA10" s="164">
        <v>1289</v>
      </c>
      <c r="AB10" s="196">
        <v>98.572003523221582</v>
      </c>
      <c r="AC10">
        <v>190</v>
      </c>
      <c r="AD10">
        <v>94.739694602515812</v>
      </c>
      <c r="AE10">
        <v>1071</v>
      </c>
      <c r="AF10">
        <v>147.23875512375011</v>
      </c>
      <c r="AG10">
        <v>1735</v>
      </c>
      <c r="AH10">
        <v>59.919317618488613</v>
      </c>
    </row>
    <row r="11" spans="1:34">
      <c r="A11">
        <f>IF(EventTeam!$A:$A=0,"",EventTeam!$A:$A)</f>
        <v>236</v>
      </c>
      <c r="B11">
        <f t="shared" si="1"/>
        <v>99.610553227995254</v>
      </c>
      <c r="C11">
        <f>IFERROR(VLOOKUP($A11,TBAopr!$A:$B,2,FALSE),-1000)</f>
        <v>99.610553227995254</v>
      </c>
      <c r="D11">
        <f t="shared" si="12"/>
        <v>-1000</v>
      </c>
      <c r="E11">
        <f t="shared" si="2"/>
        <v>-1000</v>
      </c>
      <c r="F11">
        <f t="shared" si="3"/>
        <v>154.33078825956537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4">
        <v>716</v>
      </c>
      <c r="R11" s="165">
        <v>91.096335453010269</v>
      </c>
      <c r="S11" s="164">
        <v>1073</v>
      </c>
      <c r="T11" s="165">
        <v>88.938215820366011</v>
      </c>
      <c r="U11" s="164">
        <v>571</v>
      </c>
      <c r="V11" s="171">
        <v>86.365993682779362</v>
      </c>
      <c r="W11" s="164">
        <v>348</v>
      </c>
      <c r="X11" s="171">
        <v>134.78121836542593</v>
      </c>
      <c r="Y11" s="164">
        <v>1071</v>
      </c>
      <c r="Z11" s="204">
        <v>38.367480380912923</v>
      </c>
      <c r="AA11" s="164">
        <v>1474</v>
      </c>
      <c r="AB11" s="197">
        <v>91.943306260711097</v>
      </c>
      <c r="AC11">
        <v>1100</v>
      </c>
      <c r="AD11">
        <v>133.30330484459969</v>
      </c>
      <c r="AE11">
        <v>1073</v>
      </c>
      <c r="AF11">
        <v>141.6465241654862</v>
      </c>
      <c r="AG11">
        <v>1768</v>
      </c>
      <c r="AH11">
        <v>134.79722087119478</v>
      </c>
    </row>
    <row r="12" spans="1:34">
      <c r="A12">
        <f>IF(EventTeam!$A:$A=0,"",EventTeam!$A:$A)</f>
        <v>558</v>
      </c>
      <c r="B12">
        <f t="shared" si="1"/>
        <v>142.30087661006644</v>
      </c>
      <c r="C12">
        <f>IFERROR(VLOOKUP($A12,TBAopr!$A:$B,2,FALSE),-1000)</f>
        <v>142.30087661006644</v>
      </c>
      <c r="D12">
        <f t="shared" si="12"/>
        <v>-1000</v>
      </c>
      <c r="E12">
        <f t="shared" si="2"/>
        <v>-1000</v>
      </c>
      <c r="F12">
        <f t="shared" si="3"/>
        <v>98.704644736243765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4">
        <v>1100</v>
      </c>
      <c r="R12" s="165">
        <v>115.8096600800895</v>
      </c>
      <c r="S12" s="164">
        <v>1247</v>
      </c>
      <c r="T12" s="165">
        <v>65.229519875176592</v>
      </c>
      <c r="U12" s="164">
        <v>999</v>
      </c>
      <c r="V12" s="171">
        <v>95.471882838711252</v>
      </c>
      <c r="W12" s="164">
        <v>839</v>
      </c>
      <c r="X12" s="171">
        <v>85.465982479386071</v>
      </c>
      <c r="Y12" s="164">
        <v>1099</v>
      </c>
      <c r="Z12" s="205">
        <v>127.62494262871408</v>
      </c>
      <c r="AA12" s="164">
        <v>1761</v>
      </c>
      <c r="AB12" s="196">
        <v>20.225535303090723</v>
      </c>
      <c r="AC12">
        <v>1153</v>
      </c>
      <c r="AD12">
        <v>85.305429194124983</v>
      </c>
      <c r="AE12">
        <v>1247</v>
      </c>
      <c r="AF12">
        <v>123.0276876073297</v>
      </c>
      <c r="AG12">
        <v>1831</v>
      </c>
      <c r="AH12">
        <v>55.734369543269182</v>
      </c>
    </row>
    <row r="13" spans="1:34">
      <c r="A13">
        <f>IF(EventTeam!$A:$A=0,"",EventTeam!$A:$A)</f>
        <v>571</v>
      </c>
      <c r="B13">
        <f t="shared" si="1"/>
        <v>117.56168937135445</v>
      </c>
      <c r="C13">
        <f>IFERROR(VLOOKUP($A13,TBAopr!$A:$B,2,FALSE),-1000)</f>
        <v>117.56168937135445</v>
      </c>
      <c r="D13">
        <f t="shared" si="12"/>
        <v>-1000</v>
      </c>
      <c r="E13">
        <f t="shared" si="2"/>
        <v>-1000</v>
      </c>
      <c r="F13">
        <f t="shared" si="3"/>
        <v>86.365993682779362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4">
        <v>1153</v>
      </c>
      <c r="R13" s="165">
        <v>93.493972621611647</v>
      </c>
      <c r="S13" s="164">
        <v>1289</v>
      </c>
      <c r="T13" s="165">
        <v>71.136127958909412</v>
      </c>
      <c r="U13" s="164">
        <v>1085</v>
      </c>
      <c r="V13" s="171">
        <v>50.643644820599505</v>
      </c>
      <c r="W13" s="164">
        <v>1735</v>
      </c>
      <c r="X13" s="171">
        <v>44.032414440529038</v>
      </c>
      <c r="Y13" s="164">
        <v>2064</v>
      </c>
      <c r="Z13" s="204">
        <v>87.05051743585534</v>
      </c>
      <c r="AA13" s="164">
        <v>1965</v>
      </c>
      <c r="AB13" s="197">
        <v>69.29582227543429</v>
      </c>
      <c r="AC13">
        <v>1277</v>
      </c>
      <c r="AD13">
        <v>67.536291326754096</v>
      </c>
      <c r="AE13">
        <v>1307</v>
      </c>
      <c r="AF13">
        <v>43.629004102174747</v>
      </c>
      <c r="AG13">
        <v>2370</v>
      </c>
      <c r="AH13">
        <v>135.31039007410985</v>
      </c>
    </row>
    <row r="14" spans="1:34">
      <c r="A14">
        <f>IF(EventTeam!$A:$A=0,"",EventTeam!$A:$A)</f>
        <v>839</v>
      </c>
      <c r="B14">
        <f t="shared" si="1"/>
        <v>139.63995772130554</v>
      </c>
      <c r="C14">
        <f>IFERROR(VLOOKUP($A14,TBAopr!$A:$B,2,FALSE),-1000)</f>
        <v>139.63995772130554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85.465982479386071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4">
        <v>1277</v>
      </c>
      <c r="R14" s="165">
        <v>34.997191965962877</v>
      </c>
      <c r="S14" s="164">
        <v>1307</v>
      </c>
      <c r="T14" s="165">
        <v>49.104024163217538</v>
      </c>
      <c r="U14" s="164">
        <v>1099</v>
      </c>
      <c r="V14" s="171">
        <v>100.18028579100393</v>
      </c>
      <c r="W14" s="164">
        <v>1757</v>
      </c>
      <c r="X14" s="171">
        <v>52.050144802488987</v>
      </c>
      <c r="Y14" s="164">
        <v>2067</v>
      </c>
      <c r="Z14" s="205">
        <v>150.45753119830613</v>
      </c>
      <c r="AA14" s="164">
        <v>2084</v>
      </c>
      <c r="AB14" s="196">
        <v>117.91848192837423</v>
      </c>
      <c r="AC14">
        <v>1350</v>
      </c>
      <c r="AD14">
        <v>45.286550348692131</v>
      </c>
      <c r="AE14">
        <v>1512</v>
      </c>
      <c r="AF14">
        <v>66.477719613642932</v>
      </c>
      <c r="AG14">
        <v>2523</v>
      </c>
      <c r="AH14">
        <v>87.371790970812313</v>
      </c>
    </row>
    <row r="15" spans="1:34">
      <c r="A15">
        <f>IF(EventTeam!$A:$A=0,"",EventTeam!$A:$A)</f>
        <v>999</v>
      </c>
      <c r="B15">
        <f t="shared" si="1"/>
        <v>142.23872419203784</v>
      </c>
      <c r="C15">
        <f>IFERROR(VLOOKUP($A15,TBAopr!$A:$B,2,FALSE),-1000)</f>
        <v>142.23872419203784</v>
      </c>
      <c r="D15">
        <f t="shared" si="12"/>
        <v>-1000</v>
      </c>
      <c r="E15">
        <f t="shared" si="2"/>
        <v>-1000</v>
      </c>
      <c r="F15">
        <f t="shared" si="3"/>
        <v>95.471882838711252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4">
        <v>1350</v>
      </c>
      <c r="R15" s="165">
        <v>44.921829182236493</v>
      </c>
      <c r="S15" s="164">
        <v>1474</v>
      </c>
      <c r="T15" s="165">
        <v>12.058343906935084</v>
      </c>
      <c r="U15" s="164">
        <v>1124</v>
      </c>
      <c r="V15" s="171">
        <v>51.223877775189429</v>
      </c>
      <c r="W15" s="164">
        <v>2079</v>
      </c>
      <c r="X15" s="171">
        <v>37.742459584397025</v>
      </c>
      <c r="Y15" s="164">
        <v>2836</v>
      </c>
      <c r="Z15" s="204">
        <v>140.29974636184593</v>
      </c>
      <c r="AA15" s="164">
        <v>2423</v>
      </c>
      <c r="AB15" s="197">
        <v>55.120290906862984</v>
      </c>
      <c r="AC15">
        <v>1517</v>
      </c>
      <c r="AD15">
        <v>80.662637133766339</v>
      </c>
      <c r="AE15">
        <v>1519</v>
      </c>
      <c r="AF15">
        <v>215.72536799537636</v>
      </c>
      <c r="AG15">
        <v>2648</v>
      </c>
      <c r="AH15">
        <v>85.155436134964717</v>
      </c>
    </row>
    <row r="16" spans="1:34">
      <c r="A16">
        <f>IF(EventTeam!$A:$A=0,"",EventTeam!$A:$A)</f>
        <v>1027</v>
      </c>
      <c r="B16">
        <f t="shared" si="1"/>
        <v>30.318635831137986</v>
      </c>
      <c r="C16">
        <f>IFERROR(VLOOKUP($A16,TBAopr!$A:$B,2,FALSE),-1000)</f>
        <v>30.318635831137986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32.705689296290622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4">
        <v>1519</v>
      </c>
      <c r="R16" s="165">
        <v>162.63568803260452</v>
      </c>
      <c r="S16" s="164">
        <v>1512</v>
      </c>
      <c r="T16" s="165">
        <v>57.139937667384885</v>
      </c>
      <c r="U16" s="164">
        <v>1676</v>
      </c>
      <c r="V16" s="171">
        <v>32.224054876139711</v>
      </c>
      <c r="W16" s="164">
        <v>2168</v>
      </c>
      <c r="X16" s="171">
        <v>129.49984563443246</v>
      </c>
      <c r="Y16" s="164">
        <v>3104</v>
      </c>
      <c r="Z16" s="205">
        <v>44.547264262867223</v>
      </c>
      <c r="AA16" s="164">
        <v>2713</v>
      </c>
      <c r="AB16" s="196">
        <v>53.24637465447708</v>
      </c>
      <c r="AC16">
        <v>1729</v>
      </c>
      <c r="AD16">
        <v>143.83095556684285</v>
      </c>
      <c r="AE16">
        <v>1699</v>
      </c>
      <c r="AF16">
        <v>116.44051263181376</v>
      </c>
      <c r="AG16">
        <v>3451</v>
      </c>
      <c r="AH16">
        <v>34.356237830647046</v>
      </c>
    </row>
    <row r="17" spans="1:34">
      <c r="A17">
        <f>IF(EventTeam!$A:$A=0,"",EventTeam!$A:$A)</f>
        <v>1085</v>
      </c>
      <c r="B17">
        <f t="shared" si="1"/>
        <v>81.957129559190179</v>
      </c>
      <c r="C17">
        <f>IFERROR(VLOOKUP($A17,TBAopr!$A:$B,2,FALSE),-1000)</f>
        <v>81.957129559190179</v>
      </c>
      <c r="D17">
        <f t="shared" si="12"/>
        <v>-1000</v>
      </c>
      <c r="E17">
        <f t="shared" si="2"/>
        <v>-1000</v>
      </c>
      <c r="F17">
        <f t="shared" si="3"/>
        <v>50.643644820599505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4">
        <v>1729</v>
      </c>
      <c r="R17" s="165">
        <v>110.8240065557759</v>
      </c>
      <c r="S17" s="164">
        <v>1517</v>
      </c>
      <c r="T17" s="165">
        <v>60.326684246238003</v>
      </c>
      <c r="U17" s="164">
        <v>1699</v>
      </c>
      <c r="V17" s="171">
        <v>74.051622221082397</v>
      </c>
      <c r="W17" s="164">
        <v>2648</v>
      </c>
      <c r="X17" s="171">
        <v>106.56601082462636</v>
      </c>
      <c r="Y17" s="164">
        <v>3555</v>
      </c>
      <c r="Z17" s="204">
        <v>174.92162159003658</v>
      </c>
      <c r="AA17" s="164">
        <v>2876</v>
      </c>
      <c r="AB17" s="197">
        <v>103.25206708558328</v>
      </c>
      <c r="AC17">
        <v>1740</v>
      </c>
      <c r="AD17">
        <v>55.259659385649456</v>
      </c>
      <c r="AE17">
        <v>1721</v>
      </c>
      <c r="AF17">
        <v>111.4951716784021</v>
      </c>
      <c r="AG17">
        <v>3525</v>
      </c>
      <c r="AH17">
        <v>65.554767546057548</v>
      </c>
    </row>
    <row r="18" spans="1:34">
      <c r="A18">
        <f>IF(EventTeam!$A:$A=0,"",EventTeam!$A:$A)</f>
        <v>1124</v>
      </c>
      <c r="B18">
        <f t="shared" si="1"/>
        <v>51.223877775189429</v>
      </c>
      <c r="C18">
        <f>IFERROR(VLOOKUP($A18,TBAopr!$A:$B,2,FALSE),-1000)</f>
        <v>-1000</v>
      </c>
      <c r="D18">
        <f t="shared" si="12"/>
        <v>-1000</v>
      </c>
      <c r="E18">
        <f t="shared" si="2"/>
        <v>-1000</v>
      </c>
      <c r="F18">
        <f t="shared" si="3"/>
        <v>51.223877775189429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si="0"/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4">
        <v>1768</v>
      </c>
      <c r="R18" s="165">
        <v>46.990583537529162</v>
      </c>
      <c r="S18" s="164">
        <v>2342</v>
      </c>
      <c r="T18" s="165">
        <v>100.45567251722014</v>
      </c>
      <c r="U18" s="164">
        <v>2067</v>
      </c>
      <c r="V18" s="171">
        <v>106.17850797877119</v>
      </c>
      <c r="W18" s="164">
        <v>3566</v>
      </c>
      <c r="X18" s="171">
        <v>72.075308696473726</v>
      </c>
      <c r="Y18" s="164">
        <v>3634</v>
      </c>
      <c r="Z18" s="205">
        <v>24.577208264341397</v>
      </c>
      <c r="AA18" s="164">
        <v>2877</v>
      </c>
      <c r="AB18" s="196">
        <v>199.91105644899423</v>
      </c>
      <c r="AC18">
        <v>1757</v>
      </c>
      <c r="AD18">
        <v>74.672369304857909</v>
      </c>
      <c r="AE18">
        <v>1786</v>
      </c>
      <c r="AF18">
        <v>56.551405723263898</v>
      </c>
      <c r="AG18">
        <v>3609</v>
      </c>
      <c r="AH18">
        <v>51.149402872719143</v>
      </c>
    </row>
    <row r="19" spans="1:34">
      <c r="A19">
        <f>IF(EventTeam!$A:$A=0,"",EventTeam!$A:$A)</f>
        <v>1740</v>
      </c>
      <c r="B19">
        <f t="shared" si="1"/>
        <v>139.47135026977202</v>
      </c>
      <c r="C19">
        <f>IFERROR(VLOOKUP($A19,TBAopr!$A:$B,2,FALSE),-1000)</f>
        <v>139.47135026977202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0"/>
        <v>55.259659385649456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4">
        <v>1786</v>
      </c>
      <c r="R19" s="165">
        <v>44.841525567039227</v>
      </c>
      <c r="S19" s="164">
        <v>2876</v>
      </c>
      <c r="T19" s="165">
        <v>119.91482212101182</v>
      </c>
      <c r="U19" s="164">
        <v>2170</v>
      </c>
      <c r="V19" s="171">
        <v>75.218081977607142</v>
      </c>
      <c r="W19" s="164">
        <v>4041</v>
      </c>
      <c r="X19" s="171">
        <v>125.38224400879299</v>
      </c>
      <c r="Y19" s="164">
        <v>3654</v>
      </c>
      <c r="Z19" s="204">
        <v>65.686155090431043</v>
      </c>
      <c r="AA19" s="164">
        <v>3205</v>
      </c>
      <c r="AB19" s="197">
        <v>90.216087620726142</v>
      </c>
      <c r="AC19">
        <v>1922</v>
      </c>
      <c r="AD19">
        <v>53.412164175007511</v>
      </c>
      <c r="AE19">
        <v>3323</v>
      </c>
      <c r="AF19">
        <v>54.988764251147082</v>
      </c>
      <c r="AG19">
        <v>3930</v>
      </c>
      <c r="AH19">
        <v>82.89697313895158</v>
      </c>
    </row>
    <row r="20" spans="1:34">
      <c r="A20">
        <f>IF(EventTeam!$A:$A=0,"",EventTeam!$A:$A)</f>
        <v>1973</v>
      </c>
      <c r="B20">
        <f t="shared" si="1"/>
        <v>53.800881659179254</v>
      </c>
      <c r="C20">
        <f>IFERROR(VLOOKUP($A20,TBAopr!$A:$B,2,FALSE),-1000)</f>
        <v>53.800881659179254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0"/>
        <v>8.222284541511371E-2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4">
        <v>1831</v>
      </c>
      <c r="R20" s="165">
        <v>69.066960184910329</v>
      </c>
      <c r="S20" s="164">
        <v>3205</v>
      </c>
      <c r="T20" s="165">
        <v>45.199909362893735</v>
      </c>
      <c r="U20" s="164">
        <v>3182</v>
      </c>
      <c r="V20" s="171">
        <v>74.004059928578059</v>
      </c>
      <c r="W20" s="164">
        <v>4151</v>
      </c>
      <c r="X20" s="171">
        <v>18.869508545364702</v>
      </c>
      <c r="Y20" s="164">
        <v>3958</v>
      </c>
      <c r="Z20" s="205">
        <v>122.4384888043666</v>
      </c>
      <c r="AA20" s="164">
        <v>3467</v>
      </c>
      <c r="AB20" s="196">
        <v>80.564798199139503</v>
      </c>
      <c r="AC20">
        <v>1973</v>
      </c>
      <c r="AD20">
        <v>8.222284541511371E-2</v>
      </c>
      <c r="AE20">
        <v>3451</v>
      </c>
      <c r="AF20">
        <v>85.864498520733676</v>
      </c>
      <c r="AG20">
        <v>4041</v>
      </c>
      <c r="AH20">
        <v>158.69244683515936</v>
      </c>
    </row>
    <row r="21" spans="1:34">
      <c r="A21">
        <f>IF(EventTeam!$A:$A=0,"",EventTeam!$A:$A)</f>
        <v>1991</v>
      </c>
      <c r="B21">
        <f t="shared" si="1"/>
        <v>90.893715887951487</v>
      </c>
      <c r="C21">
        <f>IFERROR(VLOOKUP($A21,TBAopr!$A:$B,2,FALSE),-1000)</f>
        <v>90.893715887951487</v>
      </c>
      <c r="D21">
        <f t="shared" si="12"/>
        <v>56.187476034814651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si="5"/>
        <v>-1000</v>
      </c>
      <c r="I21">
        <f t="shared" si="6"/>
        <v>-1000</v>
      </c>
      <c r="J21">
        <f t="shared" si="0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4">
        <v>1991</v>
      </c>
      <c r="R21" s="165">
        <v>56.187476034814651</v>
      </c>
      <c r="S21" s="164">
        <v>3323</v>
      </c>
      <c r="T21" s="165">
        <v>23.010418799985963</v>
      </c>
      <c r="U21" s="164">
        <v>3314</v>
      </c>
      <c r="V21" s="171">
        <v>107.064786084787</v>
      </c>
      <c r="W21" s="164">
        <v>4169</v>
      </c>
      <c r="X21" s="171">
        <v>-9.2358734360547849</v>
      </c>
      <c r="Y21" s="164">
        <v>4055</v>
      </c>
      <c r="Z21" s="204">
        <v>85.348245894308945</v>
      </c>
      <c r="AA21" s="164">
        <v>4034</v>
      </c>
      <c r="AB21" s="197">
        <v>54.370063347278531</v>
      </c>
      <c r="AC21">
        <v>2079</v>
      </c>
      <c r="AD21">
        <v>116.499039202623</v>
      </c>
      <c r="AE21">
        <v>3499</v>
      </c>
      <c r="AF21">
        <v>48.228701099420554</v>
      </c>
      <c r="AG21">
        <v>4042</v>
      </c>
      <c r="AH21">
        <v>60.819966699824604</v>
      </c>
    </row>
    <row r="22" spans="1:34">
      <c r="A22">
        <f>IF(EventTeam!$A:$A=0,"",EventTeam!$A:$A)</f>
        <v>2064</v>
      </c>
      <c r="B22">
        <f t="shared" si="1"/>
        <v>74.593468161879514</v>
      </c>
      <c r="C22">
        <f>IFERROR(VLOOKUP($A22,TBAopr!$A:$B,2,FALSE),-1000)</f>
        <v>74.593468161879514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5"/>
        <v>87.05051743585534</v>
      </c>
      <c r="I22">
        <f t="shared" si="6"/>
        <v>-1000</v>
      </c>
      <c r="J22">
        <f t="shared" si="0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4">
        <v>2262</v>
      </c>
      <c r="R22" s="165">
        <v>61.575974173407417</v>
      </c>
      <c r="S22" s="164">
        <v>3930</v>
      </c>
      <c r="T22" s="165">
        <v>84.116299450434752</v>
      </c>
      <c r="U22" s="164">
        <v>3461</v>
      </c>
      <c r="V22" s="171">
        <v>166.51204001830405</v>
      </c>
      <c r="W22" s="164">
        <v>4176</v>
      </c>
      <c r="X22" s="171">
        <v>47.090805502962994</v>
      </c>
      <c r="Y22" s="164">
        <v>4557</v>
      </c>
      <c r="Z22" s="205">
        <v>151.98857571810615</v>
      </c>
      <c r="AA22" s="164">
        <v>4169</v>
      </c>
      <c r="AB22" s="196">
        <v>109.49615072800036</v>
      </c>
      <c r="AC22">
        <v>2168</v>
      </c>
      <c r="AD22">
        <v>150.6651327921949</v>
      </c>
      <c r="AE22">
        <v>3597</v>
      </c>
      <c r="AF22">
        <v>78.466862804008002</v>
      </c>
      <c r="AG22">
        <v>4055</v>
      </c>
      <c r="AH22">
        <v>151.13774606010313</v>
      </c>
    </row>
    <row r="23" spans="1:34">
      <c r="A23">
        <f>IF(EventTeam!$A:$A=0,"",EventTeam!$A:$A)</f>
        <v>2067</v>
      </c>
      <c r="B23">
        <f t="shared" si="1"/>
        <v>134.74558762008832</v>
      </c>
      <c r="C23">
        <f>IFERROR(VLOOKUP($A23,TBAopr!$A:$B,2,FALSE),-1000)</f>
        <v>134.74558762008832</v>
      </c>
      <c r="D23">
        <f t="shared" si="12"/>
        <v>-1000</v>
      </c>
      <c r="E23">
        <f t="shared" si="2"/>
        <v>-1000</v>
      </c>
      <c r="F23">
        <f t="shared" si="3"/>
        <v>106.17850797877119</v>
      </c>
      <c r="G23">
        <f t="shared" si="4"/>
        <v>-1000</v>
      </c>
      <c r="H23">
        <f t="shared" si="5"/>
        <v>150.45753119830613</v>
      </c>
      <c r="I23">
        <f t="shared" si="6"/>
        <v>-1000</v>
      </c>
      <c r="J23">
        <f t="shared" si="0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4">
        <v>2370</v>
      </c>
      <c r="R23" s="165">
        <v>138.99596124743914</v>
      </c>
      <c r="S23" s="164">
        <v>3958</v>
      </c>
      <c r="T23" s="165">
        <v>60.887613320929837</v>
      </c>
      <c r="U23" s="164">
        <v>3464</v>
      </c>
      <c r="V23" s="171">
        <v>47.267283871659643</v>
      </c>
      <c r="W23" s="164">
        <v>4761</v>
      </c>
      <c r="X23" s="171">
        <v>63.836764511398329</v>
      </c>
      <c r="Y23" s="164">
        <v>4572</v>
      </c>
      <c r="Z23" s="204">
        <v>43.183385644342337</v>
      </c>
      <c r="AA23" s="164">
        <v>4311</v>
      </c>
      <c r="AB23" s="197">
        <v>40.529833614304394</v>
      </c>
      <c r="AC23">
        <v>2262</v>
      </c>
      <c r="AD23">
        <v>50.091348867019072</v>
      </c>
      <c r="AE23">
        <v>3609</v>
      </c>
      <c r="AF23">
        <v>73.985005911885622</v>
      </c>
      <c r="AG23">
        <v>4473</v>
      </c>
      <c r="AH23">
        <v>106.13671122129968</v>
      </c>
    </row>
    <row r="24" spans="1:34">
      <c r="A24">
        <f>IF(EventTeam!$A:$A=0,"",EventTeam!$A:$A)</f>
        <v>2170</v>
      </c>
      <c r="B24">
        <f t="shared" si="1"/>
        <v>172.27927355586371</v>
      </c>
      <c r="C24">
        <f>IFERROR(VLOOKUP($A24,TBAopr!$A:$B,2,FALSE),-1000)</f>
        <v>172.27927355586371</v>
      </c>
      <c r="D24">
        <f t="shared" si="12"/>
        <v>-1000</v>
      </c>
      <c r="E24">
        <f t="shared" si="2"/>
        <v>-1000</v>
      </c>
      <c r="F24">
        <f t="shared" si="3"/>
        <v>75.218081977607142</v>
      </c>
      <c r="G24">
        <f t="shared" si="4"/>
        <v>-1000</v>
      </c>
      <c r="H24">
        <f t="shared" si="5"/>
        <v>-1000</v>
      </c>
      <c r="I24">
        <f t="shared" si="6"/>
        <v>-1000</v>
      </c>
      <c r="J24">
        <f t="shared" si="0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4">
        <v>2785</v>
      </c>
      <c r="R24" s="165">
        <v>14.581271142968196</v>
      </c>
      <c r="S24" s="164">
        <v>5265</v>
      </c>
      <c r="T24" s="165">
        <v>66.985437805477915</v>
      </c>
      <c r="U24" s="164">
        <v>3525</v>
      </c>
      <c r="V24" s="171">
        <v>43.220144958793355</v>
      </c>
      <c r="W24" s="164">
        <v>4796</v>
      </c>
      <c r="X24" s="171">
        <v>70.11700339793471</v>
      </c>
      <c r="Y24" s="164">
        <v>5687</v>
      </c>
      <c r="Z24" s="205">
        <v>179.99161238070084</v>
      </c>
      <c r="AA24" s="164">
        <v>4473</v>
      </c>
      <c r="AB24" s="196">
        <v>78.660882059995842</v>
      </c>
      <c r="AC24">
        <v>3146</v>
      </c>
      <c r="AD24">
        <v>88.528080412277532</v>
      </c>
      <c r="AE24">
        <v>4546</v>
      </c>
      <c r="AF24">
        <v>131.32213063092468</v>
      </c>
      <c r="AG24">
        <v>4546</v>
      </c>
      <c r="AH24">
        <v>81.153075200094378</v>
      </c>
    </row>
    <row r="25" spans="1:34">
      <c r="A25">
        <f>IF(EventTeam!$A:$A=0,"",EventTeam!$A:$A)</f>
        <v>2785</v>
      </c>
      <c r="B25">
        <f t="shared" si="1"/>
        <v>60.199625631851021</v>
      </c>
      <c r="C25">
        <f>IFERROR(VLOOKUP($A25,TBAopr!$A:$B,2,FALSE),-1000)</f>
        <v>60.199625631851021</v>
      </c>
      <c r="D25">
        <f t="shared" si="12"/>
        <v>14.581271142968196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5"/>
        <v>-1000</v>
      </c>
      <c r="I25">
        <f t="shared" si="6"/>
        <v>-1000</v>
      </c>
      <c r="J25">
        <f t="shared" si="0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4">
        <v>3236</v>
      </c>
      <c r="R25" s="165">
        <v>140.02900456789376</v>
      </c>
      <c r="S25" s="164">
        <v>5459</v>
      </c>
      <c r="T25" s="165">
        <v>67.619876205045614</v>
      </c>
      <c r="U25" s="164">
        <v>4055</v>
      </c>
      <c r="V25" s="171">
        <v>73.642403550475706</v>
      </c>
      <c r="W25" s="164">
        <v>4908</v>
      </c>
      <c r="X25" s="171">
        <v>122.81370475432422</v>
      </c>
      <c r="Y25" s="164">
        <v>5746</v>
      </c>
      <c r="Z25" s="204">
        <v>119.64585667035338</v>
      </c>
      <c r="AA25" s="164">
        <v>4761</v>
      </c>
      <c r="AB25" s="197">
        <v>73.179921357578962</v>
      </c>
      <c r="AC25">
        <v>3236</v>
      </c>
      <c r="AD25">
        <v>119.92418963088532</v>
      </c>
      <c r="AE25">
        <v>4555</v>
      </c>
      <c r="AF25">
        <v>84.180481953593358</v>
      </c>
      <c r="AG25">
        <v>4555</v>
      </c>
      <c r="AH25">
        <v>46.593075442448701</v>
      </c>
    </row>
    <row r="26" spans="1:34">
      <c r="A26">
        <f>IF(EventTeam!$A:$A=0,"",EventTeam!$A:$A)</f>
        <v>2836</v>
      </c>
      <c r="B26">
        <f t="shared" si="1"/>
        <v>115.94646102402623</v>
      </c>
      <c r="C26">
        <f>IFERROR(VLOOKUP($A26,TBAopr!$A:$B,2,FALSE),-1000)</f>
        <v>115.94646102402623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5"/>
        <v>140.29974636184593</v>
      </c>
      <c r="I26">
        <f t="shared" si="6"/>
        <v>-1000</v>
      </c>
      <c r="J26">
        <f t="shared" si="0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4">
        <v>3466</v>
      </c>
      <c r="R26" s="165">
        <v>47.753789367945465</v>
      </c>
      <c r="S26" s="164">
        <v>5471</v>
      </c>
      <c r="T26" s="165">
        <v>56.436516963365534</v>
      </c>
      <c r="U26" s="164">
        <v>4097</v>
      </c>
      <c r="V26" s="171">
        <v>88.737835755429728</v>
      </c>
      <c r="W26" s="164">
        <v>5000</v>
      </c>
      <c r="X26" s="171">
        <v>106.62765179634448</v>
      </c>
      <c r="Y26" s="164">
        <v>5856</v>
      </c>
      <c r="Z26" s="205">
        <v>108.5791836337168</v>
      </c>
      <c r="AA26" s="164">
        <v>4905</v>
      </c>
      <c r="AB26" s="196">
        <v>157.2610917763887</v>
      </c>
      <c r="AC26">
        <v>3461</v>
      </c>
      <c r="AD26">
        <v>117.81259652360755</v>
      </c>
      <c r="AE26">
        <v>4925</v>
      </c>
      <c r="AF26">
        <v>82.417686230940987</v>
      </c>
      <c r="AG26">
        <v>4564</v>
      </c>
      <c r="AH26">
        <v>188.56106855188409</v>
      </c>
    </row>
    <row r="27" spans="1:34">
      <c r="A27">
        <f>IF(EventTeam!$A:$A=0,"",EventTeam!$A:$A)</f>
        <v>3104</v>
      </c>
      <c r="B27">
        <f t="shared" si="1"/>
        <v>44.547264262867223</v>
      </c>
      <c r="C27">
        <f>IFERROR(VLOOKUP($A27,TBAopr!$A:$B,2,FALSE),-1000)</f>
        <v>-1000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5"/>
        <v>44.547264262867223</v>
      </c>
      <c r="I27">
        <f t="shared" si="6"/>
        <v>-1000</v>
      </c>
      <c r="J27">
        <f t="shared" si="0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4">
        <v>3555</v>
      </c>
      <c r="R27" s="165">
        <v>122.07153151898936</v>
      </c>
      <c r="S27" s="164">
        <v>5556</v>
      </c>
      <c r="T27" s="165">
        <v>37.67719594159459</v>
      </c>
      <c r="U27" s="164">
        <v>4557</v>
      </c>
      <c r="V27" s="171">
        <v>161.63381656932893</v>
      </c>
      <c r="W27" s="164">
        <v>5112</v>
      </c>
      <c r="X27" s="171">
        <v>96.980555939688244</v>
      </c>
      <c r="Y27" s="164">
        <v>6346</v>
      </c>
      <c r="Z27" s="204">
        <v>28.362089677049937</v>
      </c>
      <c r="AA27" s="164">
        <v>4906</v>
      </c>
      <c r="AB27" s="197">
        <v>91.624457847416906</v>
      </c>
      <c r="AC27">
        <v>3466</v>
      </c>
      <c r="AD27">
        <v>88.433792561674139</v>
      </c>
      <c r="AE27">
        <v>4929</v>
      </c>
      <c r="AF27">
        <v>40.695064822359477</v>
      </c>
      <c r="AG27">
        <v>4906</v>
      </c>
      <c r="AH27">
        <v>100.80845137415444</v>
      </c>
    </row>
    <row r="28" spans="1:34">
      <c r="A28">
        <f>IF(EventTeam!$A:$A=0,"",EventTeam!$A:$A)</f>
        <v>3146</v>
      </c>
      <c r="B28">
        <f t="shared" si="1"/>
        <v>116.94260138087633</v>
      </c>
      <c r="C28">
        <f>IFERROR(VLOOKUP($A28,TBAopr!$A:$B,2,FALSE),-1000)</f>
        <v>116.94260138087633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5"/>
        <v>-1000</v>
      </c>
      <c r="I28">
        <f t="shared" si="6"/>
        <v>-1000</v>
      </c>
      <c r="J28">
        <f t="shared" si="0"/>
        <v>88.528080412277532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4">
        <v>3566</v>
      </c>
      <c r="R28" s="165">
        <v>79.863776433816213</v>
      </c>
      <c r="S28" s="164">
        <v>5686</v>
      </c>
      <c r="T28" s="165">
        <v>81.849823570863535</v>
      </c>
      <c r="U28" s="164">
        <v>4572</v>
      </c>
      <c r="V28" s="171">
        <v>55.517642646631721</v>
      </c>
      <c r="W28" s="164">
        <v>5422</v>
      </c>
      <c r="X28" s="171">
        <v>69.59042177364789</v>
      </c>
      <c r="Y28" s="164">
        <v>6367</v>
      </c>
      <c r="Z28" s="205">
        <v>39.716163686519359</v>
      </c>
      <c r="AA28" s="164">
        <v>4909</v>
      </c>
      <c r="AB28" s="196">
        <v>136.12033200879432</v>
      </c>
      <c r="AC28">
        <v>3623</v>
      </c>
      <c r="AD28">
        <v>126.42045178572016</v>
      </c>
      <c r="AE28">
        <v>4958</v>
      </c>
      <c r="AF28">
        <v>73.861761688105332</v>
      </c>
      <c r="AG28">
        <v>4925</v>
      </c>
      <c r="AH28">
        <v>44.322250569851072</v>
      </c>
    </row>
    <row r="29" spans="1:34">
      <c r="A29">
        <f>IF(EventTeam!$A:$A=0,"",EventTeam!$A:$A)</f>
        <v>3182</v>
      </c>
      <c r="B29">
        <f t="shared" si="1"/>
        <v>92.343138694651316</v>
      </c>
      <c r="C29">
        <f>IFERROR(VLOOKUP($A29,TBAopr!$A:$B,2,FALSE),-1000)</f>
        <v>92.343138694651316</v>
      </c>
      <c r="D29">
        <f t="shared" si="12"/>
        <v>-1000</v>
      </c>
      <c r="E29">
        <f t="shared" si="2"/>
        <v>-1000</v>
      </c>
      <c r="F29">
        <f t="shared" si="3"/>
        <v>74.004059928578059</v>
      </c>
      <c r="G29">
        <f t="shared" si="4"/>
        <v>-1000</v>
      </c>
      <c r="H29">
        <f t="shared" si="5"/>
        <v>-1000</v>
      </c>
      <c r="I29">
        <f t="shared" si="6"/>
        <v>-1000</v>
      </c>
      <c r="J29">
        <f t="shared" si="0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4">
        <v>3623</v>
      </c>
      <c r="R29" s="165">
        <v>74.667225826128416</v>
      </c>
      <c r="S29" s="164">
        <v>5687</v>
      </c>
      <c r="T29" s="165">
        <v>173.06872655478037</v>
      </c>
      <c r="U29" s="164">
        <v>5129</v>
      </c>
      <c r="V29" s="171">
        <v>13.888121467236076</v>
      </c>
      <c r="W29" s="164">
        <v>5563</v>
      </c>
      <c r="X29" s="171">
        <v>119.64721239374715</v>
      </c>
      <c r="Y29" s="164">
        <v>6811</v>
      </c>
      <c r="Z29" s="204">
        <v>22.861404663746271</v>
      </c>
      <c r="AA29" s="164">
        <v>5122</v>
      </c>
      <c r="AB29" s="197">
        <v>18.727831386558844</v>
      </c>
      <c r="AC29">
        <v>3719</v>
      </c>
      <c r="AD29">
        <v>97.268429572543539</v>
      </c>
      <c r="AE29">
        <v>5422</v>
      </c>
      <c r="AF29">
        <v>24.082328883555107</v>
      </c>
      <c r="AG29">
        <v>4958</v>
      </c>
      <c r="AH29">
        <v>64.821287753438057</v>
      </c>
    </row>
    <row r="30" spans="1:34">
      <c r="A30">
        <f>IF(EventTeam!$A:$A=0,"",EventTeam!$A:$A)</f>
        <v>3464</v>
      </c>
      <c r="B30">
        <f t="shared" si="1"/>
        <v>114.0938653919908</v>
      </c>
      <c r="C30">
        <f>IFERROR(VLOOKUP($A30,TBAopr!$A:$B,2,FALSE),-1000)</f>
        <v>114.0938653919908</v>
      </c>
      <c r="D30">
        <f t="shared" si="12"/>
        <v>-1000</v>
      </c>
      <c r="E30">
        <f t="shared" si="2"/>
        <v>-1000</v>
      </c>
      <c r="F30">
        <f t="shared" si="3"/>
        <v>47.267283871659643</v>
      </c>
      <c r="G30">
        <f t="shared" si="4"/>
        <v>-1000</v>
      </c>
      <c r="H30">
        <f t="shared" si="5"/>
        <v>-1000</v>
      </c>
      <c r="I30">
        <f t="shared" si="6"/>
        <v>-1000</v>
      </c>
      <c r="J30">
        <f t="shared" si="0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4">
        <v>3719</v>
      </c>
      <c r="R30" s="165">
        <v>36.972081797985325</v>
      </c>
      <c r="S30" s="164">
        <v>5902</v>
      </c>
      <c r="T30" s="165">
        <v>28.115023011131942</v>
      </c>
      <c r="U30" s="164">
        <v>5142</v>
      </c>
      <c r="V30" s="171">
        <v>93.195255592435316</v>
      </c>
      <c r="W30" s="164">
        <v>5813</v>
      </c>
      <c r="X30" s="171">
        <v>135.85729368257319</v>
      </c>
      <c r="Y30" s="164">
        <v>7127</v>
      </c>
      <c r="Z30" s="205">
        <v>57.139978389606931</v>
      </c>
      <c r="AA30" s="164">
        <v>5347</v>
      </c>
      <c r="AB30" s="196">
        <v>73.315978679423495</v>
      </c>
      <c r="AC30">
        <v>4048</v>
      </c>
      <c r="AD30">
        <v>142.83763943846557</v>
      </c>
      <c r="AE30">
        <v>5506</v>
      </c>
      <c r="AF30">
        <v>93.173334399853317</v>
      </c>
      <c r="AG30">
        <v>5122</v>
      </c>
      <c r="AH30">
        <v>63.11140455685927</v>
      </c>
    </row>
    <row r="31" spans="1:34" ht="15.75" thickBot="1">
      <c r="A31">
        <f>IF(EventTeam!$A:$A=0,"",EventTeam!$A:$A)</f>
        <v>3634</v>
      </c>
      <c r="B31">
        <f t="shared" si="1"/>
        <v>31.189296330722499</v>
      </c>
      <c r="C31">
        <f>IFERROR(VLOOKUP($A31,TBAopr!$A:$B,2,FALSE),-1000)</f>
        <v>31.189296330722499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5"/>
        <v>24.577208264341397</v>
      </c>
      <c r="I31">
        <f t="shared" si="6"/>
        <v>-1000</v>
      </c>
      <c r="J31">
        <f t="shared" si="0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4">
        <v>4042</v>
      </c>
      <c r="R31" s="165">
        <v>61.459248664020464</v>
      </c>
      <c r="S31" s="164">
        <v>6324</v>
      </c>
      <c r="T31" s="165">
        <v>50.052930658320442</v>
      </c>
      <c r="U31" s="164">
        <v>5856</v>
      </c>
      <c r="V31" s="171">
        <v>116.36109633873052</v>
      </c>
      <c r="W31" s="164">
        <v>5846</v>
      </c>
      <c r="X31" s="171">
        <v>146.97882267485977</v>
      </c>
      <c r="Y31" s="166">
        <v>7153</v>
      </c>
      <c r="Z31" s="206">
        <v>37.801991084433617</v>
      </c>
      <c r="AA31" s="164">
        <v>5459</v>
      </c>
      <c r="AB31" s="197">
        <v>77.061939713011938</v>
      </c>
      <c r="AC31">
        <v>4097</v>
      </c>
      <c r="AD31">
        <v>65.762907084257279</v>
      </c>
      <c r="AE31">
        <v>5633</v>
      </c>
      <c r="AF31">
        <v>101.58364963522112</v>
      </c>
      <c r="AG31">
        <v>5265</v>
      </c>
      <c r="AH31">
        <v>96.074239130919196</v>
      </c>
    </row>
    <row r="32" spans="1:34">
      <c r="A32">
        <f>IF(EventTeam!$A:$A=0,"",EventTeam!$A:$A)</f>
        <v>3654</v>
      </c>
      <c r="B32">
        <f t="shared" si="1"/>
        <v>91.329003402311969</v>
      </c>
      <c r="C32">
        <f>IFERROR(VLOOKUP($A32,TBAopr!$A:$B,2,FALSE),-1000)</f>
        <v>91.329003402311969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5"/>
        <v>65.686155090431043</v>
      </c>
      <c r="I32">
        <f t="shared" si="6"/>
        <v>-1000</v>
      </c>
      <c r="J32">
        <f t="shared" si="0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4">
        <v>4048</v>
      </c>
      <c r="R32" s="165">
        <v>87.205142049460676</v>
      </c>
      <c r="S32" s="164">
        <v>6335</v>
      </c>
      <c r="T32" s="165">
        <v>55.803009514163939</v>
      </c>
      <c r="U32" s="164">
        <v>6723</v>
      </c>
      <c r="V32" s="171">
        <v>77.963168536734784</v>
      </c>
      <c r="W32" s="164">
        <v>6153</v>
      </c>
      <c r="X32" s="165">
        <v>84.182283453629921</v>
      </c>
      <c r="Y32" s="171"/>
      <c r="Z32" s="171"/>
      <c r="AA32" s="164">
        <v>5556</v>
      </c>
      <c r="AB32" s="196">
        <v>43.043318948158529</v>
      </c>
      <c r="AC32">
        <v>4151</v>
      </c>
      <c r="AD32">
        <v>96.044526043355887</v>
      </c>
      <c r="AE32">
        <v>5813</v>
      </c>
      <c r="AF32">
        <v>176.83289169692901</v>
      </c>
      <c r="AG32">
        <v>5471</v>
      </c>
      <c r="AH32">
        <v>58.27261284115054</v>
      </c>
    </row>
    <row r="33" spans="1:34" ht="15.75" thickBot="1">
      <c r="A33">
        <f>IF(EventTeam!$A:$A=0,"",EventTeam!$A:$A)</f>
        <v>4987</v>
      </c>
      <c r="B33">
        <f t="shared" si="1"/>
        <v>51.219339236546112</v>
      </c>
      <c r="C33">
        <f>IFERROR(VLOOKUP($A33,TBAopr!$A:$B,2,FALSE),-1000)</f>
        <v>51.219339236546112</v>
      </c>
      <c r="D33">
        <f t="shared" si="12"/>
        <v>64.089328865736547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5"/>
        <v>-1000</v>
      </c>
      <c r="I33">
        <f t="shared" si="6"/>
        <v>-1000</v>
      </c>
      <c r="J33">
        <f t="shared" si="0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4">
        <v>4564</v>
      </c>
      <c r="R33" s="165">
        <v>156.4753373529515</v>
      </c>
      <c r="S33" s="164">
        <v>6691</v>
      </c>
      <c r="T33" s="165">
        <v>57.480661988510533</v>
      </c>
      <c r="U33" s="166">
        <v>7266</v>
      </c>
      <c r="V33" s="172">
        <v>45.646158207134029</v>
      </c>
      <c r="W33" s="164">
        <v>6172</v>
      </c>
      <c r="X33" s="165">
        <v>120.33534631218708</v>
      </c>
      <c r="Y33" s="171"/>
      <c r="Z33" s="171"/>
      <c r="AA33" s="164">
        <v>5735</v>
      </c>
      <c r="AB33" s="197">
        <v>128.65102821126618</v>
      </c>
      <c r="AC33">
        <v>4176</v>
      </c>
      <c r="AD33">
        <v>126.44856615264108</v>
      </c>
      <c r="AE33">
        <v>5902</v>
      </c>
      <c r="AF33">
        <v>30.158852287441725</v>
      </c>
      <c r="AG33">
        <v>5506</v>
      </c>
      <c r="AH33">
        <v>43.327777348308587</v>
      </c>
    </row>
    <row r="34" spans="1:34">
      <c r="A34">
        <f>IF(EventTeam!$A:$A=0,"",EventTeam!$A:$A)</f>
        <v>5129</v>
      </c>
      <c r="B34">
        <f t="shared" si="1"/>
        <v>48.309309169628946</v>
      </c>
      <c r="C34">
        <f>IFERROR(VLOOKUP($A34,TBAopr!$A:$B,2,FALSE),-1000)</f>
        <v>48.309309169628946</v>
      </c>
      <c r="D34">
        <f t="shared" si="12"/>
        <v>-1000</v>
      </c>
      <c r="E34">
        <f t="shared" si="2"/>
        <v>-1000</v>
      </c>
      <c r="F34">
        <f t="shared" si="3"/>
        <v>13.888121467236076</v>
      </c>
      <c r="G34">
        <f t="shared" si="4"/>
        <v>-1000</v>
      </c>
      <c r="H34">
        <f t="shared" si="5"/>
        <v>-1000</v>
      </c>
      <c r="I34">
        <f t="shared" si="6"/>
        <v>-1000</v>
      </c>
      <c r="J34">
        <f t="shared" si="0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4">
        <v>4905</v>
      </c>
      <c r="R34" s="165">
        <v>84.170546625233285</v>
      </c>
      <c r="S34" s="164">
        <v>6933</v>
      </c>
      <c r="T34" s="165">
        <v>171.26483794978807</v>
      </c>
      <c r="W34" s="164">
        <v>6201</v>
      </c>
      <c r="X34" s="165">
        <v>115.43633030529162</v>
      </c>
      <c r="Y34" s="171"/>
      <c r="Z34" s="171"/>
      <c r="AA34" s="164">
        <v>5752</v>
      </c>
      <c r="AB34" s="196">
        <v>26.962582811984973</v>
      </c>
      <c r="AC34">
        <v>4796</v>
      </c>
      <c r="AD34">
        <v>102.18780061781526</v>
      </c>
      <c r="AE34">
        <v>6367</v>
      </c>
      <c r="AF34">
        <v>99.623727922384049</v>
      </c>
      <c r="AG34">
        <v>5633</v>
      </c>
      <c r="AH34">
        <v>71.678991013520829</v>
      </c>
    </row>
    <row r="35" spans="1:34">
      <c r="A35">
        <f>IF(EventTeam!$A:$A=0,"",EventTeam!$A:$A)</f>
        <v>5142</v>
      </c>
      <c r="B35">
        <f t="shared" si="1"/>
        <v>62.087372793613511</v>
      </c>
      <c r="C35">
        <f>IFERROR(VLOOKUP($A35,TBAopr!$A:$B,2,FALSE),-1000)</f>
        <v>62.087372793613511</v>
      </c>
      <c r="D35">
        <f t="shared" si="12"/>
        <v>-1000</v>
      </c>
      <c r="E35">
        <f t="shared" si="2"/>
        <v>-1000</v>
      </c>
      <c r="F35">
        <f t="shared" si="3"/>
        <v>93.195255592435316</v>
      </c>
      <c r="G35">
        <f t="shared" si="4"/>
        <v>-1000</v>
      </c>
      <c r="H35">
        <f t="shared" si="5"/>
        <v>-1000</v>
      </c>
      <c r="I35">
        <f t="shared" si="6"/>
        <v>-1000</v>
      </c>
      <c r="J35">
        <f t="shared" si="0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4">
        <v>4987</v>
      </c>
      <c r="R35" s="165">
        <v>64.089328865736547</v>
      </c>
      <c r="S35" s="164">
        <v>7133</v>
      </c>
      <c r="T35" s="165">
        <v>17.506164593224419</v>
      </c>
      <c r="W35" s="164">
        <v>6224</v>
      </c>
      <c r="X35" s="165">
        <v>119.28660680113316</v>
      </c>
      <c r="Y35" s="171"/>
      <c r="Z35" s="171"/>
      <c r="AA35" s="164">
        <v>5962</v>
      </c>
      <c r="AB35" s="197">
        <v>67.602499771433259</v>
      </c>
      <c r="AC35">
        <v>4908</v>
      </c>
      <c r="AD35">
        <v>165.14771383155332</v>
      </c>
      <c r="AE35">
        <v>6690</v>
      </c>
      <c r="AF35">
        <v>57.254173690402425</v>
      </c>
      <c r="AG35">
        <v>5687</v>
      </c>
      <c r="AH35">
        <v>142.65324180306024</v>
      </c>
    </row>
    <row r="36" spans="1:34" ht="15.75" thickBot="1">
      <c r="A36">
        <f>IF(EventTeam!$A:$A=0,"",EventTeam!$A:$A)</f>
        <v>5686</v>
      </c>
      <c r="B36">
        <f t="shared" si="1"/>
        <v>97.713355376360084</v>
      </c>
      <c r="C36">
        <f>IFERROR(VLOOKUP($A36,TBAopr!$A:$B,2,FALSE),-1000)</f>
        <v>97.713355376360084</v>
      </c>
      <c r="D36">
        <f t="shared" si="12"/>
        <v>-1000</v>
      </c>
      <c r="E36">
        <f t="shared" si="2"/>
        <v>81.849823570863535</v>
      </c>
      <c r="F36">
        <f t="shared" si="3"/>
        <v>-1000</v>
      </c>
      <c r="G36">
        <f t="shared" si="4"/>
        <v>-1000</v>
      </c>
      <c r="H36">
        <f t="shared" si="5"/>
        <v>-1000</v>
      </c>
      <c r="I36">
        <f t="shared" si="6"/>
        <v>-1000</v>
      </c>
      <c r="J36">
        <f t="shared" si="0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4">
        <v>5491</v>
      </c>
      <c r="R36" s="165">
        <v>35.651540629646945</v>
      </c>
      <c r="S36" s="166">
        <v>7314</v>
      </c>
      <c r="T36" s="167">
        <v>-2.4068304975059398</v>
      </c>
      <c r="W36" s="164">
        <v>6301</v>
      </c>
      <c r="X36" s="165">
        <v>33.246346857516855</v>
      </c>
      <c r="Y36" s="171"/>
      <c r="Z36" s="171"/>
      <c r="AA36" s="164">
        <v>6324</v>
      </c>
      <c r="AB36" s="196">
        <v>80.754730267938427</v>
      </c>
      <c r="AC36">
        <v>5000</v>
      </c>
      <c r="AD36">
        <v>142.30923934782638</v>
      </c>
      <c r="AE36">
        <v>6691</v>
      </c>
      <c r="AF36">
        <v>52.491418602658278</v>
      </c>
      <c r="AG36">
        <v>6153</v>
      </c>
      <c r="AH36">
        <v>95.647455815538876</v>
      </c>
    </row>
    <row r="37" spans="1:34">
      <c r="A37">
        <f>IF(EventTeam!$A:$A=0,"",EventTeam!$A:$A)</f>
        <v>5746</v>
      </c>
      <c r="B37">
        <f t="shared" si="1"/>
        <v>81.692607033571861</v>
      </c>
      <c r="C37">
        <f>IFERROR(VLOOKUP($A37,TBAopr!$A:$B,2,FALSE),-1000)</f>
        <v>81.692607033571861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5"/>
        <v>119.64585667035338</v>
      </c>
      <c r="I37">
        <f t="shared" si="6"/>
        <v>-1000</v>
      </c>
      <c r="J37">
        <f t="shared" si="0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4">
        <v>5494</v>
      </c>
      <c r="R37" s="165">
        <v>90.268339206374094</v>
      </c>
      <c r="W37" s="164">
        <v>6328</v>
      </c>
      <c r="X37" s="165">
        <v>71.164552901252534</v>
      </c>
      <c r="Y37" s="171"/>
      <c r="Z37" s="171"/>
      <c r="AA37" s="164">
        <v>6335</v>
      </c>
      <c r="AB37" s="197">
        <v>88.973013048290255</v>
      </c>
      <c r="AC37">
        <v>5112</v>
      </c>
      <c r="AD37">
        <v>103.72832656407728</v>
      </c>
      <c r="AE37">
        <v>6762</v>
      </c>
      <c r="AF37">
        <v>86.251050087517882</v>
      </c>
      <c r="AG37">
        <v>6161</v>
      </c>
      <c r="AH37">
        <v>68.532438144429676</v>
      </c>
    </row>
    <row r="38" spans="1:34">
      <c r="A38">
        <f>IF(EventTeam!$A:$A=0,"",EventTeam!$A:$A)</f>
        <v>6333</v>
      </c>
      <c r="B38">
        <f t="shared" si="1"/>
        <v>29.648154699228321</v>
      </c>
      <c r="C38">
        <f>IFERROR(VLOOKUP($A38,TBAopr!$A:$B,2,FALSE),-1000)</f>
        <v>29.648154699228321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5"/>
        <v>-1000</v>
      </c>
      <c r="I38">
        <f t="shared" si="6"/>
        <v>-1000</v>
      </c>
      <c r="J38">
        <f t="shared" si="0"/>
        <v>56.014197626326848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4">
        <v>5735</v>
      </c>
      <c r="R38" s="165">
        <v>115.05597665605448</v>
      </c>
      <c r="W38" s="164">
        <v>6337</v>
      </c>
      <c r="X38" s="165">
        <v>84.076988184546238</v>
      </c>
      <c r="Y38" s="171"/>
      <c r="Z38" s="171"/>
      <c r="AA38" s="164">
        <v>6731</v>
      </c>
      <c r="AB38" s="196">
        <v>155.06281389272812</v>
      </c>
      <c r="AC38">
        <v>5846</v>
      </c>
      <c r="AD38">
        <v>139.54860141072697</v>
      </c>
      <c r="AE38">
        <v>6895</v>
      </c>
      <c r="AF38">
        <v>25.709957586042893</v>
      </c>
      <c r="AG38">
        <v>6172</v>
      </c>
      <c r="AH38">
        <v>110.01156906290802</v>
      </c>
    </row>
    <row r="39" spans="1:34">
      <c r="A39">
        <f>IF(EventTeam!$A:$A=0,"",EventTeam!$A:$A)</f>
        <v>6346</v>
      </c>
      <c r="B39">
        <f t="shared" si="1"/>
        <v>91.723949099689619</v>
      </c>
      <c r="C39">
        <f>IFERROR(VLOOKUP($A39,TBAopr!$A:$B,2,FALSE),-1000)</f>
        <v>91.723949099689619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5"/>
        <v>28.362089677049937</v>
      </c>
      <c r="I39">
        <f t="shared" si="6"/>
        <v>-1000</v>
      </c>
      <c r="J39">
        <f t="shared" si="0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4">
        <v>6329</v>
      </c>
      <c r="R39" s="165">
        <v>121.48777843667074</v>
      </c>
      <c r="W39" s="164">
        <v>6529</v>
      </c>
      <c r="X39" s="165">
        <v>40.63927464289975</v>
      </c>
      <c r="Y39" s="171"/>
      <c r="Z39" s="171"/>
      <c r="AA39" s="164">
        <v>6762</v>
      </c>
      <c r="AB39" s="197">
        <v>40.451256475807945</v>
      </c>
      <c r="AC39">
        <v>6328</v>
      </c>
      <c r="AD39">
        <v>194.14134763006396</v>
      </c>
      <c r="AE39">
        <v>7126</v>
      </c>
      <c r="AF39">
        <v>46.666800212723579</v>
      </c>
      <c r="AG39">
        <v>6224</v>
      </c>
      <c r="AH39">
        <v>79.369228550312684</v>
      </c>
    </row>
    <row r="40" spans="1:34">
      <c r="A40">
        <f>IF(EventTeam!$A:$A=0,"",EventTeam!$A:$A)</f>
        <v>6811</v>
      </c>
      <c r="B40">
        <f t="shared" si="1"/>
        <v>32.677119451182477</v>
      </c>
      <c r="C40">
        <f>IFERROR(VLOOKUP($A40,TBAopr!$A:$B,2,FALSE),-1000)</f>
        <v>32.677119451182477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5"/>
        <v>22.861404663746271</v>
      </c>
      <c r="I40">
        <f t="shared" si="6"/>
        <v>-1000</v>
      </c>
      <c r="J40">
        <f t="shared" si="0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4">
        <v>6723</v>
      </c>
      <c r="R40" s="165">
        <v>30.258350805353299</v>
      </c>
      <c r="W40" s="164">
        <v>6620</v>
      </c>
      <c r="X40" s="165">
        <v>89.691377575773274</v>
      </c>
      <c r="Y40" s="171"/>
      <c r="Z40" s="171"/>
      <c r="AA40" s="164">
        <v>6763</v>
      </c>
      <c r="AB40" s="196">
        <v>155.81133741426632</v>
      </c>
      <c r="AC40">
        <v>6333</v>
      </c>
      <c r="AD40">
        <v>56.014197626326848</v>
      </c>
      <c r="AE40">
        <v>7133</v>
      </c>
      <c r="AF40">
        <v>42.879176083505939</v>
      </c>
      <c r="AG40">
        <v>6329</v>
      </c>
      <c r="AH40">
        <v>132.13957695500295</v>
      </c>
    </row>
    <row r="41" spans="1:34" ht="15.75" thickBot="1">
      <c r="A41">
        <f>IF(EventTeam!$A:$A=0,"",EventTeam!$A:$A)</f>
        <v>6812</v>
      </c>
      <c r="B41">
        <f t="shared" si="1"/>
        <v>43.869824843514799</v>
      </c>
      <c r="C41">
        <f>IFERROR(VLOOKUP($A41,TBAopr!$A:$B,2,FALSE),-1000)</f>
        <v>43.869824843514799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5"/>
        <v>-1000</v>
      </c>
      <c r="I41">
        <f t="shared" si="6"/>
        <v>-1000</v>
      </c>
      <c r="J41">
        <f t="shared" si="0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4">
        <v>7164</v>
      </c>
      <c r="R41" s="165">
        <v>80.998101722779822</v>
      </c>
      <c r="W41" s="166">
        <v>6731</v>
      </c>
      <c r="X41" s="167">
        <v>2.32943903920361</v>
      </c>
      <c r="Y41" s="171"/>
      <c r="Z41" s="171"/>
      <c r="AA41" s="166">
        <v>7240</v>
      </c>
      <c r="AB41" s="198">
        <v>69.065750166950437</v>
      </c>
      <c r="AC41">
        <v>6620</v>
      </c>
      <c r="AD41">
        <v>24.505674453673695</v>
      </c>
      <c r="AE41">
        <v>7212</v>
      </c>
      <c r="AF41">
        <v>88.275259321649287</v>
      </c>
      <c r="AG41">
        <v>6337</v>
      </c>
      <c r="AH41">
        <v>67.313793402389607</v>
      </c>
    </row>
    <row r="42" spans="1:34" ht="15.75" thickBot="1">
      <c r="A42">
        <f>IF(EventTeam!$A:$A=0,"",EventTeam!$A:$A)</f>
        <v>6895</v>
      </c>
      <c r="B42">
        <f t="shared" si="1"/>
        <v>27.727870879234143</v>
      </c>
      <c r="C42">
        <f>IFERROR(VLOOKUP($A42,TBAopr!$A:$B,2,FALSE),-1000)</f>
        <v>27.727870879234143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5"/>
        <v>-1000</v>
      </c>
      <c r="I42">
        <f t="shared" si="6"/>
        <v>-1000</v>
      </c>
      <c r="J42">
        <f t="shared" si="0"/>
        <v>-1000</v>
      </c>
      <c r="K42">
        <f t="shared" si="7"/>
        <v>25.709957586042893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6">
        <v>7259</v>
      </c>
      <c r="R42" s="167">
        <v>57.969726147466119</v>
      </c>
      <c r="AC42">
        <v>7164</v>
      </c>
      <c r="AD42">
        <v>48.493233148772291</v>
      </c>
      <c r="AE42">
        <v>7314</v>
      </c>
      <c r="AF42">
        <v>42.017049611074803</v>
      </c>
    </row>
    <row r="43" spans="1:34">
      <c r="A43">
        <f>IF(EventTeam!$A:$A=0,"",EventTeam!$A:$A)</f>
        <v>7127</v>
      </c>
      <c r="B43">
        <f t="shared" si="1"/>
        <v>97.355987560020239</v>
      </c>
      <c r="C43">
        <f>IFERROR(VLOOKUP($A43,TBAopr!$A:$B,2,FALSE),-1000)</f>
        <v>97.355987560020239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5"/>
        <v>57.139978389606931</v>
      </c>
      <c r="I43">
        <f t="shared" si="6"/>
        <v>-1000</v>
      </c>
      <c r="J43">
        <f t="shared" si="0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34">
      <c r="A44">
        <f>IF(EventTeam!$A:$A=0,"",EventTeam!$A:$A)</f>
        <v>7153</v>
      </c>
      <c r="B44">
        <f t="shared" si="1"/>
        <v>50.573044003936197</v>
      </c>
      <c r="C44">
        <f>IFERROR(VLOOKUP($A44,TBAopr!$A:$B,2,FALSE),-1000)</f>
        <v>50.573044003936197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5"/>
        <v>37.801991084433617</v>
      </c>
      <c r="I44">
        <f t="shared" si="6"/>
        <v>-1000</v>
      </c>
      <c r="J44">
        <f t="shared" si="0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34">
      <c r="A45" t="str">
        <f>IF(EventTeam!$A:$A=0,"",EventTeam!$A:$A)</f>
        <v/>
      </c>
      <c r="B45">
        <f t="shared" si="1"/>
        <v>-1000</v>
      </c>
      <c r="C45">
        <f>IFERROR(VLOOKUP($A45,TBAopr!$A:$B,2,FALSE),-1000)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5"/>
        <v>-1000</v>
      </c>
      <c r="I45">
        <f t="shared" si="6"/>
        <v>-1000</v>
      </c>
      <c r="J45">
        <f t="shared" si="0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34">
      <c r="A46" t="str">
        <f>IF(EventTeam!$A:$A=0,"",EventTeam!$A:$A)</f>
        <v/>
      </c>
      <c r="B46">
        <f t="shared" si="1"/>
        <v>-1000</v>
      </c>
      <c r="C46">
        <f>IFERROR(VLOOKUP($A46,TBAopr!$A:$B,2,FALSE),-1000)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5"/>
        <v>-1000</v>
      </c>
      <c r="I46">
        <f t="shared" si="6"/>
        <v>-1000</v>
      </c>
      <c r="J46">
        <f t="shared" si="0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34">
      <c r="A47" t="str">
        <f>IF(EventTeam!$A:$A=0,"",EventTeam!$A:$A)</f>
        <v/>
      </c>
      <c r="B47">
        <f t="shared" si="1"/>
        <v>-1000</v>
      </c>
      <c r="C47">
        <f>IFERROR(VLOOKUP($A47,TBAopr!$A:$B,2,FALSE),-1000)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5"/>
        <v>-1000</v>
      </c>
      <c r="I47">
        <f t="shared" si="6"/>
        <v>-1000</v>
      </c>
      <c r="J47">
        <f t="shared" si="0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34">
      <c r="A48" t="str">
        <f>IF(EventTeam!$A:$A=0,"",EventTeam!$A:$A)</f>
        <v/>
      </c>
      <c r="B48">
        <f t="shared" si="1"/>
        <v>-1000</v>
      </c>
      <c r="C48">
        <f>IFERROR(VLOOKUP($A48,TBAopr!$A:$B,2,FALSE),-1000)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5"/>
        <v>-1000</v>
      </c>
      <c r="I48">
        <f t="shared" si="6"/>
        <v>-1000</v>
      </c>
      <c r="J48">
        <f t="shared" si="0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IFERROR(VLOOKUP($A49,TBAopr!$A:$B,2,FALSE),-1000)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5"/>
        <v>-1000</v>
      </c>
      <c r="I49">
        <f t="shared" si="6"/>
        <v>-1000</v>
      </c>
      <c r="J49">
        <f t="shared" si="0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IFERROR(VLOOKUP($A50,TBAopr!$A:$B,2,FALSE),-1000)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5"/>
        <v>-1000</v>
      </c>
      <c r="I50">
        <f t="shared" si="6"/>
        <v>-1000</v>
      </c>
      <c r="J50">
        <f t="shared" si="0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IFERROR(VLOOKUP($A51,TBAopr!$A:$B,2,FALSE),-1000)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5"/>
        <v>-1000</v>
      </c>
      <c r="I51">
        <f t="shared" si="6"/>
        <v>-1000</v>
      </c>
      <c r="J51">
        <f t="shared" si="0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IFERROR(VLOOKUP($A52,TBAopr!$A:$B,2,FALSE),-1000)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5"/>
        <v>-1000</v>
      </c>
      <c r="I52">
        <f t="shared" si="6"/>
        <v>-1000</v>
      </c>
      <c r="J52">
        <f t="shared" si="0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IFERROR(VLOOKUP($A53,TBAopr!$A:$B,2,FALSE),-1000)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5"/>
        <v>-1000</v>
      </c>
      <c r="I53">
        <f t="shared" si="6"/>
        <v>-1000</v>
      </c>
      <c r="J53">
        <f t="shared" si="0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IFERROR(VLOOKUP($A54,TBAopr!$A:$B,2,FALSE),-1000)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5"/>
        <v>-1000</v>
      </c>
      <c r="I54">
        <f t="shared" si="6"/>
        <v>-1000</v>
      </c>
      <c r="J54">
        <f t="shared" si="0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IFERROR(VLOOKUP($A55,TBAopr!$A:$B,2,FALSE),-1000)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5"/>
        <v>-1000</v>
      </c>
      <c r="I55">
        <f t="shared" si="6"/>
        <v>-1000</v>
      </c>
      <c r="J55">
        <f t="shared" si="0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IFERROR(VLOOKUP($A56,TBAopr!$A:$B,2,FALSE),-1000)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5"/>
        <v>-1000</v>
      </c>
      <c r="I56">
        <f t="shared" si="6"/>
        <v>-1000</v>
      </c>
      <c r="J56">
        <f t="shared" si="0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IFERROR(VLOOKUP($A57,TBAopr!$A:$B,2,FALSE),-1000)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5"/>
        <v>-1000</v>
      </c>
      <c r="I57">
        <f t="shared" si="6"/>
        <v>-1000</v>
      </c>
      <c r="J57">
        <f t="shared" si="0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IFERROR(VLOOKUP($A58,TBAopr!$A:$B,2,FALSE),-1000)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5"/>
        <v>-1000</v>
      </c>
      <c r="I58">
        <f t="shared" si="6"/>
        <v>-1000</v>
      </c>
      <c r="J58">
        <f t="shared" si="0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IFERROR(VLOOKUP($A59,TBAopr!$A:$B,2,FALSE),-1000)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5"/>
        <v>-1000</v>
      </c>
      <c r="I59">
        <f t="shared" si="6"/>
        <v>-1000</v>
      </c>
      <c r="J59">
        <f t="shared" si="0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IFERROR(VLOOKUP($A60,TBAopr!$A:$B,2,FALSE),-1000)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5"/>
        <v>-1000</v>
      </c>
      <c r="I60">
        <f t="shared" si="6"/>
        <v>-1000</v>
      </c>
      <c r="J60">
        <f t="shared" si="0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IFERROR(VLOOKUP($A61,TBAopr!$A:$B,2,FALSE),-1000)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5"/>
        <v>-1000</v>
      </c>
      <c r="I61">
        <f t="shared" si="6"/>
        <v>-1000</v>
      </c>
      <c r="J61">
        <f t="shared" si="0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IFERROR(VLOOKUP($A62,TBAopr!$A:$B,2,FALSE),-1000)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5"/>
        <v>-1000</v>
      </c>
      <c r="I62">
        <f t="shared" si="6"/>
        <v>-1000</v>
      </c>
      <c r="J62">
        <f t="shared" si="0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IFERROR(VLOOKUP($A63,TBAopr!$A:$B,2,FALSE),-1000)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5"/>
        <v>-1000</v>
      </c>
      <c r="I63">
        <f t="shared" si="6"/>
        <v>-1000</v>
      </c>
      <c r="J63">
        <f t="shared" si="0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IFERROR(VLOOKUP($A64,TBAopr!$A:$B,2,FALSE),-1000)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5"/>
        <v>-1000</v>
      </c>
      <c r="I64">
        <f t="shared" si="6"/>
        <v>-1000</v>
      </c>
      <c r="J64">
        <f t="shared" si="0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IFERROR(VLOOKUP($A65,TBAopr!$A:$B,2,FALSE),-1000)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5"/>
        <v>-1000</v>
      </c>
      <c r="I65">
        <f t="shared" si="6"/>
        <v>-1000</v>
      </c>
      <c r="J65">
        <f t="shared" si="0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IFERROR(VLOOKUP($A66,TBAopr!$A:$B,2,FALSE),-1000)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5"/>
        <v>-1000</v>
      </c>
      <c r="I66">
        <f t="shared" si="6"/>
        <v>-1000</v>
      </c>
      <c r="J66">
        <f t="shared" ref="J66:J100" si="13">IFERROR(VLOOKUP($A66,$AC:$AD,2,FALSE),-1000)</f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4">IF($C67&lt;&gt;-1000,$C67, MAX($D67:$O67))</f>
        <v>-1000</v>
      </c>
      <c r="C67">
        <f>IFERROR(VLOOKUP($A67,TBAopr!$A:$B,2,FALSE),-1000)</f>
        <v>-1000</v>
      </c>
      <c r="D67">
        <f t="shared" si="12"/>
        <v>-1000</v>
      </c>
      <c r="E67">
        <f t="shared" ref="E67:E100" si="15">IFERROR(VLOOKUP($A67,$S:$T,2,FALSE),-1000)</f>
        <v>-1000</v>
      </c>
      <c r="F67">
        <f t="shared" ref="F67:F100" si="16">IFERROR(VLOOKUP($A67,$U:$V,2,FALSE),-1000)</f>
        <v>-1000</v>
      </c>
      <c r="G67">
        <f t="shared" ref="G67:G100" si="17">IFERROR(VLOOKUP($A67,$W:$X,2,FALSE),-1000)</f>
        <v>-1000</v>
      </c>
      <c r="H67">
        <f t="shared" ref="H67:H100" si="18">IFERROR(VLOOKUP($A67,$Y:$Z,2,FALSE),-1000)</f>
        <v>-1000</v>
      </c>
      <c r="I67">
        <f t="shared" ref="I67:I100" si="19">IFERROR(VLOOKUP($A67,$AA:$AB,2,FALSE),-1000)</f>
        <v>-1000</v>
      </c>
      <c r="J67">
        <f t="shared" si="13"/>
        <v>-1000</v>
      </c>
      <c r="K67">
        <f t="shared" ref="K67:K100" si="20">IFERROR(VLOOKUP($A67,$AE:$AF,2,FALSE),-1000)</f>
        <v>-1000</v>
      </c>
      <c r="L67">
        <f t="shared" ref="L67:L100" si="21">IFERROR(VLOOKUP($A67,$AG:$AH,2,FALSE),-1000)</f>
        <v>-1000</v>
      </c>
      <c r="M67">
        <f t="shared" ref="M67:M100" si="22">IFERROR(VLOOKUP($A67,$AI:$AJ,2,FALSE),-1000)</f>
        <v>-1000</v>
      </c>
      <c r="N67">
        <f t="shared" ref="N67:N100" si="23">IFERROR(VLOOKUP($A67,$AK:$AL,2,FALSE),-1000)</f>
        <v>-1000</v>
      </c>
      <c r="O67">
        <f t="shared" ref="O67:O100" si="24">IFERROR(VLOOKUP($A67,$AM:$AN,2,FALSE),-1000)</f>
        <v>-1000</v>
      </c>
    </row>
    <row r="68" spans="1:15">
      <c r="A68" t="str">
        <f>IF(EventTeam!$A:$A=0,"",EventTeam!$A:$A)</f>
        <v/>
      </c>
      <c r="B68">
        <f t="shared" si="14"/>
        <v>-1000</v>
      </c>
      <c r="C68">
        <f>IFERROR(VLOOKUP($A68,TBAopr!$A:$B,2,FALSE),-1000)</f>
        <v>-1000</v>
      </c>
      <c r="D68">
        <f t="shared" ref="D68:D100" si="25">IFERROR(VLOOKUP($A68,$Q:$R,2,FALSE),-1000)</f>
        <v>-1000</v>
      </c>
      <c r="E68">
        <f t="shared" si="15"/>
        <v>-1000</v>
      </c>
      <c r="F68">
        <f t="shared" si="16"/>
        <v>-1000</v>
      </c>
      <c r="G68">
        <f t="shared" si="17"/>
        <v>-1000</v>
      </c>
      <c r="H68">
        <f t="shared" si="18"/>
        <v>-1000</v>
      </c>
      <c r="I68">
        <f t="shared" si="19"/>
        <v>-1000</v>
      </c>
      <c r="J68">
        <f t="shared" si="13"/>
        <v>-1000</v>
      </c>
      <c r="K68">
        <f t="shared" si="20"/>
        <v>-1000</v>
      </c>
      <c r="L68">
        <f t="shared" si="21"/>
        <v>-1000</v>
      </c>
      <c r="M68">
        <f t="shared" si="22"/>
        <v>-1000</v>
      </c>
      <c r="N68">
        <f t="shared" si="23"/>
        <v>-1000</v>
      </c>
      <c r="O68">
        <f t="shared" si="24"/>
        <v>-1000</v>
      </c>
    </row>
    <row r="69" spans="1:15">
      <c r="A69" t="str">
        <f>IF(EventTeam!$A:$A=0,"",EventTeam!$A:$A)</f>
        <v/>
      </c>
      <c r="B69">
        <f t="shared" si="14"/>
        <v>-1000</v>
      </c>
      <c r="C69">
        <f>IFERROR(VLOOKUP($A69,TBAopr!$A:$B,2,FALSE),-1000)</f>
        <v>-1000</v>
      </c>
      <c r="D69">
        <f t="shared" si="25"/>
        <v>-1000</v>
      </c>
      <c r="E69">
        <f t="shared" si="15"/>
        <v>-1000</v>
      </c>
      <c r="F69">
        <f t="shared" si="16"/>
        <v>-1000</v>
      </c>
      <c r="G69">
        <f t="shared" si="17"/>
        <v>-1000</v>
      </c>
      <c r="H69">
        <f t="shared" si="18"/>
        <v>-1000</v>
      </c>
      <c r="I69">
        <f t="shared" si="19"/>
        <v>-1000</v>
      </c>
      <c r="J69">
        <f t="shared" si="13"/>
        <v>-1000</v>
      </c>
      <c r="K69">
        <f t="shared" si="20"/>
        <v>-1000</v>
      </c>
      <c r="L69">
        <f t="shared" si="21"/>
        <v>-1000</v>
      </c>
      <c r="M69">
        <f t="shared" si="22"/>
        <v>-1000</v>
      </c>
      <c r="N69">
        <f t="shared" si="23"/>
        <v>-1000</v>
      </c>
      <c r="O69">
        <f t="shared" si="24"/>
        <v>-1000</v>
      </c>
    </row>
    <row r="70" spans="1:15">
      <c r="A70" t="str">
        <f>IF(EventTeam!$A:$A=0,"",EventTeam!$A:$A)</f>
        <v/>
      </c>
      <c r="B70">
        <f t="shared" si="14"/>
        <v>-1000</v>
      </c>
      <c r="C70">
        <f>IFERROR(VLOOKUP($A70,TBAopr!$A:$B,2,FALSE),-1000)</f>
        <v>-1000</v>
      </c>
      <c r="D70">
        <f t="shared" si="25"/>
        <v>-1000</v>
      </c>
      <c r="E70">
        <f t="shared" si="15"/>
        <v>-1000</v>
      </c>
      <c r="F70">
        <f t="shared" si="16"/>
        <v>-1000</v>
      </c>
      <c r="G70">
        <f t="shared" si="17"/>
        <v>-1000</v>
      </c>
      <c r="H70">
        <f t="shared" si="18"/>
        <v>-1000</v>
      </c>
      <c r="I70">
        <f t="shared" si="19"/>
        <v>-1000</v>
      </c>
      <c r="J70">
        <f t="shared" si="13"/>
        <v>-1000</v>
      </c>
      <c r="K70">
        <f t="shared" si="20"/>
        <v>-1000</v>
      </c>
      <c r="L70">
        <f t="shared" si="21"/>
        <v>-1000</v>
      </c>
      <c r="M70">
        <f t="shared" si="22"/>
        <v>-1000</v>
      </c>
      <c r="N70">
        <f t="shared" si="23"/>
        <v>-1000</v>
      </c>
      <c r="O70">
        <f t="shared" si="24"/>
        <v>-1000</v>
      </c>
    </row>
    <row r="71" spans="1:15">
      <c r="A71" t="str">
        <f>IF(EventTeam!$A:$A=0,"",EventTeam!$A:$A)</f>
        <v/>
      </c>
      <c r="B71">
        <f t="shared" si="14"/>
        <v>-1000</v>
      </c>
      <c r="C71">
        <f>IFERROR(VLOOKUP($A71,TBAopr!$A:$B,2,FALSE),-1000)</f>
        <v>-1000</v>
      </c>
      <c r="D71">
        <f t="shared" si="25"/>
        <v>-1000</v>
      </c>
      <c r="E71">
        <f t="shared" si="15"/>
        <v>-1000</v>
      </c>
      <c r="F71">
        <f t="shared" si="16"/>
        <v>-1000</v>
      </c>
      <c r="G71">
        <f t="shared" si="17"/>
        <v>-1000</v>
      </c>
      <c r="H71">
        <f t="shared" si="18"/>
        <v>-1000</v>
      </c>
      <c r="I71">
        <f t="shared" si="19"/>
        <v>-1000</v>
      </c>
      <c r="J71">
        <f t="shared" si="13"/>
        <v>-1000</v>
      </c>
      <c r="K71">
        <f t="shared" si="20"/>
        <v>-1000</v>
      </c>
      <c r="L71">
        <f t="shared" si="21"/>
        <v>-1000</v>
      </c>
      <c r="M71">
        <f t="shared" si="22"/>
        <v>-1000</v>
      </c>
      <c r="N71">
        <f t="shared" si="23"/>
        <v>-1000</v>
      </c>
      <c r="O71">
        <f t="shared" si="24"/>
        <v>-1000</v>
      </c>
    </row>
    <row r="72" spans="1:15">
      <c r="A72" t="str">
        <f>IF(EventTeam!$A:$A=0,"",EventTeam!$A:$A)</f>
        <v/>
      </c>
      <c r="B72">
        <f t="shared" si="14"/>
        <v>-1000</v>
      </c>
      <c r="C72">
        <f>IFERROR(VLOOKUP($A72,TBAopr!$A:$B,2,FALSE),-1000)</f>
        <v>-1000</v>
      </c>
      <c r="D72">
        <f t="shared" si="25"/>
        <v>-1000</v>
      </c>
      <c r="E72">
        <f t="shared" si="15"/>
        <v>-1000</v>
      </c>
      <c r="F72">
        <f t="shared" si="16"/>
        <v>-1000</v>
      </c>
      <c r="G72">
        <f t="shared" si="17"/>
        <v>-1000</v>
      </c>
      <c r="H72">
        <f t="shared" si="18"/>
        <v>-1000</v>
      </c>
      <c r="I72">
        <f t="shared" si="19"/>
        <v>-1000</v>
      </c>
      <c r="J72">
        <f t="shared" si="13"/>
        <v>-1000</v>
      </c>
      <c r="K72">
        <f t="shared" si="20"/>
        <v>-1000</v>
      </c>
      <c r="L72">
        <f t="shared" si="21"/>
        <v>-1000</v>
      </c>
      <c r="M72">
        <f t="shared" si="22"/>
        <v>-1000</v>
      </c>
      <c r="N72">
        <f t="shared" si="23"/>
        <v>-1000</v>
      </c>
      <c r="O72">
        <f t="shared" si="24"/>
        <v>-1000</v>
      </c>
    </row>
    <row r="73" spans="1:15">
      <c r="A73" t="str">
        <f>IF(EventTeam!$A:$A=0,"",EventTeam!$A:$A)</f>
        <v/>
      </c>
      <c r="B73">
        <f t="shared" si="14"/>
        <v>-1000</v>
      </c>
      <c r="C73">
        <f>IFERROR(VLOOKUP($A73,TBAopr!$A:$B,2,FALSE),-1000)</f>
        <v>-1000</v>
      </c>
      <c r="D73">
        <f t="shared" si="25"/>
        <v>-1000</v>
      </c>
      <c r="E73">
        <f t="shared" si="15"/>
        <v>-1000</v>
      </c>
      <c r="F73">
        <f t="shared" si="16"/>
        <v>-1000</v>
      </c>
      <c r="G73">
        <f t="shared" si="17"/>
        <v>-1000</v>
      </c>
      <c r="H73">
        <f t="shared" si="18"/>
        <v>-1000</v>
      </c>
      <c r="I73">
        <f t="shared" si="19"/>
        <v>-1000</v>
      </c>
      <c r="J73">
        <f t="shared" si="13"/>
        <v>-1000</v>
      </c>
      <c r="K73">
        <f t="shared" si="20"/>
        <v>-1000</v>
      </c>
      <c r="L73">
        <f t="shared" si="21"/>
        <v>-1000</v>
      </c>
      <c r="M73">
        <f t="shared" si="22"/>
        <v>-1000</v>
      </c>
      <c r="N73">
        <f t="shared" si="23"/>
        <v>-1000</v>
      </c>
      <c r="O73">
        <f t="shared" si="24"/>
        <v>-1000</v>
      </c>
    </row>
    <row r="74" spans="1:15">
      <c r="A74" t="str">
        <f>IF(EventTeam!$A:$A=0,"",EventTeam!$A:$A)</f>
        <v/>
      </c>
      <c r="B74">
        <f t="shared" si="14"/>
        <v>-1000</v>
      </c>
      <c r="C74">
        <f>IFERROR(VLOOKUP($A74,TBAopr!$A:$B,2,FALSE),-1000)</f>
        <v>-1000</v>
      </c>
      <c r="D74">
        <f t="shared" si="25"/>
        <v>-1000</v>
      </c>
      <c r="E74">
        <f t="shared" si="15"/>
        <v>-1000</v>
      </c>
      <c r="F74">
        <f t="shared" si="16"/>
        <v>-1000</v>
      </c>
      <c r="G74">
        <f t="shared" si="17"/>
        <v>-1000</v>
      </c>
      <c r="H74">
        <f t="shared" si="18"/>
        <v>-1000</v>
      </c>
      <c r="I74">
        <f t="shared" si="19"/>
        <v>-1000</v>
      </c>
      <c r="J74">
        <f t="shared" si="13"/>
        <v>-1000</v>
      </c>
      <c r="K74">
        <f t="shared" si="20"/>
        <v>-1000</v>
      </c>
      <c r="L74">
        <f t="shared" si="21"/>
        <v>-1000</v>
      </c>
      <c r="M74">
        <f t="shared" si="22"/>
        <v>-1000</v>
      </c>
      <c r="N74">
        <f t="shared" si="23"/>
        <v>-1000</v>
      </c>
      <c r="O74">
        <f t="shared" si="24"/>
        <v>-1000</v>
      </c>
    </row>
    <row r="75" spans="1:15">
      <c r="A75" t="str">
        <f>IF(EventTeam!$A:$A=0,"",EventTeam!$A:$A)</f>
        <v/>
      </c>
      <c r="B75">
        <f t="shared" si="14"/>
        <v>-1000</v>
      </c>
      <c r="C75">
        <f>IFERROR(VLOOKUP($A75,TBAopr!$A:$B,2,FALSE),-1000)</f>
        <v>-1000</v>
      </c>
      <c r="D75">
        <f t="shared" si="25"/>
        <v>-1000</v>
      </c>
      <c r="E75">
        <f t="shared" si="15"/>
        <v>-1000</v>
      </c>
      <c r="F75">
        <f t="shared" si="16"/>
        <v>-1000</v>
      </c>
      <c r="G75">
        <f t="shared" si="17"/>
        <v>-1000</v>
      </c>
      <c r="H75">
        <f t="shared" si="18"/>
        <v>-1000</v>
      </c>
      <c r="I75">
        <f t="shared" si="19"/>
        <v>-1000</v>
      </c>
      <c r="J75">
        <f t="shared" si="13"/>
        <v>-1000</v>
      </c>
      <c r="K75">
        <f t="shared" si="20"/>
        <v>-1000</v>
      </c>
      <c r="L75">
        <f t="shared" si="21"/>
        <v>-1000</v>
      </c>
      <c r="M75">
        <f t="shared" si="22"/>
        <v>-1000</v>
      </c>
      <c r="N75">
        <f t="shared" si="23"/>
        <v>-1000</v>
      </c>
      <c r="O75">
        <f t="shared" si="24"/>
        <v>-1000</v>
      </c>
    </row>
    <row r="76" spans="1:15">
      <c r="A76" t="str">
        <f>IF(EventTeam!$A:$A=0,"",EventTeam!$A:$A)</f>
        <v/>
      </c>
      <c r="B76">
        <f t="shared" si="14"/>
        <v>-1000</v>
      </c>
      <c r="C76">
        <f>IFERROR(VLOOKUP($A76,TBAopr!$A:$B,2,FALSE),-1000)</f>
        <v>-1000</v>
      </c>
      <c r="D76">
        <f t="shared" si="25"/>
        <v>-1000</v>
      </c>
      <c r="E76">
        <f t="shared" si="15"/>
        <v>-1000</v>
      </c>
      <c r="F76">
        <f t="shared" si="16"/>
        <v>-1000</v>
      </c>
      <c r="G76">
        <f t="shared" si="17"/>
        <v>-1000</v>
      </c>
      <c r="H76">
        <f t="shared" si="18"/>
        <v>-1000</v>
      </c>
      <c r="I76">
        <f t="shared" si="19"/>
        <v>-1000</v>
      </c>
      <c r="J76">
        <f t="shared" si="13"/>
        <v>-1000</v>
      </c>
      <c r="K76">
        <f t="shared" si="20"/>
        <v>-1000</v>
      </c>
      <c r="L76">
        <f t="shared" si="21"/>
        <v>-1000</v>
      </c>
      <c r="M76">
        <f t="shared" si="22"/>
        <v>-1000</v>
      </c>
      <c r="N76">
        <f t="shared" si="23"/>
        <v>-1000</v>
      </c>
      <c r="O76">
        <f t="shared" si="24"/>
        <v>-1000</v>
      </c>
    </row>
    <row r="77" spans="1:15">
      <c r="A77" t="str">
        <f>IF(EventTeam!$A:$A=0,"",EventTeam!$A:$A)</f>
        <v/>
      </c>
      <c r="B77">
        <f t="shared" si="14"/>
        <v>-1000</v>
      </c>
      <c r="C77">
        <f>IFERROR(VLOOKUP($A77,TBAopr!$A:$B,2,FALSE),-1000)</f>
        <v>-1000</v>
      </c>
      <c r="D77">
        <f t="shared" si="25"/>
        <v>-1000</v>
      </c>
      <c r="E77">
        <f t="shared" si="15"/>
        <v>-1000</v>
      </c>
      <c r="F77">
        <f t="shared" si="16"/>
        <v>-1000</v>
      </c>
      <c r="G77">
        <f t="shared" si="17"/>
        <v>-1000</v>
      </c>
      <c r="H77">
        <f t="shared" si="18"/>
        <v>-1000</v>
      </c>
      <c r="I77">
        <f t="shared" si="19"/>
        <v>-1000</v>
      </c>
      <c r="J77">
        <f t="shared" si="13"/>
        <v>-1000</v>
      </c>
      <c r="K77">
        <f t="shared" si="20"/>
        <v>-1000</v>
      </c>
      <c r="L77">
        <f t="shared" si="21"/>
        <v>-1000</v>
      </c>
      <c r="M77">
        <f t="shared" si="22"/>
        <v>-1000</v>
      </c>
      <c r="N77">
        <f t="shared" si="23"/>
        <v>-1000</v>
      </c>
      <c r="O77">
        <f t="shared" si="24"/>
        <v>-1000</v>
      </c>
    </row>
    <row r="78" spans="1:15">
      <c r="A78" t="str">
        <f>IF(EventTeam!$A:$A=0,"",EventTeam!$A:$A)</f>
        <v/>
      </c>
      <c r="B78">
        <f t="shared" si="14"/>
        <v>-1000</v>
      </c>
      <c r="C78">
        <f>IFERROR(VLOOKUP($A78,TBAopr!$A:$B,2,FALSE),-1000)</f>
        <v>-1000</v>
      </c>
      <c r="D78">
        <f t="shared" si="25"/>
        <v>-1000</v>
      </c>
      <c r="E78">
        <f t="shared" si="15"/>
        <v>-1000</v>
      </c>
      <c r="F78">
        <f t="shared" si="16"/>
        <v>-1000</v>
      </c>
      <c r="G78">
        <f t="shared" si="17"/>
        <v>-1000</v>
      </c>
      <c r="H78">
        <f t="shared" si="18"/>
        <v>-1000</v>
      </c>
      <c r="I78">
        <f t="shared" si="19"/>
        <v>-1000</v>
      </c>
      <c r="J78">
        <f t="shared" si="13"/>
        <v>-1000</v>
      </c>
      <c r="K78">
        <f t="shared" si="20"/>
        <v>-1000</v>
      </c>
      <c r="L78">
        <f t="shared" si="21"/>
        <v>-1000</v>
      </c>
      <c r="M78">
        <f t="shared" si="22"/>
        <v>-1000</v>
      </c>
      <c r="N78">
        <f t="shared" si="23"/>
        <v>-1000</v>
      </c>
      <c r="O78">
        <f t="shared" si="24"/>
        <v>-1000</v>
      </c>
    </row>
    <row r="79" spans="1:15">
      <c r="A79" t="str">
        <f>IF(EventTeam!$A:$A=0,"",EventTeam!$A:$A)</f>
        <v/>
      </c>
      <c r="B79">
        <f t="shared" si="14"/>
        <v>-1000</v>
      </c>
      <c r="C79">
        <f>IFERROR(VLOOKUP($A79,TBAopr!$A:$B,2,FALSE),-1000)</f>
        <v>-1000</v>
      </c>
      <c r="D79">
        <f t="shared" si="25"/>
        <v>-1000</v>
      </c>
      <c r="E79">
        <f t="shared" si="15"/>
        <v>-1000</v>
      </c>
      <c r="F79">
        <f t="shared" si="16"/>
        <v>-1000</v>
      </c>
      <c r="G79">
        <f t="shared" si="17"/>
        <v>-1000</v>
      </c>
      <c r="H79">
        <f t="shared" si="18"/>
        <v>-1000</v>
      </c>
      <c r="I79">
        <f t="shared" si="19"/>
        <v>-1000</v>
      </c>
      <c r="J79">
        <f t="shared" si="13"/>
        <v>-1000</v>
      </c>
      <c r="K79">
        <f t="shared" si="20"/>
        <v>-1000</v>
      </c>
      <c r="L79">
        <f t="shared" si="21"/>
        <v>-1000</v>
      </c>
      <c r="M79">
        <f t="shared" si="22"/>
        <v>-1000</v>
      </c>
      <c r="N79">
        <f t="shared" si="23"/>
        <v>-1000</v>
      </c>
      <c r="O79">
        <f t="shared" si="24"/>
        <v>-1000</v>
      </c>
    </row>
    <row r="80" spans="1:15">
      <c r="A80" t="str">
        <f>IF(EventTeam!$A:$A=0,"",EventTeam!$A:$A)</f>
        <v/>
      </c>
      <c r="B80">
        <f t="shared" si="14"/>
        <v>-1000</v>
      </c>
      <c r="C80">
        <f>IFERROR(VLOOKUP($A80,TBAopr!$A:$B,2,FALSE),-1000)</f>
        <v>-1000</v>
      </c>
      <c r="D80">
        <f t="shared" si="25"/>
        <v>-1000</v>
      </c>
      <c r="E80">
        <f t="shared" si="15"/>
        <v>-1000</v>
      </c>
      <c r="F80">
        <f t="shared" si="16"/>
        <v>-1000</v>
      </c>
      <c r="G80">
        <f t="shared" si="17"/>
        <v>-1000</v>
      </c>
      <c r="H80">
        <f t="shared" si="18"/>
        <v>-1000</v>
      </c>
      <c r="I80">
        <f t="shared" si="19"/>
        <v>-1000</v>
      </c>
      <c r="J80">
        <f t="shared" si="13"/>
        <v>-1000</v>
      </c>
      <c r="K80">
        <f t="shared" si="20"/>
        <v>-1000</v>
      </c>
      <c r="L80">
        <f t="shared" si="21"/>
        <v>-1000</v>
      </c>
      <c r="M80">
        <f t="shared" si="22"/>
        <v>-1000</v>
      </c>
      <c r="N80">
        <f t="shared" si="23"/>
        <v>-1000</v>
      </c>
      <c r="O80">
        <f t="shared" si="24"/>
        <v>-1000</v>
      </c>
    </row>
    <row r="81" spans="1:15">
      <c r="A81" t="str">
        <f>IF(EventTeam!$A:$A=0,"",EventTeam!$A:$A)</f>
        <v/>
      </c>
      <c r="B81">
        <f t="shared" si="14"/>
        <v>-1000</v>
      </c>
      <c r="C81">
        <f>IFERROR(VLOOKUP($A81,TBAopr!$A:$B,2,FALSE),-1000)</f>
        <v>-1000</v>
      </c>
      <c r="D81">
        <f t="shared" si="25"/>
        <v>-1000</v>
      </c>
      <c r="E81">
        <f t="shared" si="15"/>
        <v>-1000</v>
      </c>
      <c r="F81">
        <f t="shared" si="16"/>
        <v>-1000</v>
      </c>
      <c r="G81">
        <f t="shared" si="17"/>
        <v>-1000</v>
      </c>
      <c r="H81">
        <f t="shared" si="18"/>
        <v>-1000</v>
      </c>
      <c r="I81">
        <f t="shared" si="19"/>
        <v>-1000</v>
      </c>
      <c r="J81">
        <f t="shared" si="13"/>
        <v>-1000</v>
      </c>
      <c r="K81">
        <f t="shared" si="20"/>
        <v>-1000</v>
      </c>
      <c r="L81">
        <f t="shared" si="21"/>
        <v>-1000</v>
      </c>
      <c r="M81">
        <f t="shared" si="22"/>
        <v>-1000</v>
      </c>
      <c r="N81">
        <f t="shared" si="23"/>
        <v>-1000</v>
      </c>
      <c r="O81">
        <f t="shared" si="24"/>
        <v>-1000</v>
      </c>
    </row>
    <row r="82" spans="1:15">
      <c r="A82" t="str">
        <f>IF(EventTeam!$A:$A=0,"",EventTeam!$A:$A)</f>
        <v/>
      </c>
      <c r="B82">
        <f t="shared" si="14"/>
        <v>-1000</v>
      </c>
      <c r="C82">
        <f>IFERROR(VLOOKUP($A82,TBAopr!$A:$B,2,FALSE),-1000)</f>
        <v>-1000</v>
      </c>
      <c r="D82">
        <f t="shared" si="25"/>
        <v>-1000</v>
      </c>
      <c r="E82">
        <f t="shared" si="15"/>
        <v>-1000</v>
      </c>
      <c r="F82">
        <f t="shared" si="16"/>
        <v>-1000</v>
      </c>
      <c r="G82">
        <f t="shared" si="17"/>
        <v>-1000</v>
      </c>
      <c r="H82">
        <f t="shared" si="18"/>
        <v>-1000</v>
      </c>
      <c r="I82">
        <f t="shared" si="19"/>
        <v>-1000</v>
      </c>
      <c r="J82">
        <f t="shared" si="13"/>
        <v>-1000</v>
      </c>
      <c r="K82">
        <f t="shared" si="20"/>
        <v>-1000</v>
      </c>
      <c r="L82">
        <f t="shared" si="21"/>
        <v>-1000</v>
      </c>
      <c r="M82">
        <f t="shared" si="22"/>
        <v>-1000</v>
      </c>
      <c r="N82">
        <f t="shared" si="23"/>
        <v>-1000</v>
      </c>
      <c r="O82">
        <f t="shared" si="24"/>
        <v>-1000</v>
      </c>
    </row>
    <row r="83" spans="1:15">
      <c r="A83" t="str">
        <f>IF(EventTeam!$A:$A=0,"",EventTeam!$A:$A)</f>
        <v/>
      </c>
      <c r="B83">
        <f t="shared" si="14"/>
        <v>-1000</v>
      </c>
      <c r="C83">
        <f>IFERROR(VLOOKUP($A83,TBAopr!$A:$B,2,FALSE),-1000)</f>
        <v>-1000</v>
      </c>
      <c r="D83">
        <f t="shared" si="25"/>
        <v>-1000</v>
      </c>
      <c r="E83">
        <f t="shared" si="15"/>
        <v>-1000</v>
      </c>
      <c r="F83">
        <f t="shared" si="16"/>
        <v>-1000</v>
      </c>
      <c r="G83">
        <f t="shared" si="17"/>
        <v>-1000</v>
      </c>
      <c r="H83">
        <f t="shared" si="18"/>
        <v>-1000</v>
      </c>
      <c r="I83">
        <f t="shared" si="19"/>
        <v>-1000</v>
      </c>
      <c r="J83">
        <f t="shared" si="13"/>
        <v>-1000</v>
      </c>
      <c r="K83">
        <f t="shared" si="20"/>
        <v>-1000</v>
      </c>
      <c r="L83">
        <f t="shared" si="21"/>
        <v>-1000</v>
      </c>
      <c r="M83">
        <f t="shared" si="22"/>
        <v>-1000</v>
      </c>
      <c r="N83">
        <f t="shared" si="23"/>
        <v>-1000</v>
      </c>
      <c r="O83">
        <f t="shared" si="24"/>
        <v>-1000</v>
      </c>
    </row>
    <row r="84" spans="1:15">
      <c r="A84" t="str">
        <f>IF(EventTeam!$A:$A=0,"",EventTeam!$A:$A)</f>
        <v/>
      </c>
      <c r="B84">
        <f t="shared" si="14"/>
        <v>-1000</v>
      </c>
      <c r="C84">
        <f>IFERROR(VLOOKUP($A84,TBAopr!$A:$B,2,FALSE),-1000)</f>
        <v>-1000</v>
      </c>
      <c r="D84">
        <f t="shared" si="25"/>
        <v>-1000</v>
      </c>
      <c r="E84">
        <f t="shared" si="15"/>
        <v>-1000</v>
      </c>
      <c r="F84">
        <f t="shared" si="16"/>
        <v>-1000</v>
      </c>
      <c r="G84">
        <f t="shared" si="17"/>
        <v>-1000</v>
      </c>
      <c r="H84">
        <f t="shared" si="18"/>
        <v>-1000</v>
      </c>
      <c r="I84">
        <f t="shared" si="19"/>
        <v>-1000</v>
      </c>
      <c r="J84">
        <f t="shared" si="13"/>
        <v>-1000</v>
      </c>
      <c r="K84">
        <f t="shared" si="20"/>
        <v>-1000</v>
      </c>
      <c r="L84">
        <f t="shared" si="21"/>
        <v>-1000</v>
      </c>
      <c r="M84">
        <f t="shared" si="22"/>
        <v>-1000</v>
      </c>
      <c r="N84">
        <f t="shared" si="23"/>
        <v>-1000</v>
      </c>
      <c r="O84">
        <f t="shared" si="24"/>
        <v>-1000</v>
      </c>
    </row>
    <row r="85" spans="1:15">
      <c r="A85" t="str">
        <f>IF(EventTeam!$A:$A=0,"",EventTeam!$A:$A)</f>
        <v/>
      </c>
      <c r="B85">
        <f t="shared" si="14"/>
        <v>-1000</v>
      </c>
      <c r="C85">
        <f>IFERROR(VLOOKUP($A85,TBAopr!$A:$B,2,FALSE),-1000)</f>
        <v>-1000</v>
      </c>
      <c r="D85">
        <f t="shared" si="25"/>
        <v>-1000</v>
      </c>
      <c r="E85">
        <f t="shared" si="15"/>
        <v>-1000</v>
      </c>
      <c r="F85">
        <f t="shared" si="16"/>
        <v>-1000</v>
      </c>
      <c r="G85">
        <f t="shared" si="17"/>
        <v>-1000</v>
      </c>
      <c r="H85">
        <f t="shared" si="18"/>
        <v>-1000</v>
      </c>
      <c r="I85">
        <f t="shared" si="19"/>
        <v>-1000</v>
      </c>
      <c r="J85">
        <f t="shared" si="13"/>
        <v>-1000</v>
      </c>
      <c r="K85">
        <f t="shared" si="20"/>
        <v>-1000</v>
      </c>
      <c r="L85">
        <f t="shared" si="21"/>
        <v>-1000</v>
      </c>
      <c r="M85">
        <f t="shared" si="22"/>
        <v>-1000</v>
      </c>
      <c r="N85">
        <f t="shared" si="23"/>
        <v>-1000</v>
      </c>
      <c r="O85">
        <f t="shared" si="24"/>
        <v>-1000</v>
      </c>
    </row>
    <row r="86" spans="1:15">
      <c r="A86" t="str">
        <f>IF(EventTeam!$A:$A=0,"",EventTeam!$A:$A)</f>
        <v/>
      </c>
      <c r="B86">
        <f t="shared" si="14"/>
        <v>-1000</v>
      </c>
      <c r="C86">
        <f>IFERROR(VLOOKUP($A86,TBAopr!$A:$B,2,FALSE),-1000)</f>
        <v>-1000</v>
      </c>
      <c r="D86">
        <f t="shared" si="25"/>
        <v>-1000</v>
      </c>
      <c r="E86">
        <f t="shared" si="15"/>
        <v>-1000</v>
      </c>
      <c r="F86">
        <f t="shared" si="16"/>
        <v>-1000</v>
      </c>
      <c r="G86">
        <f t="shared" si="17"/>
        <v>-1000</v>
      </c>
      <c r="H86">
        <f t="shared" si="18"/>
        <v>-1000</v>
      </c>
      <c r="I86">
        <f t="shared" si="19"/>
        <v>-1000</v>
      </c>
      <c r="J86">
        <f t="shared" si="13"/>
        <v>-1000</v>
      </c>
      <c r="K86">
        <f t="shared" si="20"/>
        <v>-1000</v>
      </c>
      <c r="L86">
        <f t="shared" si="21"/>
        <v>-1000</v>
      </c>
      <c r="M86">
        <f t="shared" si="22"/>
        <v>-1000</v>
      </c>
      <c r="N86">
        <f t="shared" si="23"/>
        <v>-1000</v>
      </c>
      <c r="O86">
        <f t="shared" si="24"/>
        <v>-1000</v>
      </c>
    </row>
    <row r="87" spans="1:15">
      <c r="A87" t="str">
        <f>IF(EventTeam!$A:$A=0,"",EventTeam!$A:$A)</f>
        <v/>
      </c>
      <c r="B87">
        <f t="shared" si="14"/>
        <v>-1000</v>
      </c>
      <c r="C87">
        <f>IFERROR(VLOOKUP($A87,TBAopr!$A:$B,2,FALSE),-1000)</f>
        <v>-1000</v>
      </c>
      <c r="D87">
        <f t="shared" si="25"/>
        <v>-1000</v>
      </c>
      <c r="E87">
        <f t="shared" si="15"/>
        <v>-1000</v>
      </c>
      <c r="F87">
        <f t="shared" si="16"/>
        <v>-1000</v>
      </c>
      <c r="G87">
        <f t="shared" si="17"/>
        <v>-1000</v>
      </c>
      <c r="H87">
        <f t="shared" si="18"/>
        <v>-1000</v>
      </c>
      <c r="I87">
        <f t="shared" si="19"/>
        <v>-1000</v>
      </c>
      <c r="J87">
        <f t="shared" si="13"/>
        <v>-1000</v>
      </c>
      <c r="K87">
        <f t="shared" si="20"/>
        <v>-1000</v>
      </c>
      <c r="L87">
        <f t="shared" si="21"/>
        <v>-1000</v>
      </c>
      <c r="M87">
        <f t="shared" si="22"/>
        <v>-1000</v>
      </c>
      <c r="N87">
        <f t="shared" si="23"/>
        <v>-1000</v>
      </c>
      <c r="O87">
        <f t="shared" si="24"/>
        <v>-1000</v>
      </c>
    </row>
    <row r="88" spans="1:15">
      <c r="A88" t="str">
        <f>IF(EventTeam!$A:$A=0,"",EventTeam!$A:$A)</f>
        <v/>
      </c>
      <c r="B88">
        <f t="shared" si="14"/>
        <v>-1000</v>
      </c>
      <c r="C88">
        <f>IFERROR(VLOOKUP($A88,TBAopr!$A:$B,2,FALSE),-1000)</f>
        <v>-1000</v>
      </c>
      <c r="D88">
        <f t="shared" si="25"/>
        <v>-1000</v>
      </c>
      <c r="E88">
        <f t="shared" si="15"/>
        <v>-1000</v>
      </c>
      <c r="F88">
        <f t="shared" si="16"/>
        <v>-1000</v>
      </c>
      <c r="G88">
        <f t="shared" si="17"/>
        <v>-1000</v>
      </c>
      <c r="H88">
        <f t="shared" si="18"/>
        <v>-1000</v>
      </c>
      <c r="I88">
        <f t="shared" si="19"/>
        <v>-1000</v>
      </c>
      <c r="J88">
        <f t="shared" si="13"/>
        <v>-1000</v>
      </c>
      <c r="K88">
        <f t="shared" si="20"/>
        <v>-1000</v>
      </c>
      <c r="L88">
        <f t="shared" si="21"/>
        <v>-1000</v>
      </c>
      <c r="M88">
        <f t="shared" si="22"/>
        <v>-1000</v>
      </c>
      <c r="N88">
        <f t="shared" si="23"/>
        <v>-1000</v>
      </c>
      <c r="O88">
        <f t="shared" si="24"/>
        <v>-1000</v>
      </c>
    </row>
    <row r="89" spans="1:15">
      <c r="A89" t="str">
        <f>IF(EventTeam!$A:$A=0,"",EventTeam!$A:$A)</f>
        <v/>
      </c>
      <c r="B89">
        <f t="shared" si="14"/>
        <v>-1000</v>
      </c>
      <c r="C89">
        <f>IFERROR(VLOOKUP($A89,TBAopr!$A:$B,2,FALSE),-1000)</f>
        <v>-1000</v>
      </c>
      <c r="D89">
        <f t="shared" si="25"/>
        <v>-1000</v>
      </c>
      <c r="E89">
        <f t="shared" si="15"/>
        <v>-1000</v>
      </c>
      <c r="F89">
        <f t="shared" si="16"/>
        <v>-1000</v>
      </c>
      <c r="G89">
        <f t="shared" si="17"/>
        <v>-1000</v>
      </c>
      <c r="H89">
        <f t="shared" si="18"/>
        <v>-1000</v>
      </c>
      <c r="I89">
        <f t="shared" si="19"/>
        <v>-1000</v>
      </c>
      <c r="J89">
        <f t="shared" si="13"/>
        <v>-1000</v>
      </c>
      <c r="K89">
        <f t="shared" si="20"/>
        <v>-1000</v>
      </c>
      <c r="L89">
        <f t="shared" si="21"/>
        <v>-1000</v>
      </c>
      <c r="M89">
        <f t="shared" si="22"/>
        <v>-1000</v>
      </c>
      <c r="N89">
        <f t="shared" si="23"/>
        <v>-1000</v>
      </c>
      <c r="O89">
        <f t="shared" si="24"/>
        <v>-1000</v>
      </c>
    </row>
    <row r="90" spans="1:15">
      <c r="A90" t="str">
        <f>IF(EventTeam!$A:$A=0,"",EventTeam!$A:$A)</f>
        <v/>
      </c>
      <c r="B90">
        <f t="shared" si="14"/>
        <v>-1000</v>
      </c>
      <c r="C90">
        <f>IFERROR(VLOOKUP($A90,TBAopr!$A:$B,2,FALSE),-1000)</f>
        <v>-1000</v>
      </c>
      <c r="D90">
        <f t="shared" si="25"/>
        <v>-1000</v>
      </c>
      <c r="E90">
        <f t="shared" si="15"/>
        <v>-1000</v>
      </c>
      <c r="F90">
        <f t="shared" si="16"/>
        <v>-1000</v>
      </c>
      <c r="G90">
        <f t="shared" si="17"/>
        <v>-1000</v>
      </c>
      <c r="H90">
        <f t="shared" si="18"/>
        <v>-1000</v>
      </c>
      <c r="I90">
        <f t="shared" si="19"/>
        <v>-1000</v>
      </c>
      <c r="J90">
        <f t="shared" si="13"/>
        <v>-1000</v>
      </c>
      <c r="K90">
        <f t="shared" si="20"/>
        <v>-1000</v>
      </c>
      <c r="L90">
        <f t="shared" si="21"/>
        <v>-1000</v>
      </c>
      <c r="M90">
        <f t="shared" si="22"/>
        <v>-1000</v>
      </c>
      <c r="N90">
        <f t="shared" si="23"/>
        <v>-1000</v>
      </c>
      <c r="O90">
        <f t="shared" si="24"/>
        <v>-1000</v>
      </c>
    </row>
    <row r="91" spans="1:15">
      <c r="A91" t="str">
        <f>IF(EventTeam!$A:$A=0,"",EventTeam!$A:$A)</f>
        <v/>
      </c>
      <c r="B91">
        <f t="shared" si="14"/>
        <v>-1000</v>
      </c>
      <c r="C91">
        <f>IFERROR(VLOOKUP($A91,TBAopr!$A:$B,2,FALSE),-1000)</f>
        <v>-1000</v>
      </c>
      <c r="D91">
        <f t="shared" si="25"/>
        <v>-1000</v>
      </c>
      <c r="E91">
        <f t="shared" si="15"/>
        <v>-1000</v>
      </c>
      <c r="F91">
        <f t="shared" si="16"/>
        <v>-1000</v>
      </c>
      <c r="G91">
        <f t="shared" si="17"/>
        <v>-1000</v>
      </c>
      <c r="H91">
        <f t="shared" si="18"/>
        <v>-1000</v>
      </c>
      <c r="I91">
        <f t="shared" si="19"/>
        <v>-1000</v>
      </c>
      <c r="J91">
        <f t="shared" si="13"/>
        <v>-1000</v>
      </c>
      <c r="K91">
        <f t="shared" si="20"/>
        <v>-1000</v>
      </c>
      <c r="L91">
        <f t="shared" si="21"/>
        <v>-1000</v>
      </c>
      <c r="M91">
        <f t="shared" si="22"/>
        <v>-1000</v>
      </c>
      <c r="N91">
        <f t="shared" si="23"/>
        <v>-1000</v>
      </c>
      <c r="O91">
        <f t="shared" si="24"/>
        <v>-1000</v>
      </c>
    </row>
    <row r="92" spans="1:15">
      <c r="A92" t="str">
        <f>IF(EventTeam!$A:$A=0,"",EventTeam!$A:$A)</f>
        <v/>
      </c>
      <c r="B92">
        <f t="shared" si="14"/>
        <v>-1000</v>
      </c>
      <c r="C92">
        <f>IFERROR(VLOOKUP($A92,TBAopr!$A:$B,2,FALSE),-1000)</f>
        <v>-1000</v>
      </c>
      <c r="D92">
        <f t="shared" si="25"/>
        <v>-1000</v>
      </c>
      <c r="E92">
        <f t="shared" si="15"/>
        <v>-1000</v>
      </c>
      <c r="F92">
        <f t="shared" si="16"/>
        <v>-1000</v>
      </c>
      <c r="G92">
        <f t="shared" si="17"/>
        <v>-1000</v>
      </c>
      <c r="H92">
        <f t="shared" si="18"/>
        <v>-1000</v>
      </c>
      <c r="I92">
        <f t="shared" si="19"/>
        <v>-1000</v>
      </c>
      <c r="J92">
        <f t="shared" si="13"/>
        <v>-1000</v>
      </c>
      <c r="K92">
        <f t="shared" si="20"/>
        <v>-1000</v>
      </c>
      <c r="L92">
        <f t="shared" si="21"/>
        <v>-1000</v>
      </c>
      <c r="M92">
        <f t="shared" si="22"/>
        <v>-1000</v>
      </c>
      <c r="N92">
        <f t="shared" si="23"/>
        <v>-1000</v>
      </c>
      <c r="O92">
        <f t="shared" si="24"/>
        <v>-1000</v>
      </c>
    </row>
    <row r="93" spans="1:15">
      <c r="A93" t="str">
        <f>IF(EventTeam!$A:$A=0,"",EventTeam!$A:$A)</f>
        <v/>
      </c>
      <c r="B93">
        <f t="shared" si="14"/>
        <v>-1000</v>
      </c>
      <c r="C93">
        <f>IFERROR(VLOOKUP($A93,TBAopr!$A:$B,2,FALSE),-1000)</f>
        <v>-1000</v>
      </c>
      <c r="D93">
        <f t="shared" si="25"/>
        <v>-1000</v>
      </c>
      <c r="E93">
        <f t="shared" si="15"/>
        <v>-1000</v>
      </c>
      <c r="F93">
        <f t="shared" si="16"/>
        <v>-1000</v>
      </c>
      <c r="G93">
        <f t="shared" si="17"/>
        <v>-1000</v>
      </c>
      <c r="H93">
        <f t="shared" si="18"/>
        <v>-1000</v>
      </c>
      <c r="I93">
        <f t="shared" si="19"/>
        <v>-1000</v>
      </c>
      <c r="J93">
        <f t="shared" si="13"/>
        <v>-1000</v>
      </c>
      <c r="K93">
        <f t="shared" si="20"/>
        <v>-1000</v>
      </c>
      <c r="L93">
        <f t="shared" si="21"/>
        <v>-1000</v>
      </c>
      <c r="M93">
        <f t="shared" si="22"/>
        <v>-1000</v>
      </c>
      <c r="N93">
        <f t="shared" si="23"/>
        <v>-1000</v>
      </c>
      <c r="O93">
        <f t="shared" si="24"/>
        <v>-1000</v>
      </c>
    </row>
    <row r="94" spans="1:15">
      <c r="A94" t="str">
        <f>IF(EventTeam!$A:$A=0,"",EventTeam!$A:$A)</f>
        <v/>
      </c>
      <c r="B94">
        <f t="shared" si="14"/>
        <v>-1000</v>
      </c>
      <c r="C94">
        <f>IFERROR(VLOOKUP($A94,TBAopr!$A:$B,2,FALSE),-1000)</f>
        <v>-1000</v>
      </c>
      <c r="D94">
        <f t="shared" si="25"/>
        <v>-1000</v>
      </c>
      <c r="E94">
        <f t="shared" si="15"/>
        <v>-1000</v>
      </c>
      <c r="F94">
        <f t="shared" si="16"/>
        <v>-1000</v>
      </c>
      <c r="G94">
        <f t="shared" si="17"/>
        <v>-1000</v>
      </c>
      <c r="H94">
        <f t="shared" si="18"/>
        <v>-1000</v>
      </c>
      <c r="I94">
        <f t="shared" si="19"/>
        <v>-1000</v>
      </c>
      <c r="J94">
        <f t="shared" si="13"/>
        <v>-1000</v>
      </c>
      <c r="K94">
        <f t="shared" si="20"/>
        <v>-1000</v>
      </c>
      <c r="L94">
        <f t="shared" si="21"/>
        <v>-1000</v>
      </c>
      <c r="M94">
        <f t="shared" si="22"/>
        <v>-1000</v>
      </c>
      <c r="N94">
        <f t="shared" si="23"/>
        <v>-1000</v>
      </c>
      <c r="O94">
        <f t="shared" si="24"/>
        <v>-1000</v>
      </c>
    </row>
    <row r="95" spans="1:15">
      <c r="A95" t="str">
        <f>IF(EventTeam!$A:$A=0,"",EventTeam!$A:$A)</f>
        <v/>
      </c>
      <c r="B95">
        <f t="shared" si="14"/>
        <v>-1000</v>
      </c>
      <c r="C95">
        <f>IFERROR(VLOOKUP($A95,TBAopr!$A:$B,2,FALSE),-1000)</f>
        <v>-1000</v>
      </c>
      <c r="D95">
        <f t="shared" si="25"/>
        <v>-1000</v>
      </c>
      <c r="E95">
        <f t="shared" si="15"/>
        <v>-1000</v>
      </c>
      <c r="F95">
        <f t="shared" si="16"/>
        <v>-1000</v>
      </c>
      <c r="G95">
        <f t="shared" si="17"/>
        <v>-1000</v>
      </c>
      <c r="H95">
        <f t="shared" si="18"/>
        <v>-1000</v>
      </c>
      <c r="I95">
        <f t="shared" si="19"/>
        <v>-1000</v>
      </c>
      <c r="J95">
        <f t="shared" si="13"/>
        <v>-1000</v>
      </c>
      <c r="K95">
        <f t="shared" si="20"/>
        <v>-1000</v>
      </c>
      <c r="L95">
        <f t="shared" si="21"/>
        <v>-1000</v>
      </c>
      <c r="M95">
        <f t="shared" si="22"/>
        <v>-1000</v>
      </c>
      <c r="N95">
        <f t="shared" si="23"/>
        <v>-1000</v>
      </c>
      <c r="O95">
        <f t="shared" si="24"/>
        <v>-1000</v>
      </c>
    </row>
    <row r="96" spans="1:15">
      <c r="A96" t="str">
        <f>IF(EventTeam!$A:$A=0,"",EventTeam!$A:$A)</f>
        <v/>
      </c>
      <c r="B96">
        <f t="shared" si="14"/>
        <v>-1000</v>
      </c>
      <c r="C96">
        <f>IFERROR(VLOOKUP($A96,TBAopr!$A:$B,2,FALSE),-1000)</f>
        <v>-1000</v>
      </c>
      <c r="D96">
        <f t="shared" si="25"/>
        <v>-1000</v>
      </c>
      <c r="E96">
        <f t="shared" si="15"/>
        <v>-1000</v>
      </c>
      <c r="F96">
        <f t="shared" si="16"/>
        <v>-1000</v>
      </c>
      <c r="G96">
        <f t="shared" si="17"/>
        <v>-1000</v>
      </c>
      <c r="H96">
        <f t="shared" si="18"/>
        <v>-1000</v>
      </c>
      <c r="I96">
        <f t="shared" si="19"/>
        <v>-1000</v>
      </c>
      <c r="J96">
        <f t="shared" si="13"/>
        <v>-1000</v>
      </c>
      <c r="K96">
        <f t="shared" si="20"/>
        <v>-1000</v>
      </c>
      <c r="L96">
        <f t="shared" si="21"/>
        <v>-1000</v>
      </c>
      <c r="M96">
        <f t="shared" si="22"/>
        <v>-1000</v>
      </c>
      <c r="N96">
        <f t="shared" si="23"/>
        <v>-1000</v>
      </c>
      <c r="O96">
        <f t="shared" si="24"/>
        <v>-1000</v>
      </c>
    </row>
    <row r="97" spans="1:15">
      <c r="A97" t="str">
        <f>IF(EventTeam!$A:$A=0,"",EventTeam!$A:$A)</f>
        <v/>
      </c>
      <c r="B97">
        <f t="shared" si="14"/>
        <v>-1000</v>
      </c>
      <c r="C97">
        <f>IFERROR(VLOOKUP($A97,TBAopr!$A:$B,2,FALSE),-1000)</f>
        <v>-1000</v>
      </c>
      <c r="D97">
        <f t="shared" si="25"/>
        <v>-1000</v>
      </c>
      <c r="E97">
        <f t="shared" si="15"/>
        <v>-1000</v>
      </c>
      <c r="F97">
        <f t="shared" si="16"/>
        <v>-1000</v>
      </c>
      <c r="G97">
        <f t="shared" si="17"/>
        <v>-1000</v>
      </c>
      <c r="H97">
        <f t="shared" si="18"/>
        <v>-1000</v>
      </c>
      <c r="I97">
        <f t="shared" si="19"/>
        <v>-1000</v>
      </c>
      <c r="J97">
        <f t="shared" si="13"/>
        <v>-1000</v>
      </c>
      <c r="K97">
        <f t="shared" si="20"/>
        <v>-1000</v>
      </c>
      <c r="L97">
        <f t="shared" si="21"/>
        <v>-1000</v>
      </c>
      <c r="M97">
        <f t="shared" si="22"/>
        <v>-1000</v>
      </c>
      <c r="N97">
        <f t="shared" si="23"/>
        <v>-1000</v>
      </c>
      <c r="O97">
        <f t="shared" si="24"/>
        <v>-1000</v>
      </c>
    </row>
    <row r="98" spans="1:15">
      <c r="A98" t="str">
        <f>IF(EventTeam!$A:$A=0,"",EventTeam!$A:$A)</f>
        <v/>
      </c>
      <c r="B98">
        <f t="shared" si="14"/>
        <v>-1000</v>
      </c>
      <c r="C98">
        <f>IFERROR(VLOOKUP($A98,TBAopr!$A:$B,2,FALSE),-1000)</f>
        <v>-1000</v>
      </c>
      <c r="D98">
        <f t="shared" si="25"/>
        <v>-1000</v>
      </c>
      <c r="E98">
        <f t="shared" si="15"/>
        <v>-1000</v>
      </c>
      <c r="F98">
        <f t="shared" si="16"/>
        <v>-1000</v>
      </c>
      <c r="G98">
        <f t="shared" si="17"/>
        <v>-1000</v>
      </c>
      <c r="H98">
        <f t="shared" si="18"/>
        <v>-1000</v>
      </c>
      <c r="I98">
        <f t="shared" si="19"/>
        <v>-1000</v>
      </c>
      <c r="J98">
        <f t="shared" si="13"/>
        <v>-1000</v>
      </c>
      <c r="K98">
        <f t="shared" si="20"/>
        <v>-1000</v>
      </c>
      <c r="L98">
        <f t="shared" si="21"/>
        <v>-1000</v>
      </c>
      <c r="M98">
        <f t="shared" si="22"/>
        <v>-1000</v>
      </c>
      <c r="N98">
        <f t="shared" si="23"/>
        <v>-1000</v>
      </c>
      <c r="O98">
        <f t="shared" si="24"/>
        <v>-1000</v>
      </c>
    </row>
    <row r="99" spans="1:15">
      <c r="A99" t="str">
        <f>IF(EventTeam!$A:$A=0,"",EventTeam!$A:$A)</f>
        <v/>
      </c>
      <c r="B99">
        <f t="shared" si="14"/>
        <v>-1000</v>
      </c>
      <c r="C99">
        <f>IFERROR(VLOOKUP($A99,TBAopr!$A:$B,2,FALSE),-1000)</f>
        <v>-1000</v>
      </c>
      <c r="D99">
        <f t="shared" si="25"/>
        <v>-1000</v>
      </c>
      <c r="E99">
        <f t="shared" si="15"/>
        <v>-1000</v>
      </c>
      <c r="F99">
        <f t="shared" si="16"/>
        <v>-1000</v>
      </c>
      <c r="G99">
        <f t="shared" si="17"/>
        <v>-1000</v>
      </c>
      <c r="H99">
        <f t="shared" si="18"/>
        <v>-1000</v>
      </c>
      <c r="I99">
        <f t="shared" si="19"/>
        <v>-1000</v>
      </c>
      <c r="J99">
        <f t="shared" si="13"/>
        <v>-1000</v>
      </c>
      <c r="K99">
        <f t="shared" si="20"/>
        <v>-1000</v>
      </c>
      <c r="L99">
        <f t="shared" si="21"/>
        <v>-1000</v>
      </c>
      <c r="M99">
        <f t="shared" si="22"/>
        <v>-1000</v>
      </c>
      <c r="N99">
        <f t="shared" si="23"/>
        <v>-1000</v>
      </c>
      <c r="O99">
        <f t="shared" si="24"/>
        <v>-1000</v>
      </c>
    </row>
    <row r="100" spans="1:15">
      <c r="A100" t="str">
        <f>IF(EventTeam!$A:$A=0,"",EventTeam!$A:$A)</f>
        <v/>
      </c>
      <c r="B100">
        <f t="shared" si="14"/>
        <v>-1000</v>
      </c>
      <c r="C100">
        <f>IFERROR(VLOOKUP($A100,TBAopr!$A:$B,2,FALSE),-1000)</f>
        <v>-1000</v>
      </c>
      <c r="D100">
        <f t="shared" si="25"/>
        <v>-1000</v>
      </c>
      <c r="E100">
        <f t="shared" si="15"/>
        <v>-1000</v>
      </c>
      <c r="F100">
        <f t="shared" si="16"/>
        <v>-1000</v>
      </c>
      <c r="G100">
        <f t="shared" si="17"/>
        <v>-1000</v>
      </c>
      <c r="H100">
        <f t="shared" si="18"/>
        <v>-1000</v>
      </c>
      <c r="I100">
        <f t="shared" si="19"/>
        <v>-1000</v>
      </c>
      <c r="J100">
        <f t="shared" si="13"/>
        <v>-1000</v>
      </c>
      <c r="K100">
        <f t="shared" si="20"/>
        <v>-1000</v>
      </c>
      <c r="L100">
        <f t="shared" si="21"/>
        <v>-1000</v>
      </c>
      <c r="M100">
        <f t="shared" si="22"/>
        <v>-1000</v>
      </c>
      <c r="N100">
        <f t="shared" si="23"/>
        <v>-1000</v>
      </c>
      <c r="O100">
        <f t="shared" si="24"/>
        <v>-1000</v>
      </c>
    </row>
  </sheetData>
  <conditionalFormatting sqref="G2:O100">
    <cfRule type="colorScale" priority="1">
      <colorScale>
        <cfvo type="min"/>
        <cfvo type="max"/>
        <color rgb="FF63BE7B"/>
        <color rgb="FFFCFCFF"/>
      </colorScale>
    </cfRule>
  </conditionalFormatting>
  <conditionalFormatting sqref="R2:R42">
    <cfRule type="colorScale" priority="8">
      <colorScale>
        <cfvo type="min"/>
        <cfvo type="max"/>
        <color rgb="FFFFEF9C"/>
        <color rgb="FF63BE7B"/>
      </colorScale>
    </cfRule>
  </conditionalFormatting>
  <conditionalFormatting sqref="T2:T36">
    <cfRule type="colorScale" priority="7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6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5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3">
      <colorScale>
        <cfvo type="min"/>
        <cfvo type="max"/>
        <color rgb="FFFCFCFF"/>
        <color rgb="FF63BE7B"/>
      </colorScale>
    </cfRule>
    <cfRule type="cellIs" dxfId="62" priority="4" operator="equal">
      <formula>-1000</formula>
    </cfRule>
  </conditionalFormatting>
  <conditionalFormatting sqref="H2:O100">
    <cfRule type="cellIs" dxfId="61" priority="2" operator="equal">
      <formula>-1000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50"/>
  <sheetViews>
    <sheetView workbookViewId="0">
      <pane ySplit="1" topLeftCell="A66" activePane="bottomLeft" state="frozen"/>
      <selection pane="bottomLeft"/>
    </sheetView>
  </sheetViews>
  <sheetFormatPr defaultColWidth="8.85546875" defaultRowHeight="15"/>
  <cols>
    <col min="1" max="7" width="8.85546875" style="8"/>
  </cols>
  <sheetData>
    <row r="1" spans="1:7" ht="15.75" thickBot="1">
      <c r="A1" s="115" t="s">
        <v>16</v>
      </c>
      <c r="B1" s="116" t="s">
        <v>26</v>
      </c>
      <c r="C1" s="116" t="s">
        <v>27</v>
      </c>
      <c r="D1" s="116" t="s">
        <v>28</v>
      </c>
      <c r="E1" s="116" t="s">
        <v>29</v>
      </c>
      <c r="F1" s="116" t="s">
        <v>30</v>
      </c>
      <c r="G1" s="117" t="s">
        <v>31</v>
      </c>
    </row>
    <row r="2" spans="1:7">
      <c r="A2" s="7">
        <v>1</v>
      </c>
      <c r="B2" s="7">
        <f>IFERROR(VLOOKUP($A2,EventSchedule!$A:$G,5,FALSE),"")</f>
        <v>3464</v>
      </c>
      <c r="C2" s="7">
        <f>IFERROR(VLOOKUP($A2,EventSchedule!$A:$G,6,FALSE),"")</f>
        <v>5129</v>
      </c>
      <c r="D2" s="7">
        <f>IFERROR(VLOOKUP($A2,EventSchedule!$A:$G,7,FALSE),"")</f>
        <v>2067</v>
      </c>
      <c r="E2" s="7">
        <f>IFERROR(VLOOKUP($A2,EventSchedule!$A:$G,2,FALSE),"")</f>
        <v>6346</v>
      </c>
      <c r="F2" s="7">
        <f>IFERROR(VLOOKUP($A2,EventSchedule!$A:$G,3,FALSE),"")</f>
        <v>5142</v>
      </c>
      <c r="G2" s="7">
        <f>IFERROR(VLOOKUP($A2,EventSchedule!$A:$G,4,FALSE),"")</f>
        <v>177</v>
      </c>
    </row>
    <row r="3" spans="1:7">
      <c r="A3" s="8">
        <v>2</v>
      </c>
      <c r="B3" s="7">
        <f>IFERROR(VLOOKUP($A3,EventSchedule!$A:$G,5,FALSE),"")</f>
        <v>1740</v>
      </c>
      <c r="C3" s="7">
        <f>IFERROR(VLOOKUP($A3,EventSchedule!$A:$G,6,FALSE),"")</f>
        <v>1085</v>
      </c>
      <c r="D3" s="7">
        <f>IFERROR(VLOOKUP($A3,EventSchedule!$A:$G,7,FALSE),"")</f>
        <v>236</v>
      </c>
      <c r="E3" s="7">
        <f>IFERROR(VLOOKUP($A3,EventSchedule!$A:$G,2,FALSE),"")</f>
        <v>558</v>
      </c>
      <c r="F3" s="7">
        <f>IFERROR(VLOOKUP($A3,EventSchedule!$A:$G,3,FALSE),"")</f>
        <v>999</v>
      </c>
      <c r="G3" s="7">
        <f>IFERROR(VLOOKUP($A3,EventSchedule!$A:$G,4,FALSE),"")</f>
        <v>2064</v>
      </c>
    </row>
    <row r="4" spans="1:7">
      <c r="A4" s="8">
        <v>3</v>
      </c>
      <c r="B4" s="7">
        <f>IFERROR(VLOOKUP($A4,EventSchedule!$A:$G,5,FALSE),"")</f>
        <v>190</v>
      </c>
      <c r="C4" s="7">
        <f>IFERROR(VLOOKUP($A4,EventSchedule!$A:$G,6,FALSE),"")</f>
        <v>6811</v>
      </c>
      <c r="D4" s="7">
        <f>IFERROR(VLOOKUP($A4,EventSchedule!$A:$G,7,FALSE),"")</f>
        <v>7153</v>
      </c>
      <c r="E4" s="7">
        <f>IFERROR(VLOOKUP($A4,EventSchedule!$A:$G,2,FALSE),"")</f>
        <v>6812</v>
      </c>
      <c r="F4" s="7">
        <f>IFERROR(VLOOKUP($A4,EventSchedule!$A:$G,3,FALSE),"")</f>
        <v>181</v>
      </c>
      <c r="G4" s="7">
        <f>IFERROR(VLOOKUP($A4,EventSchedule!$A:$G,4,FALSE),"")</f>
        <v>6895</v>
      </c>
    </row>
    <row r="5" spans="1:7">
      <c r="A5" s="8">
        <v>4</v>
      </c>
      <c r="B5" s="7">
        <f>IFERROR(VLOOKUP($A5,EventSchedule!$A:$G,5,FALSE),"")</f>
        <v>155</v>
      </c>
      <c r="C5" s="7">
        <f>IFERROR(VLOOKUP($A5,EventSchedule!$A:$G,6,FALSE),"")</f>
        <v>176</v>
      </c>
      <c r="D5" s="7">
        <f>IFERROR(VLOOKUP($A5,EventSchedule!$A:$G,7,FALSE),"")</f>
        <v>173</v>
      </c>
      <c r="E5" s="7">
        <f>IFERROR(VLOOKUP($A5,EventSchedule!$A:$G,2,FALSE),"")</f>
        <v>3182</v>
      </c>
      <c r="F5" s="7">
        <f>IFERROR(VLOOKUP($A5,EventSchedule!$A:$G,3,FALSE),"")</f>
        <v>3146</v>
      </c>
      <c r="G5" s="7">
        <f>IFERROR(VLOOKUP($A5,EventSchedule!$A:$G,4,FALSE),"")</f>
        <v>3634</v>
      </c>
    </row>
    <row r="6" spans="1:7">
      <c r="A6" s="8">
        <v>5</v>
      </c>
      <c r="B6" s="7">
        <f>IFERROR(VLOOKUP($A6,EventSchedule!$A:$G,5,FALSE),"")</f>
        <v>1991</v>
      </c>
      <c r="C6" s="7">
        <f>IFERROR(VLOOKUP($A6,EventSchedule!$A:$G,6,FALSE),"")</f>
        <v>5746</v>
      </c>
      <c r="D6" s="7">
        <f>IFERROR(VLOOKUP($A6,EventSchedule!$A:$G,7,FALSE),"")</f>
        <v>1973</v>
      </c>
      <c r="E6" s="7">
        <f>IFERROR(VLOOKUP($A6,EventSchedule!$A:$G,2,FALSE),"")</f>
        <v>839</v>
      </c>
      <c r="F6" s="7">
        <f>IFERROR(VLOOKUP($A6,EventSchedule!$A:$G,3,FALSE),"")</f>
        <v>4987</v>
      </c>
      <c r="G6" s="7">
        <f>IFERROR(VLOOKUP($A6,EventSchedule!$A:$G,4,FALSE),"")</f>
        <v>230</v>
      </c>
    </row>
    <row r="7" spans="1:7">
      <c r="A7" s="8">
        <v>6</v>
      </c>
      <c r="B7" s="7">
        <f>IFERROR(VLOOKUP($A7,EventSchedule!$A:$G,5,FALSE),"")</f>
        <v>3654</v>
      </c>
      <c r="C7" s="7">
        <f>IFERROR(VLOOKUP($A7,EventSchedule!$A:$G,6,FALSE),"")</f>
        <v>2836</v>
      </c>
      <c r="D7" s="7">
        <f>IFERROR(VLOOKUP($A7,EventSchedule!$A:$G,7,FALSE),"")</f>
        <v>5686</v>
      </c>
      <c r="E7" s="7">
        <f>IFERROR(VLOOKUP($A7,EventSchedule!$A:$G,2,FALSE),"")</f>
        <v>1027</v>
      </c>
      <c r="F7" s="7">
        <f>IFERROR(VLOOKUP($A7,EventSchedule!$A:$G,3,FALSE),"")</f>
        <v>195</v>
      </c>
      <c r="G7" s="7">
        <f>IFERROR(VLOOKUP($A7,EventSchedule!$A:$G,4,FALSE),"")</f>
        <v>175</v>
      </c>
    </row>
    <row r="8" spans="1:7">
      <c r="A8" s="8">
        <v>7</v>
      </c>
      <c r="B8" s="7">
        <f>IFERROR(VLOOKUP($A8,EventSchedule!$A:$G,5,FALSE),"")</f>
        <v>2785</v>
      </c>
      <c r="C8" s="7">
        <f>IFERROR(VLOOKUP($A8,EventSchedule!$A:$G,6,FALSE),"")</f>
        <v>2170</v>
      </c>
      <c r="D8" s="7">
        <f>IFERROR(VLOOKUP($A8,EventSchedule!$A:$G,7,FALSE),"")</f>
        <v>7127</v>
      </c>
      <c r="E8" s="7">
        <f>IFERROR(VLOOKUP($A8,EventSchedule!$A:$G,2,FALSE),"")</f>
        <v>1740</v>
      </c>
      <c r="F8" s="7">
        <f>IFERROR(VLOOKUP($A8,EventSchedule!$A:$G,3,FALSE),"")</f>
        <v>571</v>
      </c>
      <c r="G8" s="7">
        <f>IFERROR(VLOOKUP($A8,EventSchedule!$A:$G,4,FALSE),"")</f>
        <v>6333</v>
      </c>
    </row>
    <row r="9" spans="1:7">
      <c r="A9" s="8">
        <v>8</v>
      </c>
      <c r="B9" s="7">
        <f>IFERROR(VLOOKUP($A9,EventSchedule!$A:$G,5,FALSE),"")</f>
        <v>999</v>
      </c>
      <c r="C9" s="7">
        <f>IFERROR(VLOOKUP($A9,EventSchedule!$A:$G,6,FALSE),"")</f>
        <v>5129</v>
      </c>
      <c r="D9" s="7">
        <f>IFERROR(VLOOKUP($A9,EventSchedule!$A:$G,7,FALSE),"")</f>
        <v>181</v>
      </c>
      <c r="E9" s="7">
        <f>IFERROR(VLOOKUP($A9,EventSchedule!$A:$G,2,FALSE),"")</f>
        <v>3182</v>
      </c>
      <c r="F9" s="7">
        <f>IFERROR(VLOOKUP($A9,EventSchedule!$A:$G,3,FALSE),"")</f>
        <v>3464</v>
      </c>
      <c r="G9" s="7">
        <f>IFERROR(VLOOKUP($A9,EventSchedule!$A:$G,4,FALSE),"")</f>
        <v>230</v>
      </c>
    </row>
    <row r="10" spans="1:7">
      <c r="A10" s="8">
        <v>9</v>
      </c>
      <c r="B10" s="7">
        <f>IFERROR(VLOOKUP($A10,EventSchedule!$A:$G,5,FALSE),"")</f>
        <v>5746</v>
      </c>
      <c r="C10" s="7">
        <f>IFERROR(VLOOKUP($A10,EventSchedule!$A:$G,6,FALSE),"")</f>
        <v>2064</v>
      </c>
      <c r="D10" s="7">
        <f>IFERROR(VLOOKUP($A10,EventSchedule!$A:$G,7,FALSE),"")</f>
        <v>6811</v>
      </c>
      <c r="E10" s="7">
        <f>IFERROR(VLOOKUP($A10,EventSchedule!$A:$G,2,FALSE),"")</f>
        <v>2067</v>
      </c>
      <c r="F10" s="7">
        <f>IFERROR(VLOOKUP($A10,EventSchedule!$A:$G,3,FALSE),"")</f>
        <v>3146</v>
      </c>
      <c r="G10" s="7">
        <f>IFERROR(VLOOKUP($A10,EventSchedule!$A:$G,4,FALSE),"")</f>
        <v>1027</v>
      </c>
    </row>
    <row r="11" spans="1:7">
      <c r="A11" s="8">
        <v>10</v>
      </c>
      <c r="B11" s="7">
        <f>IFERROR(VLOOKUP($A11,EventSchedule!$A:$G,5,FALSE),"")</f>
        <v>4987</v>
      </c>
      <c r="C11" s="7">
        <f>IFERROR(VLOOKUP($A11,EventSchedule!$A:$G,6,FALSE),"")</f>
        <v>7153</v>
      </c>
      <c r="D11" s="7">
        <f>IFERROR(VLOOKUP($A11,EventSchedule!$A:$G,7,FALSE),"")</f>
        <v>6333</v>
      </c>
      <c r="E11" s="7">
        <f>IFERROR(VLOOKUP($A11,EventSchedule!$A:$G,2,FALSE),"")</f>
        <v>195</v>
      </c>
      <c r="F11" s="7">
        <f>IFERROR(VLOOKUP($A11,EventSchedule!$A:$G,3,FALSE),"")</f>
        <v>236</v>
      </c>
      <c r="G11" s="7">
        <f>IFERROR(VLOOKUP($A11,EventSchedule!$A:$G,4,FALSE),"")</f>
        <v>176</v>
      </c>
    </row>
    <row r="12" spans="1:7">
      <c r="A12" s="8">
        <v>11</v>
      </c>
      <c r="B12" s="7">
        <f>IFERROR(VLOOKUP($A12,EventSchedule!$A:$G,5,FALSE),"")</f>
        <v>5142</v>
      </c>
      <c r="C12" s="7">
        <f>IFERROR(VLOOKUP($A12,EventSchedule!$A:$G,6,FALSE),"")</f>
        <v>839</v>
      </c>
      <c r="D12" s="7">
        <f>IFERROR(VLOOKUP($A12,EventSchedule!$A:$G,7,FALSE),"")</f>
        <v>2785</v>
      </c>
      <c r="E12" s="7">
        <f>IFERROR(VLOOKUP($A12,EventSchedule!$A:$G,2,FALSE),"")</f>
        <v>155</v>
      </c>
      <c r="F12" s="7">
        <f>IFERROR(VLOOKUP($A12,EventSchedule!$A:$G,3,FALSE),"")</f>
        <v>1085</v>
      </c>
      <c r="G12" s="7">
        <f>IFERROR(VLOOKUP($A12,EventSchedule!$A:$G,4,FALSE),"")</f>
        <v>190</v>
      </c>
    </row>
    <row r="13" spans="1:7">
      <c r="A13" s="8">
        <v>12</v>
      </c>
      <c r="B13" s="7">
        <f>IFERROR(VLOOKUP($A13,EventSchedule!$A:$G,5,FALSE),"")</f>
        <v>175</v>
      </c>
      <c r="C13" s="7">
        <f>IFERROR(VLOOKUP($A13,EventSchedule!$A:$G,6,FALSE),"")</f>
        <v>1991</v>
      </c>
      <c r="D13" s="7">
        <f>IFERROR(VLOOKUP($A13,EventSchedule!$A:$G,7,FALSE),"")</f>
        <v>5686</v>
      </c>
      <c r="E13" s="7">
        <f>IFERROR(VLOOKUP($A13,EventSchedule!$A:$G,2,FALSE),"")</f>
        <v>571</v>
      </c>
      <c r="F13" s="7">
        <f>IFERROR(VLOOKUP($A13,EventSchedule!$A:$G,3,FALSE),"")</f>
        <v>6895</v>
      </c>
      <c r="G13" s="7">
        <f>IFERROR(VLOOKUP($A13,EventSchedule!$A:$G,4,FALSE),"")</f>
        <v>3634</v>
      </c>
    </row>
    <row r="14" spans="1:7">
      <c r="A14" s="8">
        <v>13</v>
      </c>
      <c r="B14" s="7">
        <f>IFERROR(VLOOKUP($A14,EventSchedule!$A:$G,5,FALSE),"")</f>
        <v>6346</v>
      </c>
      <c r="C14" s="7">
        <f>IFERROR(VLOOKUP($A14,EventSchedule!$A:$G,6,FALSE),"")</f>
        <v>6812</v>
      </c>
      <c r="D14" s="7">
        <f>IFERROR(VLOOKUP($A14,EventSchedule!$A:$G,7,FALSE),"")</f>
        <v>1973</v>
      </c>
      <c r="E14" s="7">
        <f>IFERROR(VLOOKUP($A14,EventSchedule!$A:$G,2,FALSE),"")</f>
        <v>7127</v>
      </c>
      <c r="F14" s="7">
        <f>IFERROR(VLOOKUP($A14,EventSchedule!$A:$G,3,FALSE),"")</f>
        <v>173</v>
      </c>
      <c r="G14" s="7">
        <f>IFERROR(VLOOKUP($A14,EventSchedule!$A:$G,4,FALSE),"")</f>
        <v>3654</v>
      </c>
    </row>
    <row r="15" spans="1:7">
      <c r="A15" s="8">
        <v>14</v>
      </c>
      <c r="B15" s="7">
        <f>IFERROR(VLOOKUP($A15,EventSchedule!$A:$G,5,FALSE),"")</f>
        <v>558</v>
      </c>
      <c r="C15" s="7">
        <f>IFERROR(VLOOKUP($A15,EventSchedule!$A:$G,6,FALSE),"")</f>
        <v>2836</v>
      </c>
      <c r="D15" s="7">
        <f>IFERROR(VLOOKUP($A15,EventSchedule!$A:$G,7,FALSE),"")</f>
        <v>6811</v>
      </c>
      <c r="E15" s="7">
        <f>IFERROR(VLOOKUP($A15,EventSchedule!$A:$G,2,FALSE),"")</f>
        <v>2170</v>
      </c>
      <c r="F15" s="7">
        <f>IFERROR(VLOOKUP($A15,EventSchedule!$A:$G,3,FALSE),"")</f>
        <v>230</v>
      </c>
      <c r="G15" s="7">
        <f>IFERROR(VLOOKUP($A15,EventSchedule!$A:$G,4,FALSE),"")</f>
        <v>177</v>
      </c>
    </row>
    <row r="16" spans="1:7">
      <c r="A16" s="8">
        <v>15</v>
      </c>
      <c r="B16" s="7">
        <f>IFERROR(VLOOKUP($A16,EventSchedule!$A:$G,5,FALSE),"")</f>
        <v>5686</v>
      </c>
      <c r="C16" s="7">
        <f>IFERROR(VLOOKUP($A16,EventSchedule!$A:$G,6,FALSE),"")</f>
        <v>3634</v>
      </c>
      <c r="D16" s="7">
        <f>IFERROR(VLOOKUP($A16,EventSchedule!$A:$G,7,FALSE),"")</f>
        <v>176</v>
      </c>
      <c r="E16" s="7">
        <f>IFERROR(VLOOKUP($A16,EventSchedule!$A:$G,2,FALSE),"")</f>
        <v>2067</v>
      </c>
      <c r="F16" s="7">
        <f>IFERROR(VLOOKUP($A16,EventSchedule!$A:$G,3,FALSE),"")</f>
        <v>236</v>
      </c>
      <c r="G16" s="7">
        <f>IFERROR(VLOOKUP($A16,EventSchedule!$A:$G,4,FALSE),"")</f>
        <v>5746</v>
      </c>
    </row>
    <row r="17" spans="1:7">
      <c r="A17" s="8">
        <v>16</v>
      </c>
      <c r="B17" s="7">
        <f>IFERROR(VLOOKUP($A17,EventSchedule!$A:$G,5,FALSE),"")</f>
        <v>3654</v>
      </c>
      <c r="C17" s="7">
        <f>IFERROR(VLOOKUP($A17,EventSchedule!$A:$G,6,FALSE),"")</f>
        <v>5142</v>
      </c>
      <c r="D17" s="7">
        <f>IFERROR(VLOOKUP($A17,EventSchedule!$A:$G,7,FALSE),"")</f>
        <v>2064</v>
      </c>
      <c r="E17" s="7">
        <f>IFERROR(VLOOKUP($A17,EventSchedule!$A:$G,2,FALSE),"")</f>
        <v>571</v>
      </c>
      <c r="F17" s="7">
        <f>IFERROR(VLOOKUP($A17,EventSchedule!$A:$G,3,FALSE),"")</f>
        <v>7153</v>
      </c>
      <c r="G17" s="7">
        <f>IFERROR(VLOOKUP($A17,EventSchedule!$A:$G,4,FALSE),"")</f>
        <v>999</v>
      </c>
    </row>
    <row r="18" spans="1:7">
      <c r="A18" s="8">
        <v>17</v>
      </c>
      <c r="B18" s="7">
        <f>IFERROR(VLOOKUP($A18,EventSchedule!$A:$G,5,FALSE),"")</f>
        <v>155</v>
      </c>
      <c r="C18" s="7">
        <f>IFERROR(VLOOKUP($A18,EventSchedule!$A:$G,6,FALSE),"")</f>
        <v>3182</v>
      </c>
      <c r="D18" s="7">
        <f>IFERROR(VLOOKUP($A18,EventSchedule!$A:$G,7,FALSE),"")</f>
        <v>4987</v>
      </c>
      <c r="E18" s="7">
        <f>IFERROR(VLOOKUP($A18,EventSchedule!$A:$G,2,FALSE),"")</f>
        <v>177</v>
      </c>
      <c r="F18" s="7">
        <f>IFERROR(VLOOKUP($A18,EventSchedule!$A:$G,3,FALSE),"")</f>
        <v>558</v>
      </c>
      <c r="G18" s="7">
        <f>IFERROR(VLOOKUP($A18,EventSchedule!$A:$G,4,FALSE),"")</f>
        <v>839</v>
      </c>
    </row>
    <row r="19" spans="1:7">
      <c r="A19" s="8">
        <v>18</v>
      </c>
      <c r="B19" s="7">
        <f>IFERROR(VLOOKUP($A19,EventSchedule!$A:$G,5,FALSE),"")</f>
        <v>2785</v>
      </c>
      <c r="C19" s="7">
        <f>IFERROR(VLOOKUP($A19,EventSchedule!$A:$G,6,FALSE),"")</f>
        <v>195</v>
      </c>
      <c r="D19" s="7">
        <f>IFERROR(VLOOKUP($A19,EventSchedule!$A:$G,7,FALSE),"")</f>
        <v>1085</v>
      </c>
      <c r="E19" s="7">
        <f>IFERROR(VLOOKUP($A19,EventSchedule!$A:$G,2,FALSE),"")</f>
        <v>3146</v>
      </c>
      <c r="F19" s="7">
        <f>IFERROR(VLOOKUP($A19,EventSchedule!$A:$G,3,FALSE),"")</f>
        <v>3464</v>
      </c>
      <c r="G19" s="7">
        <f>IFERROR(VLOOKUP($A19,EventSchedule!$A:$G,4,FALSE),"")</f>
        <v>6895</v>
      </c>
    </row>
    <row r="20" spans="1:7">
      <c r="A20" s="8">
        <v>19</v>
      </c>
      <c r="B20" s="7">
        <f>IFERROR(VLOOKUP($A20,EventSchedule!$A:$G,5,FALSE),"")</f>
        <v>173</v>
      </c>
      <c r="C20" s="7">
        <f>IFERROR(VLOOKUP($A20,EventSchedule!$A:$G,6,FALSE),"")</f>
        <v>1740</v>
      </c>
      <c r="D20" s="7">
        <f>IFERROR(VLOOKUP($A20,EventSchedule!$A:$G,7,FALSE),"")</f>
        <v>2836</v>
      </c>
      <c r="E20" s="7">
        <f>IFERROR(VLOOKUP($A20,EventSchedule!$A:$G,2,FALSE),"")</f>
        <v>181</v>
      </c>
      <c r="F20" s="7">
        <f>IFERROR(VLOOKUP($A20,EventSchedule!$A:$G,3,FALSE),"")</f>
        <v>1991</v>
      </c>
      <c r="G20" s="7">
        <f>IFERROR(VLOOKUP($A20,EventSchedule!$A:$G,4,FALSE),"")</f>
        <v>6333</v>
      </c>
    </row>
    <row r="21" spans="1:7">
      <c r="A21" s="8">
        <v>20</v>
      </c>
      <c r="B21" s="7">
        <f>IFERROR(VLOOKUP($A21,EventSchedule!$A:$G,5,FALSE),"")</f>
        <v>5129</v>
      </c>
      <c r="C21" s="7">
        <f>IFERROR(VLOOKUP($A21,EventSchedule!$A:$G,6,FALSE),"")</f>
        <v>6346</v>
      </c>
      <c r="D21" s="7">
        <f>IFERROR(VLOOKUP($A21,EventSchedule!$A:$G,7,FALSE),"")</f>
        <v>7127</v>
      </c>
      <c r="E21" s="7">
        <f>IFERROR(VLOOKUP($A21,EventSchedule!$A:$G,2,FALSE),"")</f>
        <v>190</v>
      </c>
      <c r="F21" s="7">
        <f>IFERROR(VLOOKUP($A21,EventSchedule!$A:$G,3,FALSE),"")</f>
        <v>1027</v>
      </c>
      <c r="G21" s="7">
        <f>IFERROR(VLOOKUP($A21,EventSchedule!$A:$G,4,FALSE),"")</f>
        <v>2170</v>
      </c>
    </row>
    <row r="22" spans="1:7">
      <c r="A22" s="8">
        <v>21</v>
      </c>
      <c r="B22" s="7">
        <f>IFERROR(VLOOKUP($A22,EventSchedule!$A:$G,5,FALSE),"")</f>
        <v>6812</v>
      </c>
      <c r="C22" s="7">
        <f>IFERROR(VLOOKUP($A22,EventSchedule!$A:$G,6,FALSE),"")</f>
        <v>175</v>
      </c>
      <c r="D22" s="7">
        <f>IFERROR(VLOOKUP($A22,EventSchedule!$A:$G,7,FALSE),"")</f>
        <v>2064</v>
      </c>
      <c r="E22" s="7">
        <f>IFERROR(VLOOKUP($A22,EventSchedule!$A:$G,2,FALSE),"")</f>
        <v>1973</v>
      </c>
      <c r="F22" s="7">
        <f>IFERROR(VLOOKUP($A22,EventSchedule!$A:$G,3,FALSE),"")</f>
        <v>6811</v>
      </c>
      <c r="G22" s="7">
        <f>IFERROR(VLOOKUP($A22,EventSchedule!$A:$G,4,FALSE),"")</f>
        <v>2785</v>
      </c>
    </row>
    <row r="23" spans="1:7">
      <c r="A23" s="8">
        <v>22</v>
      </c>
      <c r="B23" s="7">
        <f>IFERROR(VLOOKUP($A23,EventSchedule!$A:$G,5,FALSE),"")</f>
        <v>230</v>
      </c>
      <c r="C23" s="7">
        <f>IFERROR(VLOOKUP($A23,EventSchedule!$A:$G,6,FALSE),"")</f>
        <v>3634</v>
      </c>
      <c r="D23" s="7">
        <f>IFERROR(VLOOKUP($A23,EventSchedule!$A:$G,7,FALSE),"")</f>
        <v>181</v>
      </c>
      <c r="E23" s="7">
        <f>IFERROR(VLOOKUP($A23,EventSchedule!$A:$G,2,FALSE),"")</f>
        <v>2836</v>
      </c>
      <c r="F23" s="7">
        <f>IFERROR(VLOOKUP($A23,EventSchedule!$A:$G,3,FALSE),"")</f>
        <v>839</v>
      </c>
      <c r="G23" s="7">
        <f>IFERROR(VLOOKUP($A23,EventSchedule!$A:$G,4,FALSE),"")</f>
        <v>1085</v>
      </c>
    </row>
    <row r="24" spans="1:7">
      <c r="A24" s="8">
        <v>23</v>
      </c>
      <c r="B24" s="7">
        <f>IFERROR(VLOOKUP($A24,EventSchedule!$A:$G,5,FALSE),"")</f>
        <v>1027</v>
      </c>
      <c r="C24" s="7">
        <f>IFERROR(VLOOKUP($A24,EventSchedule!$A:$G,6,FALSE),"")</f>
        <v>3182</v>
      </c>
      <c r="D24" s="7">
        <f>IFERROR(VLOOKUP($A24,EventSchedule!$A:$G,7,FALSE),"")</f>
        <v>7127</v>
      </c>
      <c r="E24" s="7">
        <f>IFERROR(VLOOKUP($A24,EventSchedule!$A:$G,2,FALSE),"")</f>
        <v>5142</v>
      </c>
      <c r="F24" s="7">
        <f>IFERROR(VLOOKUP($A24,EventSchedule!$A:$G,3,FALSE),"")</f>
        <v>571</v>
      </c>
      <c r="G24" s="7">
        <f>IFERROR(VLOOKUP($A24,EventSchedule!$A:$G,4,FALSE),"")</f>
        <v>195</v>
      </c>
    </row>
    <row r="25" spans="1:7">
      <c r="A25" s="8">
        <v>24</v>
      </c>
      <c r="B25" s="7">
        <f>IFERROR(VLOOKUP($A25,EventSchedule!$A:$G,5,FALSE),"")</f>
        <v>190</v>
      </c>
      <c r="C25" s="7">
        <f>IFERROR(VLOOKUP($A25,EventSchedule!$A:$G,6,FALSE),"")</f>
        <v>5129</v>
      </c>
      <c r="D25" s="7">
        <f>IFERROR(VLOOKUP($A25,EventSchedule!$A:$G,7,FALSE),"")</f>
        <v>6812</v>
      </c>
      <c r="E25" s="7">
        <f>IFERROR(VLOOKUP($A25,EventSchedule!$A:$G,2,FALSE),"")</f>
        <v>236</v>
      </c>
      <c r="F25" s="7">
        <f>IFERROR(VLOOKUP($A25,EventSchedule!$A:$G,3,FALSE),"")</f>
        <v>4987</v>
      </c>
      <c r="G25" s="7">
        <f>IFERROR(VLOOKUP($A25,EventSchedule!$A:$G,4,FALSE),"")</f>
        <v>175</v>
      </c>
    </row>
    <row r="26" spans="1:7">
      <c r="A26" s="8">
        <v>25</v>
      </c>
      <c r="B26" s="7">
        <f>IFERROR(VLOOKUP($A26,EventSchedule!$A:$G,5,FALSE),"")</f>
        <v>5746</v>
      </c>
      <c r="C26" s="7">
        <f>IFERROR(VLOOKUP($A26,EventSchedule!$A:$G,6,FALSE),"")</f>
        <v>155</v>
      </c>
      <c r="D26" s="7">
        <f>IFERROR(VLOOKUP($A26,EventSchedule!$A:$G,7,FALSE),"")</f>
        <v>3146</v>
      </c>
      <c r="E26" s="7">
        <f>IFERROR(VLOOKUP($A26,EventSchedule!$A:$G,2,FALSE),"")</f>
        <v>1740</v>
      </c>
      <c r="F26" s="7">
        <f>IFERROR(VLOOKUP($A26,EventSchedule!$A:$G,3,FALSE),"")</f>
        <v>176</v>
      </c>
      <c r="G26" s="7">
        <f>IFERROR(VLOOKUP($A26,EventSchedule!$A:$G,4,FALSE),"")</f>
        <v>6346</v>
      </c>
    </row>
    <row r="27" spans="1:7">
      <c r="A27" s="8">
        <v>26</v>
      </c>
      <c r="B27" s="7">
        <f>IFERROR(VLOOKUP($A27,EventSchedule!$A:$G,5,FALSE),"")</f>
        <v>1991</v>
      </c>
      <c r="C27" s="7">
        <f>IFERROR(VLOOKUP($A27,EventSchedule!$A:$G,6,FALSE),"")</f>
        <v>173</v>
      </c>
      <c r="D27" s="7">
        <f>IFERROR(VLOOKUP($A27,EventSchedule!$A:$G,7,FALSE),"")</f>
        <v>558</v>
      </c>
      <c r="E27" s="7">
        <f>IFERROR(VLOOKUP($A27,EventSchedule!$A:$G,2,FALSE),"")</f>
        <v>3654</v>
      </c>
      <c r="F27" s="7">
        <f>IFERROR(VLOOKUP($A27,EventSchedule!$A:$G,3,FALSE),"")</f>
        <v>7153</v>
      </c>
      <c r="G27" s="7">
        <f>IFERROR(VLOOKUP($A27,EventSchedule!$A:$G,4,FALSE),"")</f>
        <v>3464</v>
      </c>
    </row>
    <row r="28" spans="1:7">
      <c r="A28" s="8">
        <v>27</v>
      </c>
      <c r="B28" s="7">
        <f>IFERROR(VLOOKUP($A28,EventSchedule!$A:$G,5,FALSE),"")</f>
        <v>999</v>
      </c>
      <c r="C28" s="7">
        <f>IFERROR(VLOOKUP($A28,EventSchedule!$A:$G,6,FALSE),"")</f>
        <v>6333</v>
      </c>
      <c r="D28" s="7">
        <f>IFERROR(VLOOKUP($A28,EventSchedule!$A:$G,7,FALSE),"")</f>
        <v>2170</v>
      </c>
      <c r="E28" s="7">
        <f>IFERROR(VLOOKUP($A28,EventSchedule!$A:$G,2,FALSE),"")</f>
        <v>5686</v>
      </c>
      <c r="F28" s="7">
        <f>IFERROR(VLOOKUP($A28,EventSchedule!$A:$G,3,FALSE),"")</f>
        <v>2067</v>
      </c>
      <c r="G28" s="7">
        <f>IFERROR(VLOOKUP($A28,EventSchedule!$A:$G,4,FALSE),"")</f>
        <v>177</v>
      </c>
    </row>
    <row r="29" spans="1:7">
      <c r="A29" s="8">
        <v>28</v>
      </c>
      <c r="B29" s="7">
        <f>IFERROR(VLOOKUP($A29,EventSchedule!$A:$G,5,FALSE),"")</f>
        <v>3182</v>
      </c>
      <c r="C29" s="7">
        <f>IFERROR(VLOOKUP($A29,EventSchedule!$A:$G,6,FALSE),"")</f>
        <v>6811</v>
      </c>
      <c r="D29" s="7">
        <f>IFERROR(VLOOKUP($A29,EventSchedule!$A:$G,7,FALSE),"")</f>
        <v>6895</v>
      </c>
      <c r="E29" s="7">
        <f>IFERROR(VLOOKUP($A29,EventSchedule!$A:$G,2,FALSE),"")</f>
        <v>1973</v>
      </c>
      <c r="F29" s="7">
        <f>IFERROR(VLOOKUP($A29,EventSchedule!$A:$G,3,FALSE),"")</f>
        <v>4987</v>
      </c>
      <c r="G29" s="7">
        <f>IFERROR(VLOOKUP($A29,EventSchedule!$A:$G,4,FALSE),"")</f>
        <v>1027</v>
      </c>
    </row>
    <row r="30" spans="1:7">
      <c r="A30" s="8">
        <v>29</v>
      </c>
      <c r="B30" s="7">
        <f>IFERROR(VLOOKUP($A30,EventSchedule!$A:$G,5,FALSE),"")</f>
        <v>558</v>
      </c>
      <c r="C30" s="7">
        <f>IFERROR(VLOOKUP($A30,EventSchedule!$A:$G,6,FALSE),"")</f>
        <v>5746</v>
      </c>
      <c r="D30" s="7">
        <f>IFERROR(VLOOKUP($A30,EventSchedule!$A:$G,7,FALSE),"")</f>
        <v>3634</v>
      </c>
      <c r="E30" s="7">
        <f>IFERROR(VLOOKUP($A30,EventSchedule!$A:$G,2,FALSE),"")</f>
        <v>3464</v>
      </c>
      <c r="F30" s="7">
        <f>IFERROR(VLOOKUP($A30,EventSchedule!$A:$G,3,FALSE),"")</f>
        <v>181</v>
      </c>
      <c r="G30" s="7">
        <f>IFERROR(VLOOKUP($A30,EventSchedule!$A:$G,4,FALSE),"")</f>
        <v>2785</v>
      </c>
    </row>
    <row r="31" spans="1:7">
      <c r="A31" s="8">
        <v>30</v>
      </c>
      <c r="B31" s="7">
        <f>IFERROR(VLOOKUP($A31,EventSchedule!$A:$G,5,FALSE),"")</f>
        <v>6812</v>
      </c>
      <c r="C31" s="7">
        <f>IFERROR(VLOOKUP($A31,EventSchedule!$A:$G,6,FALSE),"")</f>
        <v>177</v>
      </c>
      <c r="D31" s="7">
        <f>IFERROR(VLOOKUP($A31,EventSchedule!$A:$G,7,FALSE),"")</f>
        <v>1740</v>
      </c>
      <c r="E31" s="7">
        <f>IFERROR(VLOOKUP($A31,EventSchedule!$A:$G,2,FALSE),"")</f>
        <v>230</v>
      </c>
      <c r="F31" s="7">
        <f>IFERROR(VLOOKUP($A31,EventSchedule!$A:$G,3,FALSE),"")</f>
        <v>5142</v>
      </c>
      <c r="G31" s="7">
        <f>IFERROR(VLOOKUP($A31,EventSchedule!$A:$G,4,FALSE),"")</f>
        <v>5686</v>
      </c>
    </row>
    <row r="32" spans="1:7">
      <c r="A32" s="8">
        <v>31</v>
      </c>
      <c r="B32" s="7">
        <f>IFERROR(VLOOKUP($A32,EventSchedule!$A:$G,5,FALSE),"")</f>
        <v>1085</v>
      </c>
      <c r="C32" s="7">
        <f>IFERROR(VLOOKUP($A32,EventSchedule!$A:$G,6,FALSE),"")</f>
        <v>175</v>
      </c>
      <c r="D32" s="7">
        <f>IFERROR(VLOOKUP($A32,EventSchedule!$A:$G,7,FALSE),"")</f>
        <v>3654</v>
      </c>
      <c r="E32" s="7">
        <f>IFERROR(VLOOKUP($A32,EventSchedule!$A:$G,2,FALSE),"")</f>
        <v>236</v>
      </c>
      <c r="F32" s="7">
        <f>IFERROR(VLOOKUP($A32,EventSchedule!$A:$G,3,FALSE),"")</f>
        <v>2170</v>
      </c>
      <c r="G32" s="7">
        <f>IFERROR(VLOOKUP($A32,EventSchedule!$A:$G,4,FALSE),"")</f>
        <v>155</v>
      </c>
    </row>
    <row r="33" spans="1:7">
      <c r="A33" s="8">
        <v>32</v>
      </c>
      <c r="B33" s="7">
        <f>IFERROR(VLOOKUP($A33,EventSchedule!$A:$G,5,FALSE),"")</f>
        <v>6333</v>
      </c>
      <c r="C33" s="7">
        <f>IFERROR(VLOOKUP($A33,EventSchedule!$A:$G,6,FALSE),"")</f>
        <v>3146</v>
      </c>
      <c r="D33" s="7">
        <f>IFERROR(VLOOKUP($A33,EventSchedule!$A:$G,7,FALSE),"")</f>
        <v>1973</v>
      </c>
      <c r="E33" s="7">
        <f>IFERROR(VLOOKUP($A33,EventSchedule!$A:$G,2,FALSE),"")</f>
        <v>190</v>
      </c>
      <c r="F33" s="7">
        <f>IFERROR(VLOOKUP($A33,EventSchedule!$A:$G,3,FALSE),"")</f>
        <v>1991</v>
      </c>
      <c r="G33" s="7">
        <f>IFERROR(VLOOKUP($A33,EventSchedule!$A:$G,4,FALSE),"")</f>
        <v>999</v>
      </c>
    </row>
    <row r="34" spans="1:7">
      <c r="A34" s="8">
        <v>33</v>
      </c>
      <c r="B34" s="7">
        <f>IFERROR(VLOOKUP($A34,EventSchedule!$A:$G,5,FALSE),"")</f>
        <v>6346</v>
      </c>
      <c r="C34" s="7">
        <f>IFERROR(VLOOKUP($A34,EventSchedule!$A:$G,6,FALSE),"")</f>
        <v>2067</v>
      </c>
      <c r="D34" s="7">
        <f>IFERROR(VLOOKUP($A34,EventSchedule!$A:$G,7,FALSE),"")</f>
        <v>571</v>
      </c>
      <c r="E34" s="7">
        <f>IFERROR(VLOOKUP($A34,EventSchedule!$A:$G,2,FALSE),"")</f>
        <v>7153</v>
      </c>
      <c r="F34" s="7">
        <f>IFERROR(VLOOKUP($A34,EventSchedule!$A:$G,3,FALSE),"")</f>
        <v>2836</v>
      </c>
      <c r="G34" s="7">
        <f>IFERROR(VLOOKUP($A34,EventSchedule!$A:$G,4,FALSE),"")</f>
        <v>195</v>
      </c>
    </row>
    <row r="35" spans="1:7">
      <c r="A35" s="8">
        <v>34</v>
      </c>
      <c r="B35" s="7">
        <f>IFERROR(VLOOKUP($A35,EventSchedule!$A:$G,5,FALSE),"")</f>
        <v>2064</v>
      </c>
      <c r="C35" s="7">
        <f>IFERROR(VLOOKUP($A35,EventSchedule!$A:$G,6,FALSE),"")</f>
        <v>839</v>
      </c>
      <c r="D35" s="7">
        <f>IFERROR(VLOOKUP($A35,EventSchedule!$A:$G,7,FALSE),"")</f>
        <v>176</v>
      </c>
      <c r="E35" s="7">
        <f>IFERROR(VLOOKUP($A35,EventSchedule!$A:$G,2,FALSE),"")</f>
        <v>6895</v>
      </c>
      <c r="F35" s="7">
        <f>IFERROR(VLOOKUP($A35,EventSchedule!$A:$G,3,FALSE),"")</f>
        <v>173</v>
      </c>
      <c r="G35" s="7">
        <f>IFERROR(VLOOKUP($A35,EventSchedule!$A:$G,4,FALSE),"")</f>
        <v>5129</v>
      </c>
    </row>
    <row r="36" spans="1:7">
      <c r="A36" s="8">
        <v>35</v>
      </c>
      <c r="B36" s="7">
        <f>IFERROR(VLOOKUP($A36,EventSchedule!$A:$G,5,FALSE),"")</f>
        <v>7127</v>
      </c>
      <c r="C36" s="7">
        <f>IFERROR(VLOOKUP($A36,EventSchedule!$A:$G,6,FALSE),"")</f>
        <v>6333</v>
      </c>
      <c r="D36" s="7">
        <f>IFERROR(VLOOKUP($A36,EventSchedule!$A:$G,7,FALSE),"")</f>
        <v>175</v>
      </c>
      <c r="E36" s="7">
        <f>IFERROR(VLOOKUP($A36,EventSchedule!$A:$G,2,FALSE),"")</f>
        <v>1740</v>
      </c>
      <c r="F36" s="7">
        <f>IFERROR(VLOOKUP($A36,EventSchedule!$A:$G,3,FALSE),"")</f>
        <v>558</v>
      </c>
      <c r="G36" s="7">
        <f>IFERROR(VLOOKUP($A36,EventSchedule!$A:$G,4,FALSE),"")</f>
        <v>3182</v>
      </c>
    </row>
    <row r="37" spans="1:7">
      <c r="A37" s="8">
        <v>36</v>
      </c>
      <c r="B37" s="7">
        <f>IFERROR(VLOOKUP($A37,EventSchedule!$A:$G,5,FALSE),"")</f>
        <v>571</v>
      </c>
      <c r="C37" s="7">
        <f>IFERROR(VLOOKUP($A37,EventSchedule!$A:$G,6,FALSE),"")</f>
        <v>6812</v>
      </c>
      <c r="D37" s="7">
        <f>IFERROR(VLOOKUP($A37,EventSchedule!$A:$G,7,FALSE),"")</f>
        <v>2785</v>
      </c>
      <c r="E37" s="7">
        <f>IFERROR(VLOOKUP($A37,EventSchedule!$A:$G,2,FALSE),"")</f>
        <v>5686</v>
      </c>
      <c r="F37" s="7">
        <f>IFERROR(VLOOKUP($A37,EventSchedule!$A:$G,3,FALSE),"")</f>
        <v>3464</v>
      </c>
      <c r="G37" s="7">
        <f>IFERROR(VLOOKUP($A37,EventSchedule!$A:$G,4,FALSE),"")</f>
        <v>6346</v>
      </c>
    </row>
    <row r="38" spans="1:7">
      <c r="A38" s="8">
        <v>37</v>
      </c>
      <c r="B38" s="7">
        <f>IFERROR(VLOOKUP($A38,EventSchedule!$A:$G,5,FALSE),"")</f>
        <v>3146</v>
      </c>
      <c r="C38" s="7">
        <f>IFERROR(VLOOKUP($A38,EventSchedule!$A:$G,6,FALSE),"")</f>
        <v>2064</v>
      </c>
      <c r="D38" s="7">
        <f>IFERROR(VLOOKUP($A38,EventSchedule!$A:$G,7,FALSE),"")</f>
        <v>195</v>
      </c>
      <c r="E38" s="7">
        <f>IFERROR(VLOOKUP($A38,EventSchedule!$A:$G,2,FALSE),"")</f>
        <v>7153</v>
      </c>
      <c r="F38" s="7">
        <f>IFERROR(VLOOKUP($A38,EventSchedule!$A:$G,3,FALSE),"")</f>
        <v>1991</v>
      </c>
      <c r="G38" s="7">
        <f>IFERROR(VLOOKUP($A38,EventSchedule!$A:$G,4,FALSE),"")</f>
        <v>839</v>
      </c>
    </row>
    <row r="39" spans="1:7">
      <c r="A39" s="8">
        <v>38</v>
      </c>
      <c r="B39" s="7">
        <f>IFERROR(VLOOKUP($A39,EventSchedule!$A:$G,5,FALSE),"")</f>
        <v>1027</v>
      </c>
      <c r="C39" s="7">
        <f>IFERROR(VLOOKUP($A39,EventSchedule!$A:$G,6,FALSE),"")</f>
        <v>5746</v>
      </c>
      <c r="D39" s="7">
        <f>IFERROR(VLOOKUP($A39,EventSchedule!$A:$G,7,FALSE),"")</f>
        <v>3654</v>
      </c>
      <c r="E39" s="7">
        <f>IFERROR(VLOOKUP($A39,EventSchedule!$A:$G,2,FALSE),"")</f>
        <v>173</v>
      </c>
      <c r="F39" s="7">
        <f>IFERROR(VLOOKUP($A39,EventSchedule!$A:$G,3,FALSE),"")</f>
        <v>999</v>
      </c>
      <c r="G39" s="7">
        <f>IFERROR(VLOOKUP($A39,EventSchedule!$A:$G,4,FALSE),"")</f>
        <v>6811</v>
      </c>
    </row>
    <row r="40" spans="1:7">
      <c r="A40" s="8">
        <v>39</v>
      </c>
      <c r="B40" s="7">
        <f>IFERROR(VLOOKUP($A40,EventSchedule!$A:$G,5,FALSE),"")</f>
        <v>6895</v>
      </c>
      <c r="C40" s="7">
        <f>IFERROR(VLOOKUP($A40,EventSchedule!$A:$G,6,FALSE),"")</f>
        <v>7127</v>
      </c>
      <c r="D40" s="7">
        <f>IFERROR(VLOOKUP($A40,EventSchedule!$A:$G,7,FALSE),"")</f>
        <v>236</v>
      </c>
      <c r="E40" s="7">
        <f>IFERROR(VLOOKUP($A40,EventSchedule!$A:$G,2,FALSE),"")</f>
        <v>2067</v>
      </c>
      <c r="F40" s="7">
        <f>IFERROR(VLOOKUP($A40,EventSchedule!$A:$G,3,FALSE),"")</f>
        <v>230</v>
      </c>
      <c r="G40" s="7">
        <f>IFERROR(VLOOKUP($A40,EventSchedule!$A:$G,4,FALSE),"")</f>
        <v>155</v>
      </c>
    </row>
    <row r="41" spans="1:7">
      <c r="A41" s="8">
        <v>40</v>
      </c>
      <c r="B41" s="7">
        <f>IFERROR(VLOOKUP($A41,EventSchedule!$A:$G,5,FALSE),"")</f>
        <v>2170</v>
      </c>
      <c r="C41" s="7">
        <f>IFERROR(VLOOKUP($A41,EventSchedule!$A:$G,6,FALSE),"")</f>
        <v>181</v>
      </c>
      <c r="D41" s="7">
        <f>IFERROR(VLOOKUP($A41,EventSchedule!$A:$G,7,FALSE),"")</f>
        <v>1973</v>
      </c>
      <c r="E41" s="7">
        <f>IFERROR(VLOOKUP($A41,EventSchedule!$A:$G,2,FALSE),"")</f>
        <v>1085</v>
      </c>
      <c r="F41" s="7">
        <f>IFERROR(VLOOKUP($A41,EventSchedule!$A:$G,3,FALSE),"")</f>
        <v>176</v>
      </c>
      <c r="G41" s="7">
        <f>IFERROR(VLOOKUP($A41,EventSchedule!$A:$G,4,FALSE),"")</f>
        <v>177</v>
      </c>
    </row>
    <row r="42" spans="1:7">
      <c r="A42" s="8">
        <v>41</v>
      </c>
      <c r="B42" s="7">
        <f>IFERROR(VLOOKUP($A42,EventSchedule!$A:$G,5,FALSE),"")</f>
        <v>5142</v>
      </c>
      <c r="C42" s="7">
        <f>IFERROR(VLOOKUP($A42,EventSchedule!$A:$G,6,FALSE),"")</f>
        <v>4987</v>
      </c>
      <c r="D42" s="7">
        <f>IFERROR(VLOOKUP($A42,EventSchedule!$A:$G,7,FALSE),"")</f>
        <v>190</v>
      </c>
      <c r="E42" s="7">
        <f>IFERROR(VLOOKUP($A42,EventSchedule!$A:$G,2,FALSE),"")</f>
        <v>2836</v>
      </c>
      <c r="F42" s="7">
        <f>IFERROR(VLOOKUP($A42,EventSchedule!$A:$G,3,FALSE),"")</f>
        <v>3634</v>
      </c>
      <c r="G42" s="7">
        <f>IFERROR(VLOOKUP($A42,EventSchedule!$A:$G,4,FALSE),"")</f>
        <v>5129</v>
      </c>
    </row>
    <row r="43" spans="1:7">
      <c r="A43" s="8">
        <v>42</v>
      </c>
      <c r="B43" s="7">
        <f>IFERROR(VLOOKUP($A43,EventSchedule!$A:$G,5,FALSE),"")</f>
        <v>195</v>
      </c>
      <c r="C43" s="7">
        <f>IFERROR(VLOOKUP($A43,EventSchedule!$A:$G,6,FALSE),"")</f>
        <v>5686</v>
      </c>
      <c r="D43" s="7">
        <f>IFERROR(VLOOKUP($A43,EventSchedule!$A:$G,7,FALSE),"")</f>
        <v>839</v>
      </c>
      <c r="E43" s="7">
        <f>IFERROR(VLOOKUP($A43,EventSchedule!$A:$G,2,FALSE),"")</f>
        <v>6811</v>
      </c>
      <c r="F43" s="7">
        <f>IFERROR(VLOOKUP($A43,EventSchedule!$A:$G,3,FALSE),"")</f>
        <v>6333</v>
      </c>
      <c r="G43" s="7">
        <f>IFERROR(VLOOKUP($A43,EventSchedule!$A:$G,4,FALSE),"")</f>
        <v>2067</v>
      </c>
    </row>
    <row r="44" spans="1:7">
      <c r="A44" s="8">
        <v>43</v>
      </c>
      <c r="B44" s="7">
        <f>IFERROR(VLOOKUP($A44,EventSchedule!$A:$G,5,FALSE),"")</f>
        <v>5746</v>
      </c>
      <c r="C44" s="7">
        <f>IFERROR(VLOOKUP($A44,EventSchedule!$A:$G,6,FALSE),"")</f>
        <v>177</v>
      </c>
      <c r="D44" s="7">
        <f>IFERROR(VLOOKUP($A44,EventSchedule!$A:$G,7,FALSE),"")</f>
        <v>181</v>
      </c>
      <c r="E44" s="7">
        <f>IFERROR(VLOOKUP($A44,EventSchedule!$A:$G,2,FALSE),"")</f>
        <v>1991</v>
      </c>
      <c r="F44" s="7">
        <f>IFERROR(VLOOKUP($A44,EventSchedule!$A:$G,3,FALSE),"")</f>
        <v>155</v>
      </c>
      <c r="G44" s="7">
        <f>IFERROR(VLOOKUP($A44,EventSchedule!$A:$G,4,FALSE),"")</f>
        <v>3654</v>
      </c>
    </row>
    <row r="45" spans="1:7">
      <c r="A45" s="8">
        <v>44</v>
      </c>
      <c r="B45" s="7">
        <f>IFERROR(VLOOKUP($A45,EventSchedule!$A:$G,5,FALSE),"")</f>
        <v>4987</v>
      </c>
      <c r="C45" s="7">
        <f>IFERROR(VLOOKUP($A45,EventSchedule!$A:$G,6,FALSE),"")</f>
        <v>1085</v>
      </c>
      <c r="D45" s="7">
        <f>IFERROR(VLOOKUP($A45,EventSchedule!$A:$G,7,FALSE),"")</f>
        <v>173</v>
      </c>
      <c r="E45" s="7">
        <f>IFERROR(VLOOKUP($A45,EventSchedule!$A:$G,2,FALSE),"")</f>
        <v>2170</v>
      </c>
      <c r="F45" s="7">
        <f>IFERROR(VLOOKUP($A45,EventSchedule!$A:$G,3,FALSE),"")</f>
        <v>175</v>
      </c>
      <c r="G45" s="7">
        <f>IFERROR(VLOOKUP($A45,EventSchedule!$A:$G,4,FALSE),"")</f>
        <v>5129</v>
      </c>
    </row>
    <row r="46" spans="1:7">
      <c r="A46" s="8">
        <v>45</v>
      </c>
      <c r="B46" s="7">
        <f>IFERROR(VLOOKUP($A46,EventSchedule!$A:$G,5,FALSE),"")</f>
        <v>230</v>
      </c>
      <c r="C46" s="7">
        <f>IFERROR(VLOOKUP($A46,EventSchedule!$A:$G,6,FALSE),"")</f>
        <v>2785</v>
      </c>
      <c r="D46" s="7">
        <f>IFERROR(VLOOKUP($A46,EventSchedule!$A:$G,7,FALSE),"")</f>
        <v>999</v>
      </c>
      <c r="E46" s="7">
        <f>IFERROR(VLOOKUP($A46,EventSchedule!$A:$G,2,FALSE),"")</f>
        <v>1027</v>
      </c>
      <c r="F46" s="7">
        <f>IFERROR(VLOOKUP($A46,EventSchedule!$A:$G,3,FALSE),"")</f>
        <v>5142</v>
      </c>
      <c r="G46" s="7">
        <f>IFERROR(VLOOKUP($A46,EventSchedule!$A:$G,4,FALSE),"")</f>
        <v>176</v>
      </c>
    </row>
    <row r="47" spans="1:7">
      <c r="A47" s="8">
        <v>46</v>
      </c>
      <c r="B47" s="7">
        <f>IFERROR(VLOOKUP($A47,EventSchedule!$A:$G,5,FALSE),"")</f>
        <v>236</v>
      </c>
      <c r="C47" s="7">
        <f>IFERROR(VLOOKUP($A47,EventSchedule!$A:$G,6,FALSE),"")</f>
        <v>3634</v>
      </c>
      <c r="D47" s="7">
        <f>IFERROR(VLOOKUP($A47,EventSchedule!$A:$G,7,FALSE),"")</f>
        <v>6812</v>
      </c>
      <c r="E47" s="7">
        <f>IFERROR(VLOOKUP($A47,EventSchedule!$A:$G,2,FALSE),"")</f>
        <v>571</v>
      </c>
      <c r="F47" s="7">
        <f>IFERROR(VLOOKUP($A47,EventSchedule!$A:$G,3,FALSE),"")</f>
        <v>7127</v>
      </c>
      <c r="G47" s="7">
        <f>IFERROR(VLOOKUP($A47,EventSchedule!$A:$G,4,FALSE),"")</f>
        <v>3146</v>
      </c>
    </row>
    <row r="48" spans="1:7">
      <c r="A48" s="8">
        <v>47</v>
      </c>
      <c r="B48" s="7">
        <f>IFERROR(VLOOKUP($A48,EventSchedule!$A:$G,5,FALSE),"")</f>
        <v>6346</v>
      </c>
      <c r="C48" s="7">
        <f>IFERROR(VLOOKUP($A48,EventSchedule!$A:$G,6,FALSE),"")</f>
        <v>190</v>
      </c>
      <c r="D48" s="7">
        <f>IFERROR(VLOOKUP($A48,EventSchedule!$A:$G,7,FALSE),"")</f>
        <v>3182</v>
      </c>
      <c r="E48" s="7">
        <f>IFERROR(VLOOKUP($A48,EventSchedule!$A:$G,2,FALSE),"")</f>
        <v>7153</v>
      </c>
      <c r="F48" s="7">
        <f>IFERROR(VLOOKUP($A48,EventSchedule!$A:$G,3,FALSE),"")</f>
        <v>6895</v>
      </c>
      <c r="G48" s="7">
        <f>IFERROR(VLOOKUP($A48,EventSchedule!$A:$G,4,FALSE),"")</f>
        <v>1740</v>
      </c>
    </row>
    <row r="49" spans="1:7">
      <c r="A49" s="8">
        <v>48</v>
      </c>
      <c r="B49" s="7">
        <f>IFERROR(VLOOKUP($A49,EventSchedule!$A:$G,5,FALSE),"")</f>
        <v>3464</v>
      </c>
      <c r="C49" s="7">
        <f>IFERROR(VLOOKUP($A49,EventSchedule!$A:$G,6,FALSE),"")</f>
        <v>558</v>
      </c>
      <c r="D49" s="7">
        <f>IFERROR(VLOOKUP($A49,EventSchedule!$A:$G,7,FALSE),"")</f>
        <v>155</v>
      </c>
      <c r="E49" s="7">
        <f>IFERROR(VLOOKUP($A49,EventSchedule!$A:$G,2,FALSE),"")</f>
        <v>1973</v>
      </c>
      <c r="F49" s="7">
        <f>IFERROR(VLOOKUP($A49,EventSchedule!$A:$G,3,FALSE),"")</f>
        <v>2064</v>
      </c>
      <c r="G49" s="7">
        <f>IFERROR(VLOOKUP($A49,EventSchedule!$A:$G,4,FALSE),"")</f>
        <v>2836</v>
      </c>
    </row>
    <row r="50" spans="1:7">
      <c r="A50" s="8">
        <v>49</v>
      </c>
      <c r="B50" s="7">
        <f>IFERROR(VLOOKUP($A50,EventSchedule!$A:$G,5,FALSE),"")</f>
        <v>5129</v>
      </c>
      <c r="C50" s="7">
        <f>IFERROR(VLOOKUP($A50,EventSchedule!$A:$G,6,FALSE),"")</f>
        <v>839</v>
      </c>
      <c r="D50" s="7">
        <f>IFERROR(VLOOKUP($A50,EventSchedule!$A:$G,7,FALSE),"")</f>
        <v>3654</v>
      </c>
      <c r="E50" s="7">
        <f>IFERROR(VLOOKUP($A50,EventSchedule!$A:$G,2,FALSE),"")</f>
        <v>3146</v>
      </c>
      <c r="F50" s="7">
        <f>IFERROR(VLOOKUP($A50,EventSchedule!$A:$G,3,FALSE),"")</f>
        <v>5686</v>
      </c>
      <c r="G50" s="7">
        <f>IFERROR(VLOOKUP($A50,EventSchedule!$A:$G,4,FALSE),"")</f>
        <v>2785</v>
      </c>
    </row>
    <row r="51" spans="1:7">
      <c r="A51" s="8">
        <v>50</v>
      </c>
      <c r="B51" s="7">
        <f>IFERROR(VLOOKUP($A51,EventSchedule!$A:$G,5,FALSE),"")</f>
        <v>177</v>
      </c>
      <c r="C51" s="7">
        <f>IFERROR(VLOOKUP($A51,EventSchedule!$A:$G,6,FALSE),"")</f>
        <v>190</v>
      </c>
      <c r="D51" s="7">
        <f>IFERROR(VLOOKUP($A51,EventSchedule!$A:$G,7,FALSE),"")</f>
        <v>195</v>
      </c>
      <c r="E51" s="7">
        <f>IFERROR(VLOOKUP($A51,EventSchedule!$A:$G,2,FALSE),"")</f>
        <v>176</v>
      </c>
      <c r="F51" s="7">
        <f>IFERROR(VLOOKUP($A51,EventSchedule!$A:$G,3,FALSE),"")</f>
        <v>175</v>
      </c>
      <c r="G51" s="7">
        <f>IFERROR(VLOOKUP($A51,EventSchedule!$A:$G,4,FALSE),"")</f>
        <v>5746</v>
      </c>
    </row>
    <row r="52" spans="1:7">
      <c r="A52" s="8">
        <v>51</v>
      </c>
      <c r="B52" s="7">
        <f>IFERROR(VLOOKUP($A52,EventSchedule!$A:$G,5,FALSE),"")</f>
        <v>2170</v>
      </c>
      <c r="C52" s="7">
        <f>IFERROR(VLOOKUP($A52,EventSchedule!$A:$G,6,FALSE),"")</f>
        <v>558</v>
      </c>
      <c r="D52" s="7">
        <f>IFERROR(VLOOKUP($A52,EventSchedule!$A:$G,7,FALSE),"")</f>
        <v>7153</v>
      </c>
      <c r="E52" s="7">
        <f>IFERROR(VLOOKUP($A52,EventSchedule!$A:$G,2,FALSE),"")</f>
        <v>999</v>
      </c>
      <c r="F52" s="7">
        <f>IFERROR(VLOOKUP($A52,EventSchedule!$A:$G,3,FALSE),"")</f>
        <v>1027</v>
      </c>
      <c r="G52" s="7">
        <f>IFERROR(VLOOKUP($A52,EventSchedule!$A:$G,4,FALSE),"")</f>
        <v>3634</v>
      </c>
    </row>
    <row r="53" spans="1:7">
      <c r="A53" s="8">
        <v>52</v>
      </c>
      <c r="B53" s="7">
        <f>IFERROR(VLOOKUP($A53,EventSchedule!$A:$G,5,FALSE),"")</f>
        <v>236</v>
      </c>
      <c r="C53" s="7">
        <f>IFERROR(VLOOKUP($A53,EventSchedule!$A:$G,6,FALSE),"")</f>
        <v>6346</v>
      </c>
      <c r="D53" s="7">
        <f>IFERROR(VLOOKUP($A53,EventSchedule!$A:$G,7,FALSE),"")</f>
        <v>230</v>
      </c>
      <c r="E53" s="7">
        <f>IFERROR(VLOOKUP($A53,EventSchedule!$A:$G,2,FALSE),"")</f>
        <v>173</v>
      </c>
      <c r="F53" s="7">
        <f>IFERROR(VLOOKUP($A53,EventSchedule!$A:$G,3,FALSE),"")</f>
        <v>1973</v>
      </c>
      <c r="G53" s="7">
        <f>IFERROR(VLOOKUP($A53,EventSchedule!$A:$G,4,FALSE),"")</f>
        <v>5142</v>
      </c>
    </row>
    <row r="54" spans="1:7">
      <c r="A54" s="8">
        <v>53</v>
      </c>
      <c r="B54" s="7">
        <f>IFERROR(VLOOKUP($A54,EventSchedule!$A:$G,5,FALSE),"")</f>
        <v>4987</v>
      </c>
      <c r="C54" s="7">
        <f>IFERROR(VLOOKUP($A54,EventSchedule!$A:$G,6,FALSE),"")</f>
        <v>181</v>
      </c>
      <c r="D54" s="7">
        <f>IFERROR(VLOOKUP($A54,EventSchedule!$A:$G,7,FALSE),"")</f>
        <v>2836</v>
      </c>
      <c r="E54" s="7">
        <f>IFERROR(VLOOKUP($A54,EventSchedule!$A:$G,2,FALSE),"")</f>
        <v>2064</v>
      </c>
      <c r="F54" s="7">
        <f>IFERROR(VLOOKUP($A54,EventSchedule!$A:$G,3,FALSE),"")</f>
        <v>1740</v>
      </c>
      <c r="G54" s="7">
        <f>IFERROR(VLOOKUP($A54,EventSchedule!$A:$G,4,FALSE),"")</f>
        <v>7127</v>
      </c>
    </row>
    <row r="55" spans="1:7">
      <c r="A55" s="8">
        <v>54</v>
      </c>
      <c r="B55" s="7">
        <f>IFERROR(VLOOKUP($A55,EventSchedule!$A:$G,5,FALSE),"")</f>
        <v>1991</v>
      </c>
      <c r="C55" s="7">
        <f>IFERROR(VLOOKUP($A55,EventSchedule!$A:$G,6,FALSE),"")</f>
        <v>3182</v>
      </c>
      <c r="D55" s="7">
        <f>IFERROR(VLOOKUP($A55,EventSchedule!$A:$G,7,FALSE),"")</f>
        <v>2067</v>
      </c>
      <c r="E55" s="7">
        <f>IFERROR(VLOOKUP($A55,EventSchedule!$A:$G,2,FALSE),"")</f>
        <v>6811</v>
      </c>
      <c r="F55" s="7">
        <f>IFERROR(VLOOKUP($A55,EventSchedule!$A:$G,3,FALSE),"")</f>
        <v>6812</v>
      </c>
      <c r="G55" s="7">
        <f>IFERROR(VLOOKUP($A55,EventSchedule!$A:$G,4,FALSE),"")</f>
        <v>1085</v>
      </c>
    </row>
    <row r="56" spans="1:7">
      <c r="A56" s="8">
        <v>55</v>
      </c>
      <c r="B56" s="7">
        <f>IFERROR(VLOOKUP($A56,EventSchedule!$A:$G,5,FALSE),"")</f>
        <v>3464</v>
      </c>
      <c r="C56" s="7">
        <f>IFERROR(VLOOKUP($A56,EventSchedule!$A:$G,6,FALSE),"")</f>
        <v>571</v>
      </c>
      <c r="D56" s="7">
        <f>IFERROR(VLOOKUP($A56,EventSchedule!$A:$G,7,FALSE),"")</f>
        <v>5746</v>
      </c>
      <c r="E56" s="7">
        <f>IFERROR(VLOOKUP($A56,EventSchedule!$A:$G,2,FALSE),"")</f>
        <v>6895</v>
      </c>
      <c r="F56" s="7">
        <f>IFERROR(VLOOKUP($A56,EventSchedule!$A:$G,3,FALSE),"")</f>
        <v>6333</v>
      </c>
      <c r="G56" s="7">
        <f>IFERROR(VLOOKUP($A56,EventSchedule!$A:$G,4,FALSE),"")</f>
        <v>155</v>
      </c>
    </row>
    <row r="57" spans="1:7">
      <c r="A57" s="8">
        <v>56</v>
      </c>
      <c r="B57" s="7">
        <f>IFERROR(VLOOKUP($A57,EventSchedule!$A:$G,5,FALSE),"")</f>
        <v>5129</v>
      </c>
      <c r="C57" s="7">
        <f>IFERROR(VLOOKUP($A57,EventSchedule!$A:$G,6,FALSE),"")</f>
        <v>1973</v>
      </c>
      <c r="D57" s="7">
        <f>IFERROR(VLOOKUP($A57,EventSchedule!$A:$G,7,FALSE),"")</f>
        <v>1740</v>
      </c>
      <c r="E57" s="7">
        <f>IFERROR(VLOOKUP($A57,EventSchedule!$A:$G,2,FALSE),"")</f>
        <v>3634</v>
      </c>
      <c r="F57" s="7">
        <f>IFERROR(VLOOKUP($A57,EventSchedule!$A:$G,3,FALSE),"")</f>
        <v>195</v>
      </c>
      <c r="G57" s="7">
        <f>IFERROR(VLOOKUP($A57,EventSchedule!$A:$G,4,FALSE),"")</f>
        <v>2170</v>
      </c>
    </row>
    <row r="58" spans="1:7">
      <c r="A58" s="8">
        <v>57</v>
      </c>
      <c r="B58" s="7">
        <f>IFERROR(VLOOKUP($A58,EventSchedule!$A:$G,5,FALSE),"")</f>
        <v>175</v>
      </c>
      <c r="C58" s="7">
        <f>IFERROR(VLOOKUP($A58,EventSchedule!$A:$G,6,FALSE),"")</f>
        <v>999</v>
      </c>
      <c r="D58" s="7">
        <f>IFERROR(VLOOKUP($A58,EventSchedule!$A:$G,7,FALSE),"")</f>
        <v>5142</v>
      </c>
      <c r="E58" s="7">
        <f>IFERROR(VLOOKUP($A58,EventSchedule!$A:$G,2,FALSE),"")</f>
        <v>6811</v>
      </c>
      <c r="F58" s="7">
        <f>IFERROR(VLOOKUP($A58,EventSchedule!$A:$G,3,FALSE),"")</f>
        <v>6346</v>
      </c>
      <c r="G58" s="7">
        <f>IFERROR(VLOOKUP($A58,EventSchedule!$A:$G,4,FALSE),"")</f>
        <v>1991</v>
      </c>
    </row>
    <row r="59" spans="1:7">
      <c r="A59" s="8">
        <v>58</v>
      </c>
      <c r="B59" s="7">
        <f>IFERROR(VLOOKUP($A59,EventSchedule!$A:$G,5,FALSE),"")</f>
        <v>839</v>
      </c>
      <c r="C59" s="7">
        <f>IFERROR(VLOOKUP($A59,EventSchedule!$A:$G,6,FALSE),"")</f>
        <v>6895</v>
      </c>
      <c r="D59" s="7">
        <f>IFERROR(VLOOKUP($A59,EventSchedule!$A:$G,7,FALSE),"")</f>
        <v>1027</v>
      </c>
      <c r="E59" s="7">
        <f>IFERROR(VLOOKUP($A59,EventSchedule!$A:$G,2,FALSE),"")</f>
        <v>177</v>
      </c>
      <c r="F59" s="7">
        <f>IFERROR(VLOOKUP($A59,EventSchedule!$A:$G,3,FALSE),"")</f>
        <v>236</v>
      </c>
      <c r="G59" s="7">
        <f>IFERROR(VLOOKUP($A59,EventSchedule!$A:$G,4,FALSE),"")</f>
        <v>3464</v>
      </c>
    </row>
    <row r="60" spans="1:7">
      <c r="A60" s="8">
        <v>59</v>
      </c>
      <c r="B60" s="7">
        <f>IFERROR(VLOOKUP($A60,EventSchedule!$A:$G,5,FALSE),"")</f>
        <v>3182</v>
      </c>
      <c r="C60" s="7">
        <f>IFERROR(VLOOKUP($A60,EventSchedule!$A:$G,6,FALSE),"")</f>
        <v>1085</v>
      </c>
      <c r="D60" s="7">
        <f>IFERROR(VLOOKUP($A60,EventSchedule!$A:$G,7,FALSE),"")</f>
        <v>571</v>
      </c>
      <c r="E60" s="7">
        <f>IFERROR(VLOOKUP($A60,EventSchedule!$A:$G,2,FALSE),"")</f>
        <v>5686</v>
      </c>
      <c r="F60" s="7">
        <f>IFERROR(VLOOKUP($A60,EventSchedule!$A:$G,3,FALSE),"")</f>
        <v>190</v>
      </c>
      <c r="G60" s="7">
        <f>IFERROR(VLOOKUP($A60,EventSchedule!$A:$G,4,FALSE),"")</f>
        <v>173</v>
      </c>
    </row>
    <row r="61" spans="1:7">
      <c r="A61" s="8">
        <v>60</v>
      </c>
      <c r="B61" s="7">
        <f>IFERROR(VLOOKUP($A61,EventSchedule!$A:$G,5,FALSE),"")</f>
        <v>6333</v>
      </c>
      <c r="C61" s="7">
        <f>IFERROR(VLOOKUP($A61,EventSchedule!$A:$G,6,FALSE),"")</f>
        <v>176</v>
      </c>
      <c r="D61" s="7">
        <f>IFERROR(VLOOKUP($A61,EventSchedule!$A:$G,7,FALSE),"")</f>
        <v>2836</v>
      </c>
      <c r="E61" s="7">
        <f>IFERROR(VLOOKUP($A61,EventSchedule!$A:$G,2,FALSE),"")</f>
        <v>3146</v>
      </c>
      <c r="F61" s="7">
        <f>IFERROR(VLOOKUP($A61,EventSchedule!$A:$G,3,FALSE),"")</f>
        <v>3654</v>
      </c>
      <c r="G61" s="7">
        <f>IFERROR(VLOOKUP($A61,EventSchedule!$A:$G,4,FALSE),"")</f>
        <v>6812</v>
      </c>
    </row>
    <row r="62" spans="1:7">
      <c r="A62" s="8">
        <v>61</v>
      </c>
      <c r="B62" s="7">
        <f>IFERROR(VLOOKUP($A62,EventSchedule!$A:$G,5,FALSE),"")</f>
        <v>7153</v>
      </c>
      <c r="C62" s="7">
        <f>IFERROR(VLOOKUP($A62,EventSchedule!$A:$G,6,FALSE),"")</f>
        <v>7127</v>
      </c>
      <c r="D62" s="7">
        <f>IFERROR(VLOOKUP($A62,EventSchedule!$A:$G,7,FALSE),"")</f>
        <v>230</v>
      </c>
      <c r="E62" s="7">
        <f>IFERROR(VLOOKUP($A62,EventSchedule!$A:$G,2,FALSE),"")</f>
        <v>2785</v>
      </c>
      <c r="F62" s="7">
        <f>IFERROR(VLOOKUP($A62,EventSchedule!$A:$G,3,FALSE),"")</f>
        <v>2064</v>
      </c>
      <c r="G62" s="7">
        <f>IFERROR(VLOOKUP($A62,EventSchedule!$A:$G,4,FALSE),"")</f>
        <v>4987</v>
      </c>
    </row>
    <row r="63" spans="1:7">
      <c r="A63" s="8">
        <v>62</v>
      </c>
      <c r="B63" s="7">
        <f>IFERROR(VLOOKUP($A63,EventSchedule!$A:$G,5,FALSE),"")</f>
        <v>839</v>
      </c>
      <c r="C63" s="7">
        <f>IFERROR(VLOOKUP($A63,EventSchedule!$A:$G,6,FALSE),"")</f>
        <v>2067</v>
      </c>
      <c r="D63" s="7">
        <f>IFERROR(VLOOKUP($A63,EventSchedule!$A:$G,7,FALSE),"")</f>
        <v>181</v>
      </c>
      <c r="E63" s="7">
        <f>IFERROR(VLOOKUP($A63,EventSchedule!$A:$G,2,FALSE),"")</f>
        <v>558</v>
      </c>
      <c r="F63" s="7">
        <f>IFERROR(VLOOKUP($A63,EventSchedule!$A:$G,3,FALSE),"")</f>
        <v>571</v>
      </c>
      <c r="G63" s="7">
        <f>IFERROR(VLOOKUP($A63,EventSchedule!$A:$G,4,FALSE),"")</f>
        <v>5129</v>
      </c>
    </row>
    <row r="64" spans="1:7">
      <c r="A64" s="8">
        <v>63</v>
      </c>
      <c r="B64" s="7">
        <f>IFERROR(VLOOKUP($A64,EventSchedule!$A:$G,5,FALSE),"")</f>
        <v>2836</v>
      </c>
      <c r="C64" s="7">
        <f>IFERROR(VLOOKUP($A64,EventSchedule!$A:$G,6,FALSE),"")</f>
        <v>3146</v>
      </c>
      <c r="D64" s="7">
        <f>IFERROR(VLOOKUP($A64,EventSchedule!$A:$G,7,FALSE),"")</f>
        <v>2170</v>
      </c>
      <c r="E64" s="7">
        <f>IFERROR(VLOOKUP($A64,EventSchedule!$A:$G,2,FALSE),"")</f>
        <v>5142</v>
      </c>
      <c r="F64" s="7">
        <f>IFERROR(VLOOKUP($A64,EventSchedule!$A:$G,3,FALSE),"")</f>
        <v>3182</v>
      </c>
      <c r="G64" s="7">
        <f>IFERROR(VLOOKUP($A64,EventSchedule!$A:$G,4,FALSE),"")</f>
        <v>236</v>
      </c>
    </row>
    <row r="65" spans="1:7">
      <c r="A65" s="8">
        <v>64</v>
      </c>
      <c r="B65" s="7">
        <f>IFERROR(VLOOKUP($A65,EventSchedule!$A:$G,5,FALSE),"")</f>
        <v>2064</v>
      </c>
      <c r="C65" s="7">
        <f>IFERROR(VLOOKUP($A65,EventSchedule!$A:$G,6,FALSE),"")</f>
        <v>177</v>
      </c>
      <c r="D65" s="7">
        <f>IFERROR(VLOOKUP($A65,EventSchedule!$A:$G,7,FALSE),"")</f>
        <v>1991</v>
      </c>
      <c r="E65" s="7">
        <f>IFERROR(VLOOKUP($A65,EventSchedule!$A:$G,2,FALSE),"")</f>
        <v>176</v>
      </c>
      <c r="F65" s="7">
        <f>IFERROR(VLOOKUP($A65,EventSchedule!$A:$G,3,FALSE),"")</f>
        <v>7127</v>
      </c>
      <c r="G65" s="7">
        <f>IFERROR(VLOOKUP($A65,EventSchedule!$A:$G,4,FALSE),"")</f>
        <v>190</v>
      </c>
    </row>
    <row r="66" spans="1:7">
      <c r="A66" s="290">
        <v>65</v>
      </c>
      <c r="B66" s="7">
        <f>IFERROR(VLOOKUP($A66,EventSchedule!$A:$G,5,FALSE),"")</f>
        <v>4987</v>
      </c>
      <c r="C66" s="7">
        <f>IFERROR(VLOOKUP($A66,EventSchedule!$A:$G,6,FALSE),"")</f>
        <v>3464</v>
      </c>
      <c r="D66" s="7">
        <f>IFERROR(VLOOKUP($A66,EventSchedule!$A:$G,7,FALSE),"")</f>
        <v>6811</v>
      </c>
      <c r="E66" s="7">
        <f>IFERROR(VLOOKUP($A66,EventSchedule!$A:$G,2,FALSE),"")</f>
        <v>3654</v>
      </c>
      <c r="F66" s="7">
        <f>IFERROR(VLOOKUP($A66,EventSchedule!$A:$G,3,FALSE),"")</f>
        <v>2067</v>
      </c>
      <c r="G66" s="7">
        <f>IFERROR(VLOOKUP($A66,EventSchedule!$A:$G,4,FALSE),"")</f>
        <v>1740</v>
      </c>
    </row>
    <row r="67" spans="1:7">
      <c r="A67" s="8">
        <v>66</v>
      </c>
      <c r="B67" s="7">
        <f>IFERROR(VLOOKUP($A67,EventSchedule!$A:$G,5,FALSE),"")</f>
        <v>155</v>
      </c>
      <c r="C67" s="7">
        <f>IFERROR(VLOOKUP($A67,EventSchedule!$A:$G,6,FALSE),"")</f>
        <v>5686</v>
      </c>
      <c r="D67" s="7">
        <f>IFERROR(VLOOKUP($A67,EventSchedule!$A:$G,7,FALSE),"")</f>
        <v>7153</v>
      </c>
      <c r="E67" s="7">
        <f>IFERROR(VLOOKUP($A67,EventSchedule!$A:$G,2,FALSE),"")</f>
        <v>1973</v>
      </c>
      <c r="F67" s="7">
        <f>IFERROR(VLOOKUP($A67,EventSchedule!$A:$G,3,FALSE),"")</f>
        <v>230</v>
      </c>
      <c r="G67" s="7">
        <f>IFERROR(VLOOKUP($A67,EventSchedule!$A:$G,4,FALSE),"")</f>
        <v>175</v>
      </c>
    </row>
    <row r="68" spans="1:7">
      <c r="A68" s="8">
        <v>67</v>
      </c>
      <c r="B68" s="7">
        <f>IFERROR(VLOOKUP($A68,EventSchedule!$A:$G,5,FALSE),"")</f>
        <v>3634</v>
      </c>
      <c r="C68" s="7">
        <f>IFERROR(VLOOKUP($A68,EventSchedule!$A:$G,6,FALSE),"")</f>
        <v>2785</v>
      </c>
      <c r="D68" s="7">
        <f>IFERROR(VLOOKUP($A68,EventSchedule!$A:$G,7,FALSE),"")</f>
        <v>173</v>
      </c>
      <c r="E68" s="7">
        <f>IFERROR(VLOOKUP($A68,EventSchedule!$A:$G,2,FALSE),"")</f>
        <v>195</v>
      </c>
      <c r="F68" s="7">
        <f>IFERROR(VLOOKUP($A68,EventSchedule!$A:$G,3,FALSE),"")</f>
        <v>999</v>
      </c>
      <c r="G68" s="7">
        <f>IFERROR(VLOOKUP($A68,EventSchedule!$A:$G,4,FALSE),"")</f>
        <v>6812</v>
      </c>
    </row>
    <row r="69" spans="1:7">
      <c r="A69" s="8">
        <v>68</v>
      </c>
      <c r="B69" s="7">
        <f>IFERROR(VLOOKUP($A69,EventSchedule!$A:$G,5,FALSE),"")</f>
        <v>1085</v>
      </c>
      <c r="C69" s="7">
        <f>IFERROR(VLOOKUP($A69,EventSchedule!$A:$G,6,FALSE),"")</f>
        <v>1027</v>
      </c>
      <c r="D69" s="7">
        <f>IFERROR(VLOOKUP($A69,EventSchedule!$A:$G,7,FALSE),"")</f>
        <v>558</v>
      </c>
      <c r="E69" s="7">
        <f>IFERROR(VLOOKUP($A69,EventSchedule!$A:$G,2,FALSE),"")</f>
        <v>6333</v>
      </c>
      <c r="F69" s="7">
        <f>IFERROR(VLOOKUP($A69,EventSchedule!$A:$G,3,FALSE),"")</f>
        <v>5746</v>
      </c>
      <c r="G69" s="7">
        <f>IFERROR(VLOOKUP($A69,EventSchedule!$A:$G,4,FALSE),"")</f>
        <v>6346</v>
      </c>
    </row>
    <row r="70" spans="1:7">
      <c r="A70" s="8">
        <v>69</v>
      </c>
      <c r="B70" s="7">
        <f>IFERROR(VLOOKUP($A70,EventSchedule!$A:$G,5,FALSE),"")</f>
        <v>2067</v>
      </c>
      <c r="C70" s="7">
        <f>IFERROR(VLOOKUP($A70,EventSchedule!$A:$G,6,FALSE),"")</f>
        <v>6895</v>
      </c>
      <c r="D70" s="7">
        <f>IFERROR(VLOOKUP($A70,EventSchedule!$A:$G,7,FALSE),"")</f>
        <v>1973</v>
      </c>
      <c r="E70" s="7">
        <f>IFERROR(VLOOKUP($A70,EventSchedule!$A:$G,2,FALSE),"")</f>
        <v>181</v>
      </c>
      <c r="F70" s="7">
        <f>IFERROR(VLOOKUP($A70,EventSchedule!$A:$G,3,FALSE),"")</f>
        <v>1740</v>
      </c>
      <c r="G70" s="7">
        <f>IFERROR(VLOOKUP($A70,EventSchedule!$A:$G,4,FALSE),"")</f>
        <v>5142</v>
      </c>
    </row>
    <row r="71" spans="1:7">
      <c r="A71" s="8">
        <v>70</v>
      </c>
      <c r="B71" s="7">
        <f>IFERROR(VLOOKUP($A71,EventSchedule!$A:$G,5,FALSE),"")</f>
        <v>999</v>
      </c>
      <c r="C71" s="7">
        <f>IFERROR(VLOOKUP($A71,EventSchedule!$A:$G,6,FALSE),"")</f>
        <v>2836</v>
      </c>
      <c r="D71" s="7">
        <f>IFERROR(VLOOKUP($A71,EventSchedule!$A:$G,7,FALSE),"")</f>
        <v>236</v>
      </c>
      <c r="E71" s="7">
        <f>IFERROR(VLOOKUP($A71,EventSchedule!$A:$G,2,FALSE),"")</f>
        <v>6811</v>
      </c>
      <c r="F71" s="7">
        <f>IFERROR(VLOOKUP($A71,EventSchedule!$A:$G,3,FALSE),"")</f>
        <v>155</v>
      </c>
      <c r="G71" s="7">
        <f>IFERROR(VLOOKUP($A71,EventSchedule!$A:$G,4,FALSE),"")</f>
        <v>839</v>
      </c>
    </row>
    <row r="72" spans="1:7">
      <c r="A72" s="8">
        <v>71</v>
      </c>
      <c r="B72" s="7">
        <f>IFERROR(VLOOKUP($A72,EventSchedule!$A:$G,5,FALSE),"")</f>
        <v>1085</v>
      </c>
      <c r="C72" s="7">
        <f>IFERROR(VLOOKUP($A72,EventSchedule!$A:$G,6,FALSE),"")</f>
        <v>5129</v>
      </c>
      <c r="D72" s="7">
        <f>IFERROR(VLOOKUP($A72,EventSchedule!$A:$G,7,FALSE),"")</f>
        <v>1991</v>
      </c>
      <c r="E72" s="7">
        <f>IFERROR(VLOOKUP($A72,EventSchedule!$A:$G,2,FALSE),"")</f>
        <v>5746</v>
      </c>
      <c r="F72" s="7">
        <f>IFERROR(VLOOKUP($A72,EventSchedule!$A:$G,3,FALSE),"")</f>
        <v>2785</v>
      </c>
      <c r="G72" s="7">
        <f>IFERROR(VLOOKUP($A72,EventSchedule!$A:$G,4,FALSE),"")</f>
        <v>7153</v>
      </c>
    </row>
    <row r="73" spans="1:7">
      <c r="A73" s="291">
        <v>72</v>
      </c>
      <c r="B73" s="7">
        <f>IFERROR(VLOOKUP($A73,EventSchedule!$A:$G,5,FALSE),"")</f>
        <v>3634</v>
      </c>
      <c r="C73" s="7">
        <f>IFERROR(VLOOKUP($A73,EventSchedule!$A:$G,6,FALSE),"")</f>
        <v>3654</v>
      </c>
      <c r="D73" s="7">
        <f>IFERROR(VLOOKUP($A73,EventSchedule!$A:$G,7,FALSE),"")</f>
        <v>6346</v>
      </c>
      <c r="E73" s="7">
        <f>IFERROR(VLOOKUP($A73,EventSchedule!$A:$G,2,FALSE),"")</f>
        <v>2064</v>
      </c>
      <c r="F73" s="7">
        <f>IFERROR(VLOOKUP($A73,EventSchedule!$A:$G,3,FALSE),"")</f>
        <v>3182</v>
      </c>
      <c r="G73" s="7">
        <f>IFERROR(VLOOKUP($A73,EventSchedule!$A:$G,4,FALSE),"")</f>
        <v>6333</v>
      </c>
    </row>
    <row r="74" spans="1:7">
      <c r="A74" s="8">
        <v>73</v>
      </c>
      <c r="B74" s="7">
        <f>IFERROR(VLOOKUP($A74,EventSchedule!$A:$G,5,FALSE),"")</f>
        <v>181</v>
      </c>
      <c r="C74" s="7">
        <f>IFERROR(VLOOKUP($A74,EventSchedule!$A:$G,6,FALSE),"")</f>
        <v>1027</v>
      </c>
      <c r="D74" s="7">
        <f>IFERROR(VLOOKUP($A74,EventSchedule!$A:$G,7,FALSE),"")</f>
        <v>571</v>
      </c>
      <c r="E74" s="7">
        <f>IFERROR(VLOOKUP($A74,EventSchedule!$A:$G,2,FALSE),"")</f>
        <v>176</v>
      </c>
      <c r="F74" s="7">
        <f>IFERROR(VLOOKUP($A74,EventSchedule!$A:$G,3,FALSE),"")</f>
        <v>6812</v>
      </c>
      <c r="G74" s="7">
        <f>IFERROR(VLOOKUP($A74,EventSchedule!$A:$G,4,FALSE),"")</f>
        <v>4987</v>
      </c>
    </row>
    <row r="75" spans="1:7">
      <c r="A75" s="8">
        <v>74</v>
      </c>
      <c r="B75" s="7">
        <f>IFERROR(VLOOKUP($A75,EventSchedule!$A:$G,5,FALSE),"")</f>
        <v>5686</v>
      </c>
      <c r="C75" s="7">
        <f>IFERROR(VLOOKUP($A75,EventSchedule!$A:$G,6,FALSE),"")</f>
        <v>2170</v>
      </c>
      <c r="D75" s="7">
        <f>IFERROR(VLOOKUP($A75,EventSchedule!$A:$G,7,FALSE),"")</f>
        <v>6895</v>
      </c>
      <c r="E75" s="7">
        <f>IFERROR(VLOOKUP($A75,EventSchedule!$A:$G,2,FALSE),"")</f>
        <v>7127</v>
      </c>
      <c r="F75" s="7">
        <f>IFERROR(VLOOKUP($A75,EventSchedule!$A:$G,3,FALSE),"")</f>
        <v>195</v>
      </c>
      <c r="G75" s="7">
        <f>IFERROR(VLOOKUP($A75,EventSchedule!$A:$G,4,FALSE),"")</f>
        <v>558</v>
      </c>
    </row>
    <row r="76" spans="1:7">
      <c r="A76" s="8">
        <v>75</v>
      </c>
      <c r="B76" s="7">
        <f>IFERROR(VLOOKUP($A76,EventSchedule!$A:$G,5,FALSE),"")</f>
        <v>230</v>
      </c>
      <c r="C76" s="7">
        <f>IFERROR(VLOOKUP($A76,EventSchedule!$A:$G,6,FALSE),"")</f>
        <v>173</v>
      </c>
      <c r="D76" s="7">
        <f>IFERROR(VLOOKUP($A76,EventSchedule!$A:$G,7,FALSE),"")</f>
        <v>3146</v>
      </c>
      <c r="E76" s="7">
        <f>IFERROR(VLOOKUP($A76,EventSchedule!$A:$G,2,FALSE),"")</f>
        <v>175</v>
      </c>
      <c r="F76" s="7">
        <f>IFERROR(VLOOKUP($A76,EventSchedule!$A:$G,3,FALSE),"")</f>
        <v>190</v>
      </c>
      <c r="G76" s="7">
        <f>IFERROR(VLOOKUP($A76,EventSchedule!$A:$G,4,FALSE),"")</f>
        <v>3464</v>
      </c>
    </row>
    <row r="77" spans="1:7">
      <c r="A77" s="8">
        <v>76</v>
      </c>
      <c r="B77" s="7">
        <f>IFERROR(VLOOKUP($A77,EventSchedule!$A:$G,5,FALSE),"")</f>
        <v>177</v>
      </c>
      <c r="C77" s="7">
        <f>IFERROR(VLOOKUP($A77,EventSchedule!$A:$G,6,FALSE),"")</f>
        <v>6811</v>
      </c>
      <c r="D77" s="7">
        <f>IFERROR(VLOOKUP($A77,EventSchedule!$A:$G,7,FALSE),"")</f>
        <v>571</v>
      </c>
      <c r="E77" s="7">
        <f>IFERROR(VLOOKUP($A77,EventSchedule!$A:$G,2,FALSE),"")</f>
        <v>3634</v>
      </c>
      <c r="F77" s="7">
        <f>IFERROR(VLOOKUP($A77,EventSchedule!$A:$G,3,FALSE),"")</f>
        <v>1973</v>
      </c>
      <c r="G77" s="7">
        <f>IFERROR(VLOOKUP($A77,EventSchedule!$A:$G,4,FALSE),"")</f>
        <v>1085</v>
      </c>
    </row>
    <row r="78" spans="1:7">
      <c r="A78" s="8">
        <v>77</v>
      </c>
      <c r="B78" s="7">
        <f>IFERROR(VLOOKUP($A78,EventSchedule!$A:$G,5,FALSE),"")</f>
        <v>6812</v>
      </c>
      <c r="C78" s="7">
        <f>IFERROR(VLOOKUP($A78,EventSchedule!$A:$G,6,FALSE),"")</f>
        <v>7153</v>
      </c>
      <c r="D78" s="7">
        <f>IFERROR(VLOOKUP($A78,EventSchedule!$A:$G,7,FALSE),"")</f>
        <v>5142</v>
      </c>
      <c r="E78" s="7">
        <f>IFERROR(VLOOKUP($A78,EventSchedule!$A:$G,2,FALSE),"")</f>
        <v>839</v>
      </c>
      <c r="F78" s="7">
        <f>IFERROR(VLOOKUP($A78,EventSchedule!$A:$G,3,FALSE),"")</f>
        <v>2170</v>
      </c>
      <c r="G78" s="7">
        <f>IFERROR(VLOOKUP($A78,EventSchedule!$A:$G,4,FALSE),"")</f>
        <v>5746</v>
      </c>
    </row>
    <row r="79" spans="1:7">
      <c r="A79" s="290">
        <v>78</v>
      </c>
      <c r="B79" s="7">
        <f>IFERROR(VLOOKUP($A79,EventSchedule!$A:$G,5,FALSE),"")</f>
        <v>6895</v>
      </c>
      <c r="C79" s="7">
        <f>IFERROR(VLOOKUP($A79,EventSchedule!$A:$G,6,FALSE),"")</f>
        <v>230</v>
      </c>
      <c r="D79" s="7">
        <f>IFERROR(VLOOKUP($A79,EventSchedule!$A:$G,7,FALSE),"")</f>
        <v>190</v>
      </c>
      <c r="E79" s="7">
        <f>IFERROR(VLOOKUP($A79,EventSchedule!$A:$G,2,FALSE),"")</f>
        <v>6333</v>
      </c>
      <c r="F79" s="7">
        <f>IFERROR(VLOOKUP($A79,EventSchedule!$A:$G,3,FALSE),"")</f>
        <v>3654</v>
      </c>
      <c r="G79" s="7">
        <f>IFERROR(VLOOKUP($A79,EventSchedule!$A:$G,4,FALSE),"")</f>
        <v>558</v>
      </c>
    </row>
    <row r="80" spans="1:7">
      <c r="A80" s="8">
        <v>79</v>
      </c>
      <c r="B80" s="7">
        <f>IFERROR(VLOOKUP($A80,EventSchedule!$A:$G,5,FALSE),"")</f>
        <v>176</v>
      </c>
      <c r="C80" s="7">
        <f>IFERROR(VLOOKUP($A80,EventSchedule!$A:$G,6,FALSE),"")</f>
        <v>999</v>
      </c>
      <c r="D80" s="7">
        <f>IFERROR(VLOOKUP($A80,EventSchedule!$A:$G,7,FALSE),"")</f>
        <v>3464</v>
      </c>
      <c r="E80" s="7">
        <f>IFERROR(VLOOKUP($A80,EventSchedule!$A:$G,2,FALSE),"")</f>
        <v>7127</v>
      </c>
      <c r="F80" s="7">
        <f>IFERROR(VLOOKUP($A80,EventSchedule!$A:$G,3,FALSE),"")</f>
        <v>5686</v>
      </c>
      <c r="G80" s="7">
        <f>IFERROR(VLOOKUP($A80,EventSchedule!$A:$G,4,FALSE),"")</f>
        <v>4987</v>
      </c>
    </row>
    <row r="81" spans="1:7">
      <c r="A81" s="8">
        <v>80</v>
      </c>
      <c r="B81" s="7">
        <f>IFERROR(VLOOKUP($A81,EventSchedule!$A:$G,5,FALSE),"")</f>
        <v>173</v>
      </c>
      <c r="C81" s="7">
        <f>IFERROR(VLOOKUP($A81,EventSchedule!$A:$G,6,FALSE),"")</f>
        <v>177</v>
      </c>
      <c r="D81" s="7">
        <f>IFERROR(VLOOKUP($A81,EventSchedule!$A:$G,7,FALSE),"")</f>
        <v>3182</v>
      </c>
      <c r="E81" s="7">
        <f>IFERROR(VLOOKUP($A81,EventSchedule!$A:$G,2,FALSE),"")</f>
        <v>2836</v>
      </c>
      <c r="F81" s="7">
        <f>IFERROR(VLOOKUP($A81,EventSchedule!$A:$G,3,FALSE),"")</f>
        <v>2785</v>
      </c>
      <c r="G81" s="7">
        <f>IFERROR(VLOOKUP($A81,EventSchedule!$A:$G,4,FALSE),"")</f>
        <v>2067</v>
      </c>
    </row>
    <row r="82" spans="1:7">
      <c r="A82" s="8">
        <v>81</v>
      </c>
      <c r="B82" s="7">
        <f>IFERROR(VLOOKUP($A82,EventSchedule!$A:$G,5,FALSE),"")</f>
        <v>175</v>
      </c>
      <c r="C82" s="7">
        <f>IFERROR(VLOOKUP($A82,EventSchedule!$A:$G,6,FALSE),"")</f>
        <v>6346</v>
      </c>
      <c r="D82" s="7">
        <f>IFERROR(VLOOKUP($A82,EventSchedule!$A:$G,7,FALSE),"")</f>
        <v>3146</v>
      </c>
      <c r="E82" s="7">
        <f>IFERROR(VLOOKUP($A82,EventSchedule!$A:$G,2,FALSE),"")</f>
        <v>181</v>
      </c>
      <c r="F82" s="7">
        <f>IFERROR(VLOOKUP($A82,EventSchedule!$A:$G,3,FALSE),"")</f>
        <v>236</v>
      </c>
      <c r="G82" s="7">
        <f>IFERROR(VLOOKUP($A82,EventSchedule!$A:$G,4,FALSE),"")</f>
        <v>2064</v>
      </c>
    </row>
    <row r="83" spans="1:7">
      <c r="A83" s="8">
        <v>82</v>
      </c>
      <c r="B83" s="7">
        <f>IFERROR(VLOOKUP($A83,EventSchedule!$A:$G,5,FALSE),"")</f>
        <v>195</v>
      </c>
      <c r="C83" s="7">
        <f>IFERROR(VLOOKUP($A83,EventSchedule!$A:$G,6,FALSE),"")</f>
        <v>1740</v>
      </c>
      <c r="D83" s="7">
        <f>IFERROR(VLOOKUP($A83,EventSchedule!$A:$G,7,FALSE),"")</f>
        <v>1991</v>
      </c>
      <c r="E83" s="7">
        <f>IFERROR(VLOOKUP($A83,EventSchedule!$A:$G,2,FALSE),"")</f>
        <v>5129</v>
      </c>
      <c r="F83" s="7">
        <f>IFERROR(VLOOKUP($A83,EventSchedule!$A:$G,3,FALSE),"")</f>
        <v>155</v>
      </c>
      <c r="G83" s="7">
        <f>IFERROR(VLOOKUP($A83,EventSchedule!$A:$G,4,FALSE),"")</f>
        <v>1027</v>
      </c>
    </row>
    <row r="84" spans="1:7">
      <c r="A84" s="8">
        <v>83</v>
      </c>
      <c r="B84" s="7" t="str">
        <f>IFERROR(VLOOKUP($A84,EventSchedule!$A:$G,5,FALSE),"")</f>
        <v/>
      </c>
      <c r="C84" s="7" t="str">
        <f>IFERROR(VLOOKUP($A84,EventSchedule!$A:$G,6,FALSE),"")</f>
        <v/>
      </c>
      <c r="D84" s="7" t="str">
        <f>IFERROR(VLOOKUP($A84,EventSchedule!$A:$G,7,FALSE),"")</f>
        <v/>
      </c>
      <c r="E84" s="7" t="str">
        <f>IFERROR(VLOOKUP($A84,EventSchedule!$A:$G,2,FALSE),"")</f>
        <v/>
      </c>
      <c r="F84" s="7" t="str">
        <f>IFERROR(VLOOKUP($A84,EventSchedule!$A:$G,3,FALSE),"")</f>
        <v/>
      </c>
      <c r="G84" s="7" t="str">
        <f>IFERROR(VLOOKUP($A84,EventSchedule!$A:$G,4,FALSE),"")</f>
        <v/>
      </c>
    </row>
    <row r="85" spans="1:7">
      <c r="A85" s="8">
        <v>84</v>
      </c>
      <c r="B85" s="7" t="str">
        <f>IFERROR(VLOOKUP($A85,EventSchedule!$A:$G,5,FALSE),"")</f>
        <v/>
      </c>
      <c r="C85" s="7" t="str">
        <f>IFERROR(VLOOKUP($A85,EventSchedule!$A:$G,6,FALSE),"")</f>
        <v/>
      </c>
      <c r="D85" s="7" t="str">
        <f>IFERROR(VLOOKUP($A85,EventSchedule!$A:$G,7,FALSE),"")</f>
        <v/>
      </c>
      <c r="E85" s="7" t="str">
        <f>IFERROR(VLOOKUP($A85,EventSchedule!$A:$G,2,FALSE),"")</f>
        <v/>
      </c>
      <c r="F85" s="7" t="str">
        <f>IFERROR(VLOOKUP($A85,EventSchedule!$A:$G,3,FALSE),"")</f>
        <v/>
      </c>
      <c r="G85" s="7" t="str">
        <f>IFERROR(VLOOKUP($A85,EventSchedule!$A:$G,4,FALSE),"")</f>
        <v/>
      </c>
    </row>
    <row r="86" spans="1:7">
      <c r="A86" s="8">
        <v>85</v>
      </c>
      <c r="B86" s="7" t="str">
        <f>IFERROR(VLOOKUP($A86,EventSchedule!$A:$G,5,FALSE),"")</f>
        <v/>
      </c>
      <c r="C86" s="7" t="str">
        <f>IFERROR(VLOOKUP($A86,EventSchedule!$A:$G,6,FALSE),"")</f>
        <v/>
      </c>
      <c r="D86" s="7" t="str">
        <f>IFERROR(VLOOKUP($A86,EventSchedule!$A:$G,7,FALSE),"")</f>
        <v/>
      </c>
      <c r="E86" s="7" t="str">
        <f>IFERROR(VLOOKUP($A86,EventSchedule!$A:$G,2,FALSE),"")</f>
        <v/>
      </c>
      <c r="F86" s="7" t="str">
        <f>IFERROR(VLOOKUP($A86,EventSchedule!$A:$G,3,FALSE),"")</f>
        <v/>
      </c>
      <c r="G86" s="7" t="str">
        <f>IFERROR(VLOOKUP($A86,EventSchedule!$A:$G,4,FALSE),"")</f>
        <v/>
      </c>
    </row>
    <row r="87" spans="1:7">
      <c r="A87" s="8">
        <v>86</v>
      </c>
      <c r="B87" s="7" t="str">
        <f>IFERROR(VLOOKUP($A87,EventSchedule!$A:$G,5,FALSE),"")</f>
        <v/>
      </c>
      <c r="C87" s="7" t="str">
        <f>IFERROR(VLOOKUP($A87,EventSchedule!$A:$G,6,FALSE),"")</f>
        <v/>
      </c>
      <c r="D87" s="7" t="str">
        <f>IFERROR(VLOOKUP($A87,EventSchedule!$A:$G,7,FALSE),"")</f>
        <v/>
      </c>
      <c r="E87" s="7" t="str">
        <f>IFERROR(VLOOKUP($A87,EventSchedule!$A:$G,2,FALSE),"")</f>
        <v/>
      </c>
      <c r="F87" s="7" t="str">
        <f>IFERROR(VLOOKUP($A87,EventSchedule!$A:$G,3,FALSE),"")</f>
        <v/>
      </c>
      <c r="G87" s="7" t="str">
        <f>IFERROR(VLOOKUP($A87,EventSchedule!$A:$G,4,FALSE),"")</f>
        <v/>
      </c>
    </row>
    <row r="88" spans="1:7">
      <c r="A88" s="8">
        <v>87</v>
      </c>
      <c r="B88" s="7" t="str">
        <f>IFERROR(VLOOKUP($A88,EventSchedule!$A:$G,5,FALSE),"")</f>
        <v/>
      </c>
      <c r="C88" s="7" t="str">
        <f>IFERROR(VLOOKUP($A88,EventSchedule!$A:$G,6,FALSE),"")</f>
        <v/>
      </c>
      <c r="D88" s="7" t="str">
        <f>IFERROR(VLOOKUP($A88,EventSchedule!$A:$G,7,FALSE),"")</f>
        <v/>
      </c>
      <c r="E88" s="7" t="str">
        <f>IFERROR(VLOOKUP($A88,EventSchedule!$A:$G,2,FALSE),"")</f>
        <v/>
      </c>
      <c r="F88" s="7" t="str">
        <f>IFERROR(VLOOKUP($A88,EventSchedule!$A:$G,3,FALSE),"")</f>
        <v/>
      </c>
      <c r="G88" s="7" t="str">
        <f>IFERROR(VLOOKUP($A88,EventSchedule!$A:$G,4,FALSE),"")</f>
        <v/>
      </c>
    </row>
    <row r="89" spans="1:7">
      <c r="A89" s="8">
        <v>88</v>
      </c>
      <c r="B89" s="7" t="str">
        <f>IFERROR(VLOOKUP($A89,EventSchedule!$A:$G,5,FALSE),"")</f>
        <v/>
      </c>
      <c r="C89" s="7" t="str">
        <f>IFERROR(VLOOKUP($A89,EventSchedule!$A:$G,6,FALSE),"")</f>
        <v/>
      </c>
      <c r="D89" s="7" t="str">
        <f>IFERROR(VLOOKUP($A89,EventSchedule!$A:$G,7,FALSE),"")</f>
        <v/>
      </c>
      <c r="E89" s="7" t="str">
        <f>IFERROR(VLOOKUP($A89,EventSchedule!$A:$G,2,FALSE),"")</f>
        <v/>
      </c>
      <c r="F89" s="7" t="str">
        <f>IFERROR(VLOOKUP($A89,EventSchedule!$A:$G,3,FALSE),"")</f>
        <v/>
      </c>
      <c r="G89" s="7" t="str">
        <f>IFERROR(VLOOKUP($A89,EventSchedule!$A:$G,4,FALSE),"")</f>
        <v/>
      </c>
    </row>
    <row r="90" spans="1:7">
      <c r="A90" s="8">
        <v>89</v>
      </c>
      <c r="B90" s="7" t="str">
        <f>IFERROR(VLOOKUP($A90,EventSchedule!$A:$G,5,FALSE),"")</f>
        <v/>
      </c>
      <c r="C90" s="7" t="str">
        <f>IFERROR(VLOOKUP($A90,EventSchedule!$A:$G,6,FALSE),"")</f>
        <v/>
      </c>
      <c r="D90" s="7" t="str">
        <f>IFERROR(VLOOKUP($A90,EventSchedule!$A:$G,7,FALSE),"")</f>
        <v/>
      </c>
      <c r="E90" s="7" t="str">
        <f>IFERROR(VLOOKUP($A90,EventSchedule!$A:$G,2,FALSE),"")</f>
        <v/>
      </c>
      <c r="F90" s="7" t="str">
        <f>IFERROR(VLOOKUP($A90,EventSchedule!$A:$G,3,FALSE),"")</f>
        <v/>
      </c>
      <c r="G90" s="7" t="str">
        <f>IFERROR(VLOOKUP($A90,EventSchedule!$A:$G,4,FALSE),"")</f>
        <v/>
      </c>
    </row>
    <row r="91" spans="1:7">
      <c r="A91" s="8">
        <v>90</v>
      </c>
      <c r="B91" s="7" t="str">
        <f>IFERROR(VLOOKUP($A91,EventSchedule!$A:$G,5,FALSE),"")</f>
        <v/>
      </c>
      <c r="C91" s="7" t="str">
        <f>IFERROR(VLOOKUP($A91,EventSchedule!$A:$G,6,FALSE),"")</f>
        <v/>
      </c>
      <c r="D91" s="7" t="str">
        <f>IFERROR(VLOOKUP($A91,EventSchedule!$A:$G,7,FALSE),"")</f>
        <v/>
      </c>
      <c r="E91" s="7" t="str">
        <f>IFERROR(VLOOKUP($A91,EventSchedule!$A:$G,2,FALSE),"")</f>
        <v/>
      </c>
      <c r="F91" s="7" t="str">
        <f>IFERROR(VLOOKUP($A91,EventSchedule!$A:$G,3,FALSE),"")</f>
        <v/>
      </c>
      <c r="G91" s="7" t="str">
        <f>IFERROR(VLOOKUP($A91,EventSchedule!$A:$G,4,FALSE),"")</f>
        <v/>
      </c>
    </row>
    <row r="92" spans="1:7">
      <c r="A92" s="8">
        <v>91</v>
      </c>
      <c r="B92" s="7" t="str">
        <f>IFERROR(VLOOKUP($A92,EventSchedule!$A:$G,5,FALSE),"")</f>
        <v/>
      </c>
      <c r="C92" s="7" t="str">
        <f>IFERROR(VLOOKUP($A92,EventSchedule!$A:$G,6,FALSE),"")</f>
        <v/>
      </c>
      <c r="D92" s="7" t="str">
        <f>IFERROR(VLOOKUP($A92,EventSchedule!$A:$G,7,FALSE),"")</f>
        <v/>
      </c>
      <c r="E92" s="7" t="str">
        <f>IFERROR(VLOOKUP($A92,EventSchedule!$A:$G,2,FALSE),"")</f>
        <v/>
      </c>
      <c r="F92" s="7" t="str">
        <f>IFERROR(VLOOKUP($A92,EventSchedule!$A:$G,3,FALSE),"")</f>
        <v/>
      </c>
      <c r="G92" s="7" t="str">
        <f>IFERROR(VLOOKUP($A92,EventSchedule!$A:$G,4,FALSE),"")</f>
        <v/>
      </c>
    </row>
    <row r="93" spans="1:7">
      <c r="A93" s="8">
        <v>92</v>
      </c>
      <c r="B93" s="7" t="str">
        <f>IFERROR(VLOOKUP($A93,EventSchedule!$A:$G,5,FALSE),"")</f>
        <v/>
      </c>
      <c r="C93" s="7" t="str">
        <f>IFERROR(VLOOKUP($A93,EventSchedule!$A:$G,6,FALSE),"")</f>
        <v/>
      </c>
      <c r="D93" s="7" t="str">
        <f>IFERROR(VLOOKUP($A93,EventSchedule!$A:$G,7,FALSE),"")</f>
        <v/>
      </c>
      <c r="E93" s="7" t="str">
        <f>IFERROR(VLOOKUP($A93,EventSchedule!$A:$G,2,FALSE),"")</f>
        <v/>
      </c>
      <c r="F93" s="7" t="str">
        <f>IFERROR(VLOOKUP($A93,EventSchedule!$A:$G,3,FALSE),"")</f>
        <v/>
      </c>
      <c r="G93" s="7" t="str">
        <f>IFERROR(VLOOKUP($A93,EventSchedule!$A:$G,4,FALSE),"")</f>
        <v/>
      </c>
    </row>
    <row r="94" spans="1:7">
      <c r="A94" s="8">
        <v>93</v>
      </c>
      <c r="B94" s="7" t="str">
        <f>IFERROR(VLOOKUP($A94,EventSchedule!$A:$G,5,FALSE),"")</f>
        <v/>
      </c>
      <c r="C94" s="7" t="str">
        <f>IFERROR(VLOOKUP($A94,EventSchedule!$A:$G,6,FALSE),"")</f>
        <v/>
      </c>
      <c r="D94" s="7" t="str">
        <f>IFERROR(VLOOKUP($A94,EventSchedule!$A:$G,7,FALSE),"")</f>
        <v/>
      </c>
      <c r="E94" s="7" t="str">
        <f>IFERROR(VLOOKUP($A94,EventSchedule!$A:$G,2,FALSE),"")</f>
        <v/>
      </c>
      <c r="F94" s="7" t="str">
        <f>IFERROR(VLOOKUP($A94,EventSchedule!$A:$G,3,FALSE),"")</f>
        <v/>
      </c>
      <c r="G94" s="7" t="str">
        <f>IFERROR(VLOOKUP($A94,EventSchedule!$A:$G,4,FALSE),"")</f>
        <v/>
      </c>
    </row>
    <row r="95" spans="1:7">
      <c r="A95" s="8">
        <v>94</v>
      </c>
      <c r="B95" s="7" t="str">
        <f>IFERROR(VLOOKUP($A95,EventSchedule!$A:$G,5,FALSE),"")</f>
        <v/>
      </c>
      <c r="C95" s="7" t="str">
        <f>IFERROR(VLOOKUP($A95,EventSchedule!$A:$G,6,FALSE),"")</f>
        <v/>
      </c>
      <c r="D95" s="7" t="str">
        <f>IFERROR(VLOOKUP($A95,EventSchedule!$A:$G,7,FALSE),"")</f>
        <v/>
      </c>
      <c r="E95" s="7" t="str">
        <f>IFERROR(VLOOKUP($A95,EventSchedule!$A:$G,2,FALSE),"")</f>
        <v/>
      </c>
      <c r="F95" s="7" t="str">
        <f>IFERROR(VLOOKUP($A95,EventSchedule!$A:$G,3,FALSE),"")</f>
        <v/>
      </c>
      <c r="G95" s="7" t="str">
        <f>IFERROR(VLOOKUP($A95,EventSchedule!$A:$G,4,FALSE),"")</f>
        <v/>
      </c>
    </row>
    <row r="96" spans="1:7">
      <c r="A96" s="8">
        <v>95</v>
      </c>
      <c r="B96" s="7" t="str">
        <f>IFERROR(VLOOKUP($A96,EventSchedule!$A:$G,5,FALSE),"")</f>
        <v/>
      </c>
      <c r="C96" s="7" t="str">
        <f>IFERROR(VLOOKUP($A96,EventSchedule!$A:$G,6,FALSE),"")</f>
        <v/>
      </c>
      <c r="D96" s="7" t="str">
        <f>IFERROR(VLOOKUP($A96,EventSchedule!$A:$G,7,FALSE),"")</f>
        <v/>
      </c>
      <c r="E96" s="7" t="str">
        <f>IFERROR(VLOOKUP($A96,EventSchedule!$A:$G,2,FALSE),"")</f>
        <v/>
      </c>
      <c r="F96" s="7" t="str">
        <f>IFERROR(VLOOKUP($A96,EventSchedule!$A:$G,3,FALSE),"")</f>
        <v/>
      </c>
      <c r="G96" s="7" t="str">
        <f>IFERROR(VLOOKUP($A96,EventSchedule!$A:$G,4,FALSE),"")</f>
        <v/>
      </c>
    </row>
    <row r="97" spans="1:7">
      <c r="A97" s="8">
        <v>96</v>
      </c>
      <c r="B97" s="7" t="str">
        <f>IFERROR(VLOOKUP($A97,EventSchedule!$A:$G,5,FALSE),"")</f>
        <v/>
      </c>
      <c r="C97" s="7" t="str">
        <f>IFERROR(VLOOKUP($A97,EventSchedule!$A:$G,6,FALSE),"")</f>
        <v/>
      </c>
      <c r="D97" s="7" t="str">
        <f>IFERROR(VLOOKUP($A97,EventSchedule!$A:$G,7,FALSE),"")</f>
        <v/>
      </c>
      <c r="E97" s="7" t="str">
        <f>IFERROR(VLOOKUP($A97,EventSchedule!$A:$G,2,FALSE),"")</f>
        <v/>
      </c>
      <c r="F97" s="7" t="str">
        <f>IFERROR(VLOOKUP($A97,EventSchedule!$A:$G,3,FALSE),"")</f>
        <v/>
      </c>
      <c r="G97" s="7" t="str">
        <f>IFERROR(VLOOKUP($A97,EventSchedule!$A:$G,4,FALSE),"")</f>
        <v/>
      </c>
    </row>
    <row r="98" spans="1:7">
      <c r="A98" s="8">
        <v>97</v>
      </c>
      <c r="B98" s="7" t="str">
        <f>IFERROR(VLOOKUP($A98,EventSchedule!$A:$G,5,FALSE),"")</f>
        <v/>
      </c>
      <c r="C98" s="7" t="str">
        <f>IFERROR(VLOOKUP($A98,EventSchedule!$A:$G,6,FALSE),"")</f>
        <v/>
      </c>
      <c r="D98" s="7" t="str">
        <f>IFERROR(VLOOKUP($A98,EventSchedule!$A:$G,7,FALSE),"")</f>
        <v/>
      </c>
      <c r="E98" s="7" t="str">
        <f>IFERROR(VLOOKUP($A98,EventSchedule!$A:$G,2,FALSE),"")</f>
        <v/>
      </c>
      <c r="F98" s="7" t="str">
        <f>IFERROR(VLOOKUP($A98,EventSchedule!$A:$G,3,FALSE),"")</f>
        <v/>
      </c>
      <c r="G98" s="7" t="str">
        <f>IFERROR(VLOOKUP($A98,EventSchedule!$A:$G,4,FALSE),"")</f>
        <v/>
      </c>
    </row>
    <row r="99" spans="1:7">
      <c r="A99" s="8">
        <v>98</v>
      </c>
      <c r="B99" s="7" t="str">
        <f>IFERROR(VLOOKUP($A99,EventSchedule!$A:$G,5,FALSE),"")</f>
        <v/>
      </c>
      <c r="C99" s="7" t="str">
        <f>IFERROR(VLOOKUP($A99,EventSchedule!$A:$G,6,FALSE),"")</f>
        <v/>
      </c>
      <c r="D99" s="7" t="str">
        <f>IFERROR(VLOOKUP($A99,EventSchedule!$A:$G,7,FALSE),"")</f>
        <v/>
      </c>
      <c r="E99" s="7" t="str">
        <f>IFERROR(VLOOKUP($A99,EventSchedule!$A:$G,2,FALSE),"")</f>
        <v/>
      </c>
      <c r="F99" s="7" t="str">
        <f>IFERROR(VLOOKUP($A99,EventSchedule!$A:$G,3,FALSE),"")</f>
        <v/>
      </c>
      <c r="G99" s="7" t="str">
        <f>IFERROR(VLOOKUP($A99,EventSchedule!$A:$G,4,FALSE),"")</f>
        <v/>
      </c>
    </row>
    <row r="100" spans="1:7">
      <c r="A100" s="8">
        <v>99</v>
      </c>
      <c r="B100" s="7" t="str">
        <f>IFERROR(VLOOKUP($A100,EventSchedule!$A:$G,5,FALSE),"")</f>
        <v/>
      </c>
      <c r="C100" s="7" t="str">
        <f>IFERROR(VLOOKUP($A100,EventSchedule!$A:$G,6,FALSE),"")</f>
        <v/>
      </c>
      <c r="D100" s="7" t="str">
        <f>IFERROR(VLOOKUP($A100,EventSchedule!$A:$G,7,FALSE),"")</f>
        <v/>
      </c>
      <c r="E100" s="7" t="str">
        <f>IFERROR(VLOOKUP($A100,EventSchedule!$A:$G,2,FALSE),"")</f>
        <v/>
      </c>
      <c r="F100" s="7" t="str">
        <f>IFERROR(VLOOKUP($A100,EventSchedule!$A:$G,3,FALSE),"")</f>
        <v/>
      </c>
      <c r="G100" s="7" t="str">
        <f>IFERROR(VLOOKUP($A100,EventSchedule!$A:$G,4,FALSE),"")</f>
        <v/>
      </c>
    </row>
    <row r="101" spans="1:7">
      <c r="A101" s="8">
        <v>100</v>
      </c>
      <c r="B101" s="7" t="str">
        <f>IFERROR(VLOOKUP($A101,EventSchedule!$A:$G,5,FALSE),"")</f>
        <v/>
      </c>
      <c r="C101" s="7" t="str">
        <f>IFERROR(VLOOKUP($A101,EventSchedule!$A:$G,6,FALSE),"")</f>
        <v/>
      </c>
      <c r="D101" s="7" t="str">
        <f>IFERROR(VLOOKUP($A101,EventSchedule!$A:$G,7,FALSE),"")</f>
        <v/>
      </c>
      <c r="E101" s="7" t="str">
        <f>IFERROR(VLOOKUP($A101,EventSchedule!$A:$G,2,FALSE),"")</f>
        <v/>
      </c>
      <c r="F101" s="7" t="str">
        <f>IFERROR(VLOOKUP($A101,EventSchedule!$A:$G,3,FALSE),"")</f>
        <v/>
      </c>
      <c r="G101" s="7" t="str">
        <f>IFERROR(VLOOKUP($A101,EventSchedule!$A:$G,4,FALSE),"")</f>
        <v/>
      </c>
    </row>
    <row r="102" spans="1:7">
      <c r="A102" s="8">
        <v>101</v>
      </c>
      <c r="B102" s="7" t="str">
        <f>IFERROR(VLOOKUP($A102,EventSchedule!$A:$G,5,FALSE),"")</f>
        <v/>
      </c>
      <c r="C102" s="7" t="str">
        <f>IFERROR(VLOOKUP($A102,EventSchedule!$A:$G,6,FALSE),"")</f>
        <v/>
      </c>
      <c r="D102" s="7" t="str">
        <f>IFERROR(VLOOKUP($A102,EventSchedule!$A:$G,7,FALSE),"")</f>
        <v/>
      </c>
      <c r="E102" s="7" t="str">
        <f>IFERROR(VLOOKUP($A102,EventSchedule!$A:$G,2,FALSE),"")</f>
        <v/>
      </c>
      <c r="F102" s="7" t="str">
        <f>IFERROR(VLOOKUP($A102,EventSchedule!$A:$G,3,FALSE),"")</f>
        <v/>
      </c>
      <c r="G102" s="7" t="str">
        <f>IFERROR(VLOOKUP($A102,EventSchedule!$A:$G,4,FALSE),"")</f>
        <v/>
      </c>
    </row>
    <row r="103" spans="1:7">
      <c r="A103" s="8">
        <v>102</v>
      </c>
      <c r="B103" s="7" t="str">
        <f>IFERROR(VLOOKUP($A103,EventSchedule!$A:$G,5,FALSE),"")</f>
        <v/>
      </c>
      <c r="C103" s="7" t="str">
        <f>IFERROR(VLOOKUP($A103,EventSchedule!$A:$G,6,FALSE),"")</f>
        <v/>
      </c>
      <c r="D103" s="7" t="str">
        <f>IFERROR(VLOOKUP($A103,EventSchedule!$A:$G,7,FALSE),"")</f>
        <v/>
      </c>
      <c r="E103" s="7" t="str">
        <f>IFERROR(VLOOKUP($A103,EventSchedule!$A:$G,2,FALSE),"")</f>
        <v/>
      </c>
      <c r="F103" s="7" t="str">
        <f>IFERROR(VLOOKUP($A103,EventSchedule!$A:$G,3,FALSE),"")</f>
        <v/>
      </c>
      <c r="G103" s="7" t="str">
        <f>IFERROR(VLOOKUP($A103,EventSchedule!$A:$G,4,FALSE),"")</f>
        <v/>
      </c>
    </row>
    <row r="104" spans="1:7">
      <c r="A104" s="8">
        <v>103</v>
      </c>
      <c r="B104" s="7" t="str">
        <f>IFERROR(VLOOKUP($A104,EventSchedule!$A:$G,5,FALSE),"")</f>
        <v/>
      </c>
      <c r="C104" s="7" t="str">
        <f>IFERROR(VLOOKUP($A104,EventSchedule!$A:$G,6,FALSE),"")</f>
        <v/>
      </c>
      <c r="D104" s="7" t="str">
        <f>IFERROR(VLOOKUP($A104,EventSchedule!$A:$G,7,FALSE),"")</f>
        <v/>
      </c>
      <c r="E104" s="7" t="str">
        <f>IFERROR(VLOOKUP($A104,EventSchedule!$A:$G,2,FALSE),"")</f>
        <v/>
      </c>
      <c r="F104" s="7" t="str">
        <f>IFERROR(VLOOKUP($A104,EventSchedule!$A:$G,3,FALSE),"")</f>
        <v/>
      </c>
      <c r="G104" s="7" t="str">
        <f>IFERROR(VLOOKUP($A104,EventSchedule!$A:$G,4,FALSE),"")</f>
        <v/>
      </c>
    </row>
    <row r="105" spans="1:7">
      <c r="A105" s="8">
        <v>104</v>
      </c>
      <c r="B105" s="7" t="str">
        <f>IFERROR(VLOOKUP($A105,EventSchedule!$A:$G,5,FALSE),"")</f>
        <v/>
      </c>
      <c r="C105" s="7" t="str">
        <f>IFERROR(VLOOKUP($A105,EventSchedule!$A:$G,6,FALSE),"")</f>
        <v/>
      </c>
      <c r="D105" s="7" t="str">
        <f>IFERROR(VLOOKUP($A105,EventSchedule!$A:$G,7,FALSE),"")</f>
        <v/>
      </c>
      <c r="E105" s="7" t="str">
        <f>IFERROR(VLOOKUP($A105,EventSchedule!$A:$G,2,FALSE),"")</f>
        <v/>
      </c>
      <c r="F105" s="7" t="str">
        <f>IFERROR(VLOOKUP($A105,EventSchedule!$A:$G,3,FALSE),"")</f>
        <v/>
      </c>
      <c r="G105" s="7" t="str">
        <f>IFERROR(VLOOKUP($A105,EventSchedule!$A:$G,4,FALSE),"")</f>
        <v/>
      </c>
    </row>
    <row r="106" spans="1:7">
      <c r="A106" s="8">
        <v>105</v>
      </c>
      <c r="B106" s="7" t="str">
        <f>IFERROR(VLOOKUP($A106,EventSchedule!$A:$G,5,FALSE),"")</f>
        <v/>
      </c>
      <c r="C106" s="7" t="str">
        <f>IFERROR(VLOOKUP($A106,EventSchedule!$A:$G,6,FALSE),"")</f>
        <v/>
      </c>
      <c r="D106" s="7" t="str">
        <f>IFERROR(VLOOKUP($A106,EventSchedule!$A:$G,7,FALSE),"")</f>
        <v/>
      </c>
      <c r="E106" s="7" t="str">
        <f>IFERROR(VLOOKUP($A106,EventSchedule!$A:$G,2,FALSE),"")</f>
        <v/>
      </c>
      <c r="F106" s="7" t="str">
        <f>IFERROR(VLOOKUP($A106,EventSchedule!$A:$G,3,FALSE),"")</f>
        <v/>
      </c>
      <c r="G106" s="7" t="str">
        <f>IFERROR(VLOOKUP($A106,EventSchedule!$A:$G,4,FALSE),"")</f>
        <v/>
      </c>
    </row>
    <row r="107" spans="1:7">
      <c r="A107" s="8">
        <v>106</v>
      </c>
      <c r="B107" s="7" t="str">
        <f>IFERROR(VLOOKUP($A107,EventSchedule!$A:$G,5,FALSE),"")</f>
        <v/>
      </c>
      <c r="C107" s="7" t="str">
        <f>IFERROR(VLOOKUP($A107,EventSchedule!$A:$G,6,FALSE),"")</f>
        <v/>
      </c>
      <c r="D107" s="7" t="str">
        <f>IFERROR(VLOOKUP($A107,EventSchedule!$A:$G,7,FALSE),"")</f>
        <v/>
      </c>
      <c r="E107" s="7" t="str">
        <f>IFERROR(VLOOKUP($A107,EventSchedule!$A:$G,2,FALSE),"")</f>
        <v/>
      </c>
      <c r="F107" s="7" t="str">
        <f>IFERROR(VLOOKUP($A107,EventSchedule!$A:$G,3,FALSE),"")</f>
        <v/>
      </c>
      <c r="G107" s="7" t="str">
        <f>IFERROR(VLOOKUP($A107,EventSchedule!$A:$G,4,FALSE),"")</f>
        <v/>
      </c>
    </row>
    <row r="108" spans="1:7">
      <c r="A108" s="8">
        <v>107</v>
      </c>
      <c r="B108" s="7" t="str">
        <f>IFERROR(VLOOKUP($A108,EventSchedule!$A:$G,5,FALSE),"")</f>
        <v/>
      </c>
      <c r="C108" s="7" t="str">
        <f>IFERROR(VLOOKUP($A108,EventSchedule!$A:$G,6,FALSE),"")</f>
        <v/>
      </c>
      <c r="D108" s="7" t="str">
        <f>IFERROR(VLOOKUP($A108,EventSchedule!$A:$G,7,FALSE),"")</f>
        <v/>
      </c>
      <c r="E108" s="7" t="str">
        <f>IFERROR(VLOOKUP($A108,EventSchedule!$A:$G,2,FALSE),"")</f>
        <v/>
      </c>
      <c r="F108" s="7" t="str">
        <f>IFERROR(VLOOKUP($A108,EventSchedule!$A:$G,3,FALSE),"")</f>
        <v/>
      </c>
      <c r="G108" s="7" t="str">
        <f>IFERROR(VLOOKUP($A108,EventSchedule!$A:$G,4,FALSE),"")</f>
        <v/>
      </c>
    </row>
    <row r="109" spans="1:7">
      <c r="A109" s="8">
        <v>108</v>
      </c>
      <c r="B109" s="7" t="str">
        <f>IFERROR(VLOOKUP($A109,EventSchedule!$A:$G,5,FALSE),"")</f>
        <v/>
      </c>
      <c r="C109" s="7" t="str">
        <f>IFERROR(VLOOKUP($A109,EventSchedule!$A:$G,6,FALSE),"")</f>
        <v/>
      </c>
      <c r="D109" s="7" t="str">
        <f>IFERROR(VLOOKUP($A109,EventSchedule!$A:$G,7,FALSE),"")</f>
        <v/>
      </c>
      <c r="E109" s="7" t="str">
        <f>IFERROR(VLOOKUP($A109,EventSchedule!$A:$G,2,FALSE),"")</f>
        <v/>
      </c>
      <c r="F109" s="7" t="str">
        <f>IFERROR(VLOOKUP($A109,EventSchedule!$A:$G,3,FALSE),"")</f>
        <v/>
      </c>
      <c r="G109" s="7" t="str">
        <f>IFERROR(VLOOKUP($A109,EventSchedule!$A:$G,4,FALSE),"")</f>
        <v/>
      </c>
    </row>
    <row r="110" spans="1:7">
      <c r="A110" s="8">
        <v>109</v>
      </c>
      <c r="B110" s="7" t="str">
        <f>IFERROR(VLOOKUP($A110,EventSchedule!$A:$G,5,FALSE),"")</f>
        <v/>
      </c>
      <c r="C110" s="7" t="str">
        <f>IFERROR(VLOOKUP($A110,EventSchedule!$A:$G,6,FALSE),"")</f>
        <v/>
      </c>
      <c r="D110" s="7" t="str">
        <f>IFERROR(VLOOKUP($A110,EventSchedule!$A:$G,7,FALSE),"")</f>
        <v/>
      </c>
      <c r="E110" s="7" t="str">
        <f>IFERROR(VLOOKUP($A110,EventSchedule!$A:$G,2,FALSE),"")</f>
        <v/>
      </c>
      <c r="F110" s="7" t="str">
        <f>IFERROR(VLOOKUP($A110,EventSchedule!$A:$G,3,FALSE),"")</f>
        <v/>
      </c>
      <c r="G110" s="7" t="str">
        <f>IFERROR(VLOOKUP($A110,EventSchedule!$A:$G,4,FALSE),"")</f>
        <v/>
      </c>
    </row>
    <row r="111" spans="1:7">
      <c r="A111" s="8">
        <v>110</v>
      </c>
      <c r="B111" s="7" t="str">
        <f>IFERROR(VLOOKUP($A111,EventSchedule!$A:$G,5,FALSE),"")</f>
        <v/>
      </c>
      <c r="C111" s="7" t="str">
        <f>IFERROR(VLOOKUP($A111,EventSchedule!$A:$G,6,FALSE),"")</f>
        <v/>
      </c>
      <c r="D111" s="7" t="str">
        <f>IFERROR(VLOOKUP($A111,EventSchedule!$A:$G,7,FALSE),"")</f>
        <v/>
      </c>
      <c r="E111" s="7" t="str">
        <f>IFERROR(VLOOKUP($A111,EventSchedule!$A:$G,2,FALSE),"")</f>
        <v/>
      </c>
      <c r="F111" s="7" t="str">
        <f>IFERROR(VLOOKUP($A111,EventSchedule!$A:$G,3,FALSE),"")</f>
        <v/>
      </c>
      <c r="G111" s="7" t="str">
        <f>IFERROR(VLOOKUP($A111,EventSchedule!$A:$G,4,FALSE),"")</f>
        <v/>
      </c>
    </row>
    <row r="112" spans="1:7">
      <c r="A112" s="8">
        <v>111</v>
      </c>
      <c r="B112" s="7" t="str">
        <f>IFERROR(VLOOKUP($A112,EventSchedule!$A:$G,5,FALSE),"")</f>
        <v/>
      </c>
      <c r="C112" s="7" t="str">
        <f>IFERROR(VLOOKUP($A112,EventSchedule!$A:$G,6,FALSE),"")</f>
        <v/>
      </c>
      <c r="D112" s="7" t="str">
        <f>IFERROR(VLOOKUP($A112,EventSchedule!$A:$G,7,FALSE),"")</f>
        <v/>
      </c>
      <c r="E112" s="7" t="str">
        <f>IFERROR(VLOOKUP($A112,EventSchedule!$A:$G,2,FALSE),"")</f>
        <v/>
      </c>
      <c r="F112" s="7" t="str">
        <f>IFERROR(VLOOKUP($A112,EventSchedule!$A:$G,3,FALSE),"")</f>
        <v/>
      </c>
      <c r="G112" s="7" t="str">
        <f>IFERROR(VLOOKUP($A112,EventSchedule!$A:$G,4,FALSE),"")</f>
        <v/>
      </c>
    </row>
    <row r="113" spans="1:7">
      <c r="A113" s="8">
        <v>112</v>
      </c>
      <c r="B113" s="7" t="str">
        <f>IFERROR(VLOOKUP($A113,EventSchedule!$A:$G,5,FALSE),"")</f>
        <v/>
      </c>
      <c r="C113" s="7" t="str">
        <f>IFERROR(VLOOKUP($A113,EventSchedule!$A:$G,6,FALSE),"")</f>
        <v/>
      </c>
      <c r="D113" s="7" t="str">
        <f>IFERROR(VLOOKUP($A113,EventSchedule!$A:$G,7,FALSE),"")</f>
        <v/>
      </c>
      <c r="E113" s="7" t="str">
        <f>IFERROR(VLOOKUP($A113,EventSchedule!$A:$G,2,FALSE),"")</f>
        <v/>
      </c>
      <c r="F113" s="7" t="str">
        <f>IFERROR(VLOOKUP($A113,EventSchedule!$A:$G,3,FALSE),"")</f>
        <v/>
      </c>
      <c r="G113" s="7" t="str">
        <f>IFERROR(VLOOKUP($A113,EventSchedule!$A:$G,4,FALSE),"")</f>
        <v/>
      </c>
    </row>
    <row r="114" spans="1:7">
      <c r="A114" s="8">
        <v>113</v>
      </c>
      <c r="B114" s="7" t="str">
        <f>IFERROR(VLOOKUP($A114,EventSchedule!$A:$G,5,FALSE),"")</f>
        <v/>
      </c>
      <c r="C114" s="7" t="str">
        <f>IFERROR(VLOOKUP($A114,EventSchedule!$A:$G,6,FALSE),"")</f>
        <v/>
      </c>
      <c r="D114" s="7" t="str">
        <f>IFERROR(VLOOKUP($A114,EventSchedule!$A:$G,7,FALSE),"")</f>
        <v/>
      </c>
      <c r="E114" s="7" t="str">
        <f>IFERROR(VLOOKUP($A114,EventSchedule!$A:$G,2,FALSE),"")</f>
        <v/>
      </c>
      <c r="F114" s="7" t="str">
        <f>IFERROR(VLOOKUP($A114,EventSchedule!$A:$G,3,FALSE),"")</f>
        <v/>
      </c>
      <c r="G114" s="7" t="str">
        <f>IFERROR(VLOOKUP($A114,EventSchedule!$A:$G,4,FALSE),"")</f>
        <v/>
      </c>
    </row>
    <row r="115" spans="1:7">
      <c r="A115" s="8">
        <v>114</v>
      </c>
      <c r="B115" s="7" t="str">
        <f>IFERROR(VLOOKUP($A115,EventSchedule!$A:$G,5,FALSE),"")</f>
        <v/>
      </c>
      <c r="C115" s="7" t="str">
        <f>IFERROR(VLOOKUP($A115,EventSchedule!$A:$G,6,FALSE),"")</f>
        <v/>
      </c>
      <c r="D115" s="7" t="str">
        <f>IFERROR(VLOOKUP($A115,EventSchedule!$A:$G,7,FALSE),"")</f>
        <v/>
      </c>
      <c r="E115" s="7" t="str">
        <f>IFERROR(VLOOKUP($A115,EventSchedule!$A:$G,2,FALSE),"")</f>
        <v/>
      </c>
      <c r="F115" s="7" t="str">
        <f>IFERROR(VLOOKUP($A115,EventSchedule!$A:$G,3,FALSE),"")</f>
        <v/>
      </c>
      <c r="G115" s="7" t="str">
        <f>IFERROR(VLOOKUP($A115,EventSchedule!$A:$G,4,FALSE),"")</f>
        <v/>
      </c>
    </row>
    <row r="116" spans="1:7">
      <c r="A116" s="8">
        <v>115</v>
      </c>
      <c r="B116" s="7" t="str">
        <f>IFERROR(VLOOKUP($A116,EventSchedule!$A:$G,5,FALSE),"")</f>
        <v/>
      </c>
      <c r="C116" s="7" t="str">
        <f>IFERROR(VLOOKUP($A116,EventSchedule!$A:$G,6,FALSE),"")</f>
        <v/>
      </c>
      <c r="D116" s="7" t="str">
        <f>IFERROR(VLOOKUP($A116,EventSchedule!$A:$G,7,FALSE),"")</f>
        <v/>
      </c>
      <c r="E116" s="7" t="str">
        <f>IFERROR(VLOOKUP($A116,EventSchedule!$A:$G,2,FALSE),"")</f>
        <v/>
      </c>
      <c r="F116" s="7" t="str">
        <f>IFERROR(VLOOKUP($A116,EventSchedule!$A:$G,3,FALSE),"")</f>
        <v/>
      </c>
      <c r="G116" s="7" t="str">
        <f>IFERROR(VLOOKUP($A116,EventSchedule!$A:$G,4,FALSE),"")</f>
        <v/>
      </c>
    </row>
    <row r="117" spans="1:7">
      <c r="A117" s="8">
        <v>116</v>
      </c>
      <c r="B117" s="7" t="str">
        <f>IFERROR(VLOOKUP($A117,EventSchedule!$A:$G,5,FALSE),"")</f>
        <v/>
      </c>
      <c r="C117" s="7" t="str">
        <f>IFERROR(VLOOKUP($A117,EventSchedule!$A:$G,6,FALSE),"")</f>
        <v/>
      </c>
      <c r="D117" s="7" t="str">
        <f>IFERROR(VLOOKUP($A117,EventSchedule!$A:$G,7,FALSE),"")</f>
        <v/>
      </c>
      <c r="E117" s="7" t="str">
        <f>IFERROR(VLOOKUP($A117,EventSchedule!$A:$G,2,FALSE),"")</f>
        <v/>
      </c>
      <c r="F117" s="7" t="str">
        <f>IFERROR(VLOOKUP($A117,EventSchedule!$A:$G,3,FALSE),"")</f>
        <v/>
      </c>
      <c r="G117" s="7" t="str">
        <f>IFERROR(VLOOKUP($A117,EventSchedule!$A:$G,4,FALSE),"")</f>
        <v/>
      </c>
    </row>
    <row r="118" spans="1:7">
      <c r="A118" s="8">
        <v>117</v>
      </c>
      <c r="B118" s="7" t="str">
        <f>IFERROR(VLOOKUP($A118,EventSchedule!$A:$G,5,FALSE),"")</f>
        <v/>
      </c>
      <c r="C118" s="7" t="str">
        <f>IFERROR(VLOOKUP($A118,EventSchedule!$A:$G,6,FALSE),"")</f>
        <v/>
      </c>
      <c r="D118" s="7" t="str">
        <f>IFERROR(VLOOKUP($A118,EventSchedule!$A:$G,7,FALSE),"")</f>
        <v/>
      </c>
      <c r="E118" s="7" t="str">
        <f>IFERROR(VLOOKUP($A118,EventSchedule!$A:$G,2,FALSE),"")</f>
        <v/>
      </c>
      <c r="F118" s="7" t="str">
        <f>IFERROR(VLOOKUP($A118,EventSchedule!$A:$G,3,FALSE),"")</f>
        <v/>
      </c>
      <c r="G118" s="7" t="str">
        <f>IFERROR(VLOOKUP($A118,EventSchedule!$A:$G,4,FALSE),"")</f>
        <v/>
      </c>
    </row>
    <row r="119" spans="1:7">
      <c r="A119" s="8">
        <v>118</v>
      </c>
      <c r="B119" s="7" t="str">
        <f>IFERROR(VLOOKUP($A119,EventSchedule!$A:$G,5,FALSE),"")</f>
        <v/>
      </c>
      <c r="C119" s="7" t="str">
        <f>IFERROR(VLOOKUP($A119,EventSchedule!$A:$G,6,FALSE),"")</f>
        <v/>
      </c>
      <c r="D119" s="7" t="str">
        <f>IFERROR(VLOOKUP($A119,EventSchedule!$A:$G,7,FALSE),"")</f>
        <v/>
      </c>
      <c r="E119" s="7" t="str">
        <f>IFERROR(VLOOKUP($A119,EventSchedule!$A:$G,2,FALSE),"")</f>
        <v/>
      </c>
      <c r="F119" s="7" t="str">
        <f>IFERROR(VLOOKUP($A119,EventSchedule!$A:$G,3,FALSE),"")</f>
        <v/>
      </c>
      <c r="G119" s="7" t="str">
        <f>IFERROR(VLOOKUP($A119,EventSchedule!$A:$G,4,FALSE),"")</f>
        <v/>
      </c>
    </row>
    <row r="120" spans="1:7">
      <c r="A120" s="8">
        <v>119</v>
      </c>
      <c r="B120" s="7" t="str">
        <f>IFERROR(VLOOKUP($A120,EventSchedule!$A:$G,5,FALSE),"")</f>
        <v/>
      </c>
      <c r="C120" s="7" t="str">
        <f>IFERROR(VLOOKUP($A120,EventSchedule!$A:$G,6,FALSE),"")</f>
        <v/>
      </c>
      <c r="D120" s="7" t="str">
        <f>IFERROR(VLOOKUP($A120,EventSchedule!$A:$G,7,FALSE),"")</f>
        <v/>
      </c>
      <c r="E120" s="7" t="str">
        <f>IFERROR(VLOOKUP($A120,EventSchedule!$A:$G,2,FALSE),"")</f>
        <v/>
      </c>
      <c r="F120" s="7" t="str">
        <f>IFERROR(VLOOKUP($A120,EventSchedule!$A:$G,3,FALSE),"")</f>
        <v/>
      </c>
      <c r="G120" s="7" t="str">
        <f>IFERROR(VLOOKUP($A120,EventSchedule!$A:$G,4,FALSE),"")</f>
        <v/>
      </c>
    </row>
    <row r="121" spans="1:7">
      <c r="A121" s="8">
        <v>120</v>
      </c>
      <c r="B121" s="7" t="str">
        <f>IFERROR(VLOOKUP($A121,EventSchedule!$A:$G,5,FALSE),"")</f>
        <v/>
      </c>
      <c r="C121" s="7" t="str">
        <f>IFERROR(VLOOKUP($A121,EventSchedule!$A:$G,6,FALSE),"")</f>
        <v/>
      </c>
      <c r="D121" s="7" t="str">
        <f>IFERROR(VLOOKUP($A121,EventSchedule!$A:$G,7,FALSE),"")</f>
        <v/>
      </c>
      <c r="E121" s="7" t="str">
        <f>IFERROR(VLOOKUP($A121,EventSchedule!$A:$G,2,FALSE),"")</f>
        <v/>
      </c>
      <c r="F121" s="7" t="str">
        <f>IFERROR(VLOOKUP($A121,EventSchedule!$A:$G,3,FALSE),"")</f>
        <v/>
      </c>
      <c r="G121" s="7" t="str">
        <f>IFERROR(VLOOKUP($A121,EventSchedule!$A:$G,4,FALSE),"")</f>
        <v/>
      </c>
    </row>
    <row r="122" spans="1:7">
      <c r="A122" s="8">
        <v>121</v>
      </c>
      <c r="B122" s="7" t="str">
        <f>IFERROR(VLOOKUP($A122,EventSchedule!$A:$G,5,FALSE),"")</f>
        <v/>
      </c>
      <c r="C122" s="7" t="str">
        <f>IFERROR(VLOOKUP($A122,EventSchedule!$A:$G,6,FALSE),"")</f>
        <v/>
      </c>
      <c r="D122" s="7" t="str">
        <f>IFERROR(VLOOKUP($A122,EventSchedule!$A:$G,7,FALSE),"")</f>
        <v/>
      </c>
      <c r="E122" s="7" t="str">
        <f>IFERROR(VLOOKUP($A122,EventSchedule!$A:$G,2,FALSE),"")</f>
        <v/>
      </c>
      <c r="F122" s="7" t="str">
        <f>IFERROR(VLOOKUP($A122,EventSchedule!$A:$G,3,FALSE),"")</f>
        <v/>
      </c>
      <c r="G122" s="7" t="str">
        <f>IFERROR(VLOOKUP($A122,EventSchedule!$A:$G,4,FALSE),"")</f>
        <v/>
      </c>
    </row>
    <row r="123" spans="1:7">
      <c r="A123" s="8">
        <v>122</v>
      </c>
      <c r="B123" s="7" t="str">
        <f>IFERROR(VLOOKUP($A123,EventSchedule!$A:$G,5,FALSE),"")</f>
        <v/>
      </c>
      <c r="C123" s="7" t="str">
        <f>IFERROR(VLOOKUP($A123,EventSchedule!$A:$G,6,FALSE),"")</f>
        <v/>
      </c>
      <c r="D123" s="7" t="str">
        <f>IFERROR(VLOOKUP($A123,EventSchedule!$A:$G,7,FALSE),"")</f>
        <v/>
      </c>
      <c r="E123" s="7" t="str">
        <f>IFERROR(VLOOKUP($A123,EventSchedule!$A:$G,2,FALSE),"")</f>
        <v/>
      </c>
      <c r="F123" s="7" t="str">
        <f>IFERROR(VLOOKUP($A123,EventSchedule!$A:$G,3,FALSE),"")</f>
        <v/>
      </c>
      <c r="G123" s="7" t="str">
        <f>IFERROR(VLOOKUP($A123,EventSchedule!$A:$G,4,FALSE),"")</f>
        <v/>
      </c>
    </row>
    <row r="124" spans="1:7">
      <c r="A124" s="8">
        <v>123</v>
      </c>
      <c r="B124" s="7" t="str">
        <f>IFERROR(VLOOKUP($A124,EventSchedule!$A:$G,5,FALSE),"")</f>
        <v/>
      </c>
      <c r="C124" s="7" t="str">
        <f>IFERROR(VLOOKUP($A124,EventSchedule!$A:$G,6,FALSE),"")</f>
        <v/>
      </c>
      <c r="D124" s="7" t="str">
        <f>IFERROR(VLOOKUP($A124,EventSchedule!$A:$G,7,FALSE),"")</f>
        <v/>
      </c>
      <c r="E124" s="7" t="str">
        <f>IFERROR(VLOOKUP($A124,EventSchedule!$A:$G,2,FALSE),"")</f>
        <v/>
      </c>
      <c r="F124" s="7" t="str">
        <f>IFERROR(VLOOKUP($A124,EventSchedule!$A:$G,3,FALSE),"")</f>
        <v/>
      </c>
      <c r="G124" s="7" t="str">
        <f>IFERROR(VLOOKUP($A124,EventSchedule!$A:$G,4,FALSE),"")</f>
        <v/>
      </c>
    </row>
    <row r="125" spans="1:7">
      <c r="A125" s="8">
        <v>124</v>
      </c>
      <c r="B125" s="7" t="str">
        <f>IFERROR(VLOOKUP($A125,EventSchedule!$A:$G,5,FALSE),"")</f>
        <v/>
      </c>
      <c r="C125" s="7" t="str">
        <f>IFERROR(VLOOKUP($A125,EventSchedule!$A:$G,6,FALSE),"")</f>
        <v/>
      </c>
      <c r="D125" s="7" t="str">
        <f>IFERROR(VLOOKUP($A125,EventSchedule!$A:$G,7,FALSE),"")</f>
        <v/>
      </c>
      <c r="E125" s="7" t="str">
        <f>IFERROR(VLOOKUP($A125,EventSchedule!$A:$G,2,FALSE),"")</f>
        <v/>
      </c>
      <c r="F125" s="7" t="str">
        <f>IFERROR(VLOOKUP($A125,EventSchedule!$A:$G,3,FALSE),"")</f>
        <v/>
      </c>
      <c r="G125" s="7" t="str">
        <f>IFERROR(VLOOKUP($A125,EventSchedule!$A:$G,4,FALSE),"")</f>
        <v/>
      </c>
    </row>
    <row r="126" spans="1:7">
      <c r="A126" s="8">
        <v>125</v>
      </c>
      <c r="B126" s="7" t="str">
        <f>IFERROR(VLOOKUP($A126,EventSchedule!$A:$G,5,FALSE),"")</f>
        <v/>
      </c>
      <c r="C126" s="7" t="str">
        <f>IFERROR(VLOOKUP($A126,EventSchedule!$A:$G,6,FALSE),"")</f>
        <v/>
      </c>
      <c r="D126" s="7" t="str">
        <f>IFERROR(VLOOKUP($A126,EventSchedule!$A:$G,7,FALSE),"")</f>
        <v/>
      </c>
      <c r="E126" s="7" t="str">
        <f>IFERROR(VLOOKUP($A126,EventSchedule!$A:$G,2,FALSE),"")</f>
        <v/>
      </c>
      <c r="F126" s="7" t="str">
        <f>IFERROR(VLOOKUP($A126,EventSchedule!$A:$G,3,FALSE),"")</f>
        <v/>
      </c>
      <c r="G126" s="7" t="str">
        <f>IFERROR(VLOOKUP($A126,EventSchedule!$A:$G,4,FALSE),"")</f>
        <v/>
      </c>
    </row>
    <row r="127" spans="1:7">
      <c r="A127" s="8">
        <v>126</v>
      </c>
      <c r="B127" s="7" t="str">
        <f>IFERROR(VLOOKUP($A127,EventSchedule!$A:$G,5,FALSE),"")</f>
        <v/>
      </c>
      <c r="C127" s="7" t="str">
        <f>IFERROR(VLOOKUP($A127,EventSchedule!$A:$G,6,FALSE),"")</f>
        <v/>
      </c>
      <c r="D127" s="7" t="str">
        <f>IFERROR(VLOOKUP($A127,EventSchedule!$A:$G,7,FALSE),"")</f>
        <v/>
      </c>
      <c r="E127" s="7" t="str">
        <f>IFERROR(VLOOKUP($A127,EventSchedule!$A:$G,2,FALSE),"")</f>
        <v/>
      </c>
      <c r="F127" s="7" t="str">
        <f>IFERROR(VLOOKUP($A127,EventSchedule!$A:$G,3,FALSE),"")</f>
        <v/>
      </c>
      <c r="G127" s="7" t="str">
        <f>IFERROR(VLOOKUP($A127,EventSchedule!$A:$G,4,FALSE),"")</f>
        <v/>
      </c>
    </row>
    <row r="128" spans="1:7">
      <c r="A128" s="8">
        <v>127</v>
      </c>
      <c r="B128" s="7" t="str">
        <f>IFERROR(VLOOKUP($A128,EventSchedule!$A:$G,5,FALSE),"")</f>
        <v/>
      </c>
      <c r="C128" s="7" t="str">
        <f>IFERROR(VLOOKUP($A128,EventSchedule!$A:$G,6,FALSE),"")</f>
        <v/>
      </c>
      <c r="D128" s="7" t="str">
        <f>IFERROR(VLOOKUP($A128,EventSchedule!$A:$G,7,FALSE),"")</f>
        <v/>
      </c>
      <c r="E128" s="7" t="str">
        <f>IFERROR(VLOOKUP($A128,EventSchedule!$A:$G,2,FALSE),"")</f>
        <v/>
      </c>
      <c r="F128" s="7" t="str">
        <f>IFERROR(VLOOKUP($A128,EventSchedule!$A:$G,3,FALSE),"")</f>
        <v/>
      </c>
      <c r="G128" s="7" t="str">
        <f>IFERROR(VLOOKUP($A128,EventSchedule!$A:$G,4,FALSE),"")</f>
        <v/>
      </c>
    </row>
    <row r="129" spans="1:7">
      <c r="A129" s="8">
        <v>128</v>
      </c>
      <c r="B129" s="7" t="str">
        <f>IFERROR(VLOOKUP($A129,EventSchedule!$A:$G,5,FALSE),"")</f>
        <v/>
      </c>
      <c r="C129" s="7" t="str">
        <f>IFERROR(VLOOKUP($A129,EventSchedule!$A:$G,6,FALSE),"")</f>
        <v/>
      </c>
      <c r="D129" s="7" t="str">
        <f>IFERROR(VLOOKUP($A129,EventSchedule!$A:$G,7,FALSE),"")</f>
        <v/>
      </c>
      <c r="E129" s="7" t="str">
        <f>IFERROR(VLOOKUP($A129,EventSchedule!$A:$G,2,FALSE),"")</f>
        <v/>
      </c>
      <c r="F129" s="7" t="str">
        <f>IFERROR(VLOOKUP($A129,EventSchedule!$A:$G,3,FALSE),"")</f>
        <v/>
      </c>
      <c r="G129" s="7" t="str">
        <f>IFERROR(VLOOKUP($A129,EventSchedule!$A:$G,4,FALSE),"")</f>
        <v/>
      </c>
    </row>
    <row r="130" spans="1:7">
      <c r="A130" s="8">
        <v>129</v>
      </c>
      <c r="B130" s="7" t="str">
        <f>IFERROR(VLOOKUP($A130,EventSchedule!$A:$G,5,FALSE),"")</f>
        <v/>
      </c>
      <c r="C130" s="7" t="str">
        <f>IFERROR(VLOOKUP($A130,EventSchedule!$A:$G,6,FALSE),"")</f>
        <v/>
      </c>
      <c r="D130" s="7" t="str">
        <f>IFERROR(VLOOKUP($A130,EventSchedule!$A:$G,7,FALSE),"")</f>
        <v/>
      </c>
      <c r="E130" s="7" t="str">
        <f>IFERROR(VLOOKUP($A130,EventSchedule!$A:$G,2,FALSE),"")</f>
        <v/>
      </c>
      <c r="F130" s="7" t="str">
        <f>IFERROR(VLOOKUP($A130,EventSchedule!$A:$G,3,FALSE),"")</f>
        <v/>
      </c>
      <c r="G130" s="7" t="str">
        <f>IFERROR(VLOOKUP($A130,EventSchedule!$A:$G,4,FALSE),"")</f>
        <v/>
      </c>
    </row>
    <row r="131" spans="1:7">
      <c r="A131" s="8">
        <v>130</v>
      </c>
      <c r="B131" s="7" t="str">
        <f>IFERROR(VLOOKUP($A131,EventSchedule!$A:$G,5,FALSE),"")</f>
        <v/>
      </c>
      <c r="C131" s="7" t="str">
        <f>IFERROR(VLOOKUP($A131,EventSchedule!$A:$G,6,FALSE),"")</f>
        <v/>
      </c>
      <c r="D131" s="7" t="str">
        <f>IFERROR(VLOOKUP($A131,EventSchedule!$A:$G,7,FALSE),"")</f>
        <v/>
      </c>
      <c r="E131" s="7" t="str">
        <f>IFERROR(VLOOKUP($A131,EventSchedule!$A:$G,2,FALSE),"")</f>
        <v/>
      </c>
      <c r="F131" s="7" t="str">
        <f>IFERROR(VLOOKUP($A131,EventSchedule!$A:$G,3,FALSE),"")</f>
        <v/>
      </c>
      <c r="G131" s="7" t="str">
        <f>IFERROR(VLOOKUP($A131,EventSchedule!$A:$G,4,FALSE),"")</f>
        <v/>
      </c>
    </row>
    <row r="132" spans="1:7">
      <c r="A132" s="8">
        <v>131</v>
      </c>
      <c r="B132" s="7" t="str">
        <f>IFERROR(VLOOKUP($A132,EventSchedule!$A:$G,5,FALSE),"")</f>
        <v/>
      </c>
      <c r="C132" s="7" t="str">
        <f>IFERROR(VLOOKUP($A132,EventSchedule!$A:$G,6,FALSE),"")</f>
        <v/>
      </c>
      <c r="D132" s="7" t="str">
        <f>IFERROR(VLOOKUP($A132,EventSchedule!$A:$G,7,FALSE),"")</f>
        <v/>
      </c>
      <c r="E132" s="7" t="str">
        <f>IFERROR(VLOOKUP($A132,EventSchedule!$A:$G,2,FALSE),"")</f>
        <v/>
      </c>
      <c r="F132" s="7" t="str">
        <f>IFERROR(VLOOKUP($A132,EventSchedule!$A:$G,3,FALSE),"")</f>
        <v/>
      </c>
      <c r="G132" s="7" t="str">
        <f>IFERROR(VLOOKUP($A132,EventSchedule!$A:$G,4,FALSE),"")</f>
        <v/>
      </c>
    </row>
    <row r="133" spans="1:7">
      <c r="A133" s="8">
        <v>132</v>
      </c>
      <c r="B133" s="7" t="str">
        <f>IFERROR(VLOOKUP($A133,EventSchedule!$A:$G,5,FALSE),"")</f>
        <v/>
      </c>
      <c r="C133" s="7" t="str">
        <f>IFERROR(VLOOKUP($A133,EventSchedule!$A:$G,6,FALSE),"")</f>
        <v/>
      </c>
      <c r="D133" s="7" t="str">
        <f>IFERROR(VLOOKUP($A133,EventSchedule!$A:$G,7,FALSE),"")</f>
        <v/>
      </c>
      <c r="E133" s="7" t="str">
        <f>IFERROR(VLOOKUP($A133,EventSchedule!$A:$G,2,FALSE),"")</f>
        <v/>
      </c>
      <c r="F133" s="7" t="str">
        <f>IFERROR(VLOOKUP($A133,EventSchedule!$A:$G,3,FALSE),"")</f>
        <v/>
      </c>
      <c r="G133" s="7" t="str">
        <f>IFERROR(VLOOKUP($A133,EventSchedule!$A:$G,4,FALSE),"")</f>
        <v/>
      </c>
    </row>
    <row r="134" spans="1:7">
      <c r="A134" s="8">
        <v>133</v>
      </c>
      <c r="B134" s="7" t="str">
        <f>IFERROR(VLOOKUP($A134,EventSchedule!$A:$G,5,FALSE),"")</f>
        <v/>
      </c>
      <c r="C134" s="7" t="str">
        <f>IFERROR(VLOOKUP($A134,EventSchedule!$A:$G,6,FALSE),"")</f>
        <v/>
      </c>
      <c r="D134" s="7" t="str">
        <f>IFERROR(VLOOKUP($A134,EventSchedule!$A:$G,7,FALSE),"")</f>
        <v/>
      </c>
      <c r="E134" s="7" t="str">
        <f>IFERROR(VLOOKUP($A134,EventSchedule!$A:$G,2,FALSE),"")</f>
        <v/>
      </c>
      <c r="F134" s="7" t="str">
        <f>IFERROR(VLOOKUP($A134,EventSchedule!$A:$G,3,FALSE),"")</f>
        <v/>
      </c>
      <c r="G134" s="7" t="str">
        <f>IFERROR(VLOOKUP($A134,EventSchedule!$A:$G,4,FALSE),"")</f>
        <v/>
      </c>
    </row>
    <row r="135" spans="1:7">
      <c r="A135" s="8">
        <v>134</v>
      </c>
      <c r="B135" s="7" t="str">
        <f>IFERROR(VLOOKUP($A135,EventSchedule!$A:$G,5,FALSE),"")</f>
        <v/>
      </c>
      <c r="C135" s="7" t="str">
        <f>IFERROR(VLOOKUP($A135,EventSchedule!$A:$G,6,FALSE),"")</f>
        <v/>
      </c>
      <c r="D135" s="7" t="str">
        <f>IFERROR(VLOOKUP($A135,EventSchedule!$A:$G,7,FALSE),"")</f>
        <v/>
      </c>
      <c r="E135" s="7" t="str">
        <f>IFERROR(VLOOKUP($A135,EventSchedule!$A:$G,2,FALSE),"")</f>
        <v/>
      </c>
      <c r="F135" s="7" t="str">
        <f>IFERROR(VLOOKUP($A135,EventSchedule!$A:$G,3,FALSE),"")</f>
        <v/>
      </c>
      <c r="G135" s="7" t="str">
        <f>IFERROR(VLOOKUP($A135,EventSchedule!$A:$G,4,FALSE),"")</f>
        <v/>
      </c>
    </row>
    <row r="136" spans="1:7">
      <c r="A136" s="8">
        <v>135</v>
      </c>
      <c r="B136" s="7" t="str">
        <f>IFERROR(VLOOKUP($A136,EventSchedule!$A:$G,5,FALSE),"")</f>
        <v/>
      </c>
      <c r="C136" s="7" t="str">
        <f>IFERROR(VLOOKUP($A136,EventSchedule!$A:$G,6,FALSE),"")</f>
        <v/>
      </c>
      <c r="D136" s="7" t="str">
        <f>IFERROR(VLOOKUP($A136,EventSchedule!$A:$G,7,FALSE),"")</f>
        <v/>
      </c>
      <c r="E136" s="7" t="str">
        <f>IFERROR(VLOOKUP($A136,EventSchedule!$A:$G,2,FALSE),"")</f>
        <v/>
      </c>
      <c r="F136" s="7" t="str">
        <f>IFERROR(VLOOKUP($A136,EventSchedule!$A:$G,3,FALSE),"")</f>
        <v/>
      </c>
      <c r="G136" s="7" t="str">
        <f>IFERROR(VLOOKUP($A136,EventSchedule!$A:$G,4,FALSE),"")</f>
        <v/>
      </c>
    </row>
    <row r="137" spans="1:7">
      <c r="A137" s="8">
        <v>136</v>
      </c>
      <c r="B137" s="7" t="str">
        <f>IFERROR(VLOOKUP($A137,EventSchedule!$A:$G,5,FALSE),"")</f>
        <v/>
      </c>
      <c r="C137" s="7" t="str">
        <f>IFERROR(VLOOKUP($A137,EventSchedule!$A:$G,6,FALSE),"")</f>
        <v/>
      </c>
      <c r="D137" s="7" t="str">
        <f>IFERROR(VLOOKUP($A137,EventSchedule!$A:$G,7,FALSE),"")</f>
        <v/>
      </c>
      <c r="E137" s="7" t="str">
        <f>IFERROR(VLOOKUP($A137,EventSchedule!$A:$G,2,FALSE),"")</f>
        <v/>
      </c>
      <c r="F137" s="7" t="str">
        <f>IFERROR(VLOOKUP($A137,EventSchedule!$A:$G,3,FALSE),"")</f>
        <v/>
      </c>
      <c r="G137" s="7" t="str">
        <f>IFERROR(VLOOKUP($A137,EventSchedule!$A:$G,4,FALSE),"")</f>
        <v/>
      </c>
    </row>
    <row r="138" spans="1:7">
      <c r="A138" s="8">
        <v>137</v>
      </c>
      <c r="B138" s="7" t="str">
        <f>IFERROR(VLOOKUP($A138,EventSchedule!$A:$G,5,FALSE),"")</f>
        <v/>
      </c>
      <c r="C138" s="7" t="str">
        <f>IFERROR(VLOOKUP($A138,EventSchedule!$A:$G,6,FALSE),"")</f>
        <v/>
      </c>
      <c r="D138" s="7" t="str">
        <f>IFERROR(VLOOKUP($A138,EventSchedule!$A:$G,7,FALSE),"")</f>
        <v/>
      </c>
      <c r="E138" s="7" t="str">
        <f>IFERROR(VLOOKUP($A138,EventSchedule!$A:$G,2,FALSE),"")</f>
        <v/>
      </c>
      <c r="F138" s="7" t="str">
        <f>IFERROR(VLOOKUP($A138,EventSchedule!$A:$G,3,FALSE),"")</f>
        <v/>
      </c>
      <c r="G138" s="7" t="str">
        <f>IFERROR(VLOOKUP($A138,EventSchedule!$A:$G,4,FALSE),"")</f>
        <v/>
      </c>
    </row>
    <row r="139" spans="1:7">
      <c r="A139" s="8">
        <v>138</v>
      </c>
      <c r="B139" s="7" t="str">
        <f>IFERROR(VLOOKUP($A139,EventSchedule!$A:$G,5,FALSE),"")</f>
        <v/>
      </c>
      <c r="C139" s="7" t="str">
        <f>IFERROR(VLOOKUP($A139,EventSchedule!$A:$G,6,FALSE),"")</f>
        <v/>
      </c>
      <c r="D139" s="7" t="str">
        <f>IFERROR(VLOOKUP($A139,EventSchedule!$A:$G,7,FALSE),"")</f>
        <v/>
      </c>
      <c r="E139" s="7" t="str">
        <f>IFERROR(VLOOKUP($A139,EventSchedule!$A:$G,2,FALSE),"")</f>
        <v/>
      </c>
      <c r="F139" s="7" t="str">
        <f>IFERROR(VLOOKUP($A139,EventSchedule!$A:$G,3,FALSE),"")</f>
        <v/>
      </c>
      <c r="G139" s="7" t="str">
        <f>IFERROR(VLOOKUP($A139,EventSchedule!$A:$G,4,FALSE),"")</f>
        <v/>
      </c>
    </row>
    <row r="140" spans="1:7">
      <c r="A140" s="8">
        <v>139</v>
      </c>
      <c r="B140" s="7" t="str">
        <f>IFERROR(VLOOKUP($A140,EventSchedule!$A:$G,5,FALSE),"")</f>
        <v/>
      </c>
      <c r="C140" s="7" t="str">
        <f>IFERROR(VLOOKUP($A140,EventSchedule!$A:$G,6,FALSE),"")</f>
        <v/>
      </c>
      <c r="D140" s="7" t="str">
        <f>IFERROR(VLOOKUP($A140,EventSchedule!$A:$G,7,FALSE),"")</f>
        <v/>
      </c>
      <c r="E140" s="7" t="str">
        <f>IFERROR(VLOOKUP($A140,EventSchedule!$A:$G,2,FALSE),"")</f>
        <v/>
      </c>
      <c r="F140" s="7" t="str">
        <f>IFERROR(VLOOKUP($A140,EventSchedule!$A:$G,3,FALSE),"")</f>
        <v/>
      </c>
      <c r="G140" s="7" t="str">
        <f>IFERROR(VLOOKUP($A140,EventSchedule!$A:$G,4,FALSE),"")</f>
        <v/>
      </c>
    </row>
    <row r="141" spans="1:7">
      <c r="A141" s="8">
        <v>140</v>
      </c>
      <c r="B141" s="7" t="str">
        <f>IFERROR(VLOOKUP($A141,EventSchedule!$A:$G,5,FALSE),"")</f>
        <v/>
      </c>
      <c r="C141" s="7" t="str">
        <f>IFERROR(VLOOKUP($A141,EventSchedule!$A:$G,6,FALSE),"")</f>
        <v/>
      </c>
      <c r="D141" s="7" t="str">
        <f>IFERROR(VLOOKUP($A141,EventSchedule!$A:$G,7,FALSE),"")</f>
        <v/>
      </c>
      <c r="E141" s="7" t="str">
        <f>IFERROR(VLOOKUP($A141,EventSchedule!$A:$G,2,FALSE),"")</f>
        <v/>
      </c>
      <c r="F141" s="7" t="str">
        <f>IFERROR(VLOOKUP($A141,EventSchedule!$A:$G,3,FALSE),"")</f>
        <v/>
      </c>
      <c r="G141" s="7" t="str">
        <f>IFERROR(VLOOKUP($A141,EventSchedule!$A:$G,4,FALSE),"")</f>
        <v/>
      </c>
    </row>
    <row r="142" spans="1:7">
      <c r="A142" s="8">
        <v>141</v>
      </c>
      <c r="B142" s="7" t="str">
        <f>IFERROR(VLOOKUP($A142,EventSchedule!$A:$G,5,FALSE),"")</f>
        <v/>
      </c>
      <c r="C142" s="7" t="str">
        <f>IFERROR(VLOOKUP($A142,EventSchedule!$A:$G,6,FALSE),"")</f>
        <v/>
      </c>
      <c r="D142" s="7" t="str">
        <f>IFERROR(VLOOKUP($A142,EventSchedule!$A:$G,7,FALSE),"")</f>
        <v/>
      </c>
      <c r="E142" s="7" t="str">
        <f>IFERROR(VLOOKUP($A142,EventSchedule!$A:$G,2,FALSE),"")</f>
        <v/>
      </c>
      <c r="F142" s="7" t="str">
        <f>IFERROR(VLOOKUP($A142,EventSchedule!$A:$G,3,FALSE),"")</f>
        <v/>
      </c>
      <c r="G142" s="7" t="str">
        <f>IFERROR(VLOOKUP($A142,EventSchedule!$A:$G,4,FALSE),"")</f>
        <v/>
      </c>
    </row>
    <row r="143" spans="1:7">
      <c r="A143" s="8">
        <v>142</v>
      </c>
      <c r="B143" s="7" t="str">
        <f>IFERROR(VLOOKUP($A143,EventSchedule!$A:$G,5,FALSE),"")</f>
        <v/>
      </c>
      <c r="C143" s="7" t="str">
        <f>IFERROR(VLOOKUP($A143,EventSchedule!$A:$G,6,FALSE),"")</f>
        <v/>
      </c>
      <c r="D143" s="7" t="str">
        <f>IFERROR(VLOOKUP($A143,EventSchedule!$A:$G,7,FALSE),"")</f>
        <v/>
      </c>
      <c r="E143" s="7" t="str">
        <f>IFERROR(VLOOKUP($A143,EventSchedule!$A:$G,2,FALSE),"")</f>
        <v/>
      </c>
      <c r="F143" s="7" t="str">
        <f>IFERROR(VLOOKUP($A143,EventSchedule!$A:$G,3,FALSE),"")</f>
        <v/>
      </c>
      <c r="G143" s="7" t="str">
        <f>IFERROR(VLOOKUP($A143,EventSchedule!$A:$G,4,FALSE),"")</f>
        <v/>
      </c>
    </row>
    <row r="144" spans="1:7">
      <c r="A144" s="8">
        <v>143</v>
      </c>
      <c r="B144" s="7" t="str">
        <f>IFERROR(VLOOKUP($A144,EventSchedule!$A:$G,5,FALSE),"")</f>
        <v/>
      </c>
      <c r="C144" s="7" t="str">
        <f>IFERROR(VLOOKUP($A144,EventSchedule!$A:$G,6,FALSE),"")</f>
        <v/>
      </c>
      <c r="D144" s="7" t="str">
        <f>IFERROR(VLOOKUP($A144,EventSchedule!$A:$G,7,FALSE),"")</f>
        <v/>
      </c>
      <c r="E144" s="7" t="str">
        <f>IFERROR(VLOOKUP($A144,EventSchedule!$A:$G,2,FALSE),"")</f>
        <v/>
      </c>
      <c r="F144" s="7" t="str">
        <f>IFERROR(VLOOKUP($A144,EventSchedule!$A:$G,3,FALSE),"")</f>
        <v/>
      </c>
      <c r="G144" s="7" t="str">
        <f>IFERROR(VLOOKUP($A144,EventSchedule!$A:$G,4,FALSE),"")</f>
        <v/>
      </c>
    </row>
    <row r="145" spans="1:7">
      <c r="A145" s="8">
        <v>144</v>
      </c>
      <c r="B145" s="7" t="str">
        <f>IFERROR(VLOOKUP($A145,EventSchedule!$A:$G,5,FALSE),"")</f>
        <v/>
      </c>
      <c r="C145" s="7" t="str">
        <f>IFERROR(VLOOKUP($A145,EventSchedule!$A:$G,6,FALSE),"")</f>
        <v/>
      </c>
      <c r="D145" s="7" t="str">
        <f>IFERROR(VLOOKUP($A145,EventSchedule!$A:$G,7,FALSE),"")</f>
        <v/>
      </c>
      <c r="E145" s="7" t="str">
        <f>IFERROR(VLOOKUP($A145,EventSchedule!$A:$G,2,FALSE),"")</f>
        <v/>
      </c>
      <c r="F145" s="7" t="str">
        <f>IFERROR(VLOOKUP($A145,EventSchedule!$A:$G,3,FALSE),"")</f>
        <v/>
      </c>
      <c r="G145" s="7" t="str">
        <f>IFERROR(VLOOKUP($A145,EventSchedule!$A:$G,4,FALSE),"")</f>
        <v/>
      </c>
    </row>
    <row r="146" spans="1:7">
      <c r="A146" s="8">
        <v>145</v>
      </c>
      <c r="B146" s="7" t="str">
        <f>IFERROR(VLOOKUP($A146,EventSchedule!$A:$G,5,FALSE),"")</f>
        <v/>
      </c>
      <c r="C146" s="7" t="str">
        <f>IFERROR(VLOOKUP($A146,EventSchedule!$A:$G,6,FALSE),"")</f>
        <v/>
      </c>
      <c r="D146" s="7" t="str">
        <f>IFERROR(VLOOKUP($A146,EventSchedule!$A:$G,7,FALSE),"")</f>
        <v/>
      </c>
      <c r="E146" s="7" t="str">
        <f>IFERROR(VLOOKUP($A146,EventSchedule!$A:$G,2,FALSE),"")</f>
        <v/>
      </c>
      <c r="F146" s="7" t="str">
        <f>IFERROR(VLOOKUP($A146,EventSchedule!$A:$G,3,FALSE),"")</f>
        <v/>
      </c>
      <c r="G146" s="7" t="str">
        <f>IFERROR(VLOOKUP($A146,EventSchedule!$A:$G,4,FALSE),"")</f>
        <v/>
      </c>
    </row>
    <row r="147" spans="1:7">
      <c r="A147" s="8">
        <v>146</v>
      </c>
      <c r="B147" s="7" t="str">
        <f>IFERROR(VLOOKUP($A147,EventSchedule!$A:$G,5,FALSE),"")</f>
        <v/>
      </c>
      <c r="C147" s="7" t="str">
        <f>IFERROR(VLOOKUP($A147,EventSchedule!$A:$G,6,FALSE),"")</f>
        <v/>
      </c>
      <c r="D147" s="7" t="str">
        <f>IFERROR(VLOOKUP($A147,EventSchedule!$A:$G,7,FALSE),"")</f>
        <v/>
      </c>
      <c r="E147" s="7" t="str">
        <f>IFERROR(VLOOKUP($A147,EventSchedule!$A:$G,2,FALSE),"")</f>
        <v/>
      </c>
      <c r="F147" s="7" t="str">
        <f>IFERROR(VLOOKUP($A147,EventSchedule!$A:$G,3,FALSE),"")</f>
        <v/>
      </c>
      <c r="G147" s="7" t="str">
        <f>IFERROR(VLOOKUP($A147,EventSchedule!$A:$G,4,FALSE),"")</f>
        <v/>
      </c>
    </row>
    <row r="148" spans="1:7">
      <c r="A148" s="8">
        <v>147</v>
      </c>
      <c r="B148" s="7" t="str">
        <f>IFERROR(VLOOKUP($A148,EventSchedule!$A:$G,5,FALSE),"")</f>
        <v/>
      </c>
      <c r="C148" s="7" t="str">
        <f>IFERROR(VLOOKUP($A148,EventSchedule!$A:$G,6,FALSE),"")</f>
        <v/>
      </c>
      <c r="D148" s="7" t="str">
        <f>IFERROR(VLOOKUP($A148,EventSchedule!$A:$G,7,FALSE),"")</f>
        <v/>
      </c>
      <c r="E148" s="7" t="str">
        <f>IFERROR(VLOOKUP($A148,EventSchedule!$A:$G,2,FALSE),"")</f>
        <v/>
      </c>
      <c r="F148" s="7" t="str">
        <f>IFERROR(VLOOKUP($A148,EventSchedule!$A:$G,3,FALSE),"")</f>
        <v/>
      </c>
      <c r="G148" s="7" t="str">
        <f>IFERROR(VLOOKUP($A148,EventSchedule!$A:$G,4,FALSE),"")</f>
        <v/>
      </c>
    </row>
    <row r="149" spans="1:7">
      <c r="A149" s="8">
        <v>148</v>
      </c>
      <c r="B149" s="7" t="str">
        <f>IFERROR(VLOOKUP($A149,EventSchedule!$A:$G,5,FALSE),"")</f>
        <v/>
      </c>
      <c r="C149" s="7" t="str">
        <f>IFERROR(VLOOKUP($A149,EventSchedule!$A:$G,6,FALSE),"")</f>
        <v/>
      </c>
      <c r="D149" s="7" t="str">
        <f>IFERROR(VLOOKUP($A149,EventSchedule!$A:$G,7,FALSE),"")</f>
        <v/>
      </c>
      <c r="E149" s="7" t="str">
        <f>IFERROR(VLOOKUP($A149,EventSchedule!$A:$G,2,FALSE),"")</f>
        <v/>
      </c>
      <c r="F149" s="7" t="str">
        <f>IFERROR(VLOOKUP($A149,EventSchedule!$A:$G,3,FALSE),"")</f>
        <v/>
      </c>
      <c r="G149" s="7" t="str">
        <f>IFERROR(VLOOKUP($A149,EventSchedule!$A:$G,4,FALSE),"")</f>
        <v/>
      </c>
    </row>
    <row r="150" spans="1:7">
      <c r="A150" s="8">
        <v>149</v>
      </c>
      <c r="B150" s="7" t="str">
        <f>IFERROR(VLOOKUP($A150,EventSchedule!$A:$G,5,FALSE),"")</f>
        <v/>
      </c>
      <c r="C150" s="7" t="str">
        <f>IFERROR(VLOOKUP($A150,EventSchedule!$A:$G,6,FALSE),"")</f>
        <v/>
      </c>
      <c r="D150" s="7" t="str">
        <f>IFERROR(VLOOKUP($A150,EventSchedule!$A:$G,7,FALSE),"")</f>
        <v/>
      </c>
      <c r="E150" s="7" t="str">
        <f>IFERROR(VLOOKUP($A150,EventSchedule!$A:$G,2,FALSE),"")</f>
        <v/>
      </c>
      <c r="F150" s="7" t="str">
        <f>IFERROR(VLOOKUP($A150,EventSchedule!$A:$G,3,FALSE),"")</f>
        <v/>
      </c>
      <c r="G150" s="7" t="str">
        <f>IFERROR(VLOOKUP($A150,EventSchedule!$A:$G,4,FALSE),"")</f>
        <v/>
      </c>
    </row>
  </sheetData>
  <pageMargins left="0.7" right="0.7" top="0.75" bottom="0.75" header="0.3" footer="0.3"/>
  <pageSetup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V60"/>
  <sheetViews>
    <sheetView workbookViewId="0">
      <selection activeCell="C7" sqref="C7"/>
    </sheetView>
  </sheetViews>
  <sheetFormatPr defaultColWidth="8.85546875" defaultRowHeight="15"/>
  <cols>
    <col min="1" max="1" width="13.140625" bestFit="1" customWidth="1"/>
    <col min="2" max="2" width="15.7109375" bestFit="1" customWidth="1"/>
    <col min="3" max="3" width="24.28515625" bestFit="1" customWidth="1"/>
    <col min="4" max="4" width="22.5703125" bestFit="1" customWidth="1"/>
    <col min="5" max="5" width="20.140625" bestFit="1" customWidth="1"/>
    <col min="6" max="6" width="34.140625" bestFit="1" customWidth="1"/>
    <col min="7" max="7" width="35.140625" bestFit="1" customWidth="1"/>
    <col min="8" max="8" width="32.28515625" bestFit="1" customWidth="1"/>
    <col min="9" max="9" width="41.28515625" bestFit="1" customWidth="1"/>
    <col min="10" max="10" width="51.28515625" bestFit="1" customWidth="1"/>
    <col min="11" max="11" width="30.5703125" bestFit="1" customWidth="1"/>
    <col min="12" max="12" width="31.5703125" bestFit="1" customWidth="1"/>
    <col min="13" max="13" width="28.7109375" bestFit="1" customWidth="1"/>
    <col min="14" max="14" width="37.7109375" bestFit="1" customWidth="1"/>
    <col min="15" max="15" width="30.28515625" bestFit="1" customWidth="1"/>
    <col min="16" max="16" width="31.28515625" bestFit="1" customWidth="1"/>
    <col min="17" max="17" width="28.42578125" bestFit="1" customWidth="1"/>
    <col min="18" max="18" width="37.42578125" bestFit="1" customWidth="1"/>
    <col min="19" max="19" width="33" bestFit="1" customWidth="1"/>
    <col min="20" max="20" width="34.140625" bestFit="1" customWidth="1"/>
    <col min="21" max="21" width="31.28515625" bestFit="1" customWidth="1"/>
    <col min="22" max="22" width="40.28515625" bestFit="1" customWidth="1"/>
  </cols>
  <sheetData>
    <row r="3" spans="1:22">
      <c r="A3" s="10" t="s">
        <v>5822</v>
      </c>
      <c r="B3" t="s">
        <v>5823</v>
      </c>
      <c r="C3" t="s">
        <v>5824</v>
      </c>
      <c r="D3" t="s">
        <v>5825</v>
      </c>
      <c r="E3" t="s">
        <v>5826</v>
      </c>
      <c r="F3" t="s">
        <v>5880</v>
      </c>
      <c r="G3" t="s">
        <v>5883</v>
      </c>
      <c r="H3" t="s">
        <v>5828</v>
      </c>
      <c r="I3" t="s">
        <v>5829</v>
      </c>
      <c r="J3" t="s">
        <v>5827</v>
      </c>
      <c r="K3" t="s">
        <v>5881</v>
      </c>
      <c r="L3" t="s">
        <v>5884</v>
      </c>
      <c r="M3" t="s">
        <v>5886</v>
      </c>
      <c r="N3" t="s">
        <v>5888</v>
      </c>
      <c r="O3" t="s">
        <v>5882</v>
      </c>
      <c r="P3" t="s">
        <v>5885</v>
      </c>
      <c r="Q3" t="s">
        <v>5887</v>
      </c>
      <c r="R3" t="s">
        <v>5889</v>
      </c>
      <c r="S3" t="s">
        <v>5895</v>
      </c>
      <c r="T3" t="s">
        <v>5896</v>
      </c>
      <c r="U3" t="s">
        <v>5897</v>
      </c>
      <c r="V3" t="s">
        <v>5898</v>
      </c>
    </row>
    <row r="4" spans="1:22">
      <c r="A4" s="11">
        <v>181</v>
      </c>
      <c r="B4" s="2">
        <v>11</v>
      </c>
      <c r="C4" s="2">
        <v>1</v>
      </c>
      <c r="D4" s="2">
        <v>0.54545454545454541</v>
      </c>
      <c r="E4" s="2">
        <v>0</v>
      </c>
      <c r="F4" s="2">
        <v>0.27272727272727271</v>
      </c>
      <c r="G4" s="2">
        <v>1.1818181818181819</v>
      </c>
      <c r="H4" s="2">
        <v>2.9090909090909092</v>
      </c>
      <c r="I4" s="2">
        <v>1.3636363636363635</v>
      </c>
      <c r="J4" s="2">
        <v>0.72727272727272729</v>
      </c>
      <c r="K4" s="2">
        <v>1</v>
      </c>
      <c r="L4" s="2">
        <v>6</v>
      </c>
      <c r="M4" s="2">
        <v>7</v>
      </c>
      <c r="N4" s="2">
        <v>5</v>
      </c>
      <c r="O4" s="2">
        <v>0</v>
      </c>
      <c r="P4" s="2">
        <v>0</v>
      </c>
      <c r="Q4" s="2">
        <v>0</v>
      </c>
      <c r="R4" s="2">
        <v>0</v>
      </c>
      <c r="S4" s="2">
        <v>0.46709936649691375</v>
      </c>
      <c r="T4" s="2">
        <v>2.0404990476930793</v>
      </c>
      <c r="U4" s="2">
        <v>2.5477262590217755</v>
      </c>
      <c r="V4" s="2">
        <v>2.1574395598823748</v>
      </c>
    </row>
    <row r="5" spans="1:22">
      <c r="A5" s="11">
        <v>195</v>
      </c>
      <c r="B5" s="2">
        <v>12</v>
      </c>
      <c r="C5" s="2">
        <v>0.83333333333333337</v>
      </c>
      <c r="D5" s="2">
        <v>0.58333333333333337</v>
      </c>
      <c r="E5" s="2">
        <v>0.41666666666666669</v>
      </c>
      <c r="F5" s="2">
        <v>1.1666666666666667</v>
      </c>
      <c r="G5" s="2">
        <v>3</v>
      </c>
      <c r="H5" s="2">
        <v>4</v>
      </c>
      <c r="I5" s="2">
        <v>2.0833333333333335</v>
      </c>
      <c r="J5" s="2">
        <v>0.83333333333333337</v>
      </c>
      <c r="K5" s="2">
        <v>5</v>
      </c>
      <c r="L5" s="2">
        <v>7</v>
      </c>
      <c r="M5" s="2">
        <v>8</v>
      </c>
      <c r="N5" s="2">
        <v>7</v>
      </c>
      <c r="O5" s="2">
        <v>0</v>
      </c>
      <c r="P5" s="2">
        <v>0</v>
      </c>
      <c r="Q5" s="2">
        <v>0</v>
      </c>
      <c r="R5" s="2">
        <v>0</v>
      </c>
      <c r="S5" s="2">
        <v>1.5275252316519468</v>
      </c>
      <c r="T5" s="2">
        <v>2.6967994498529682</v>
      </c>
      <c r="U5" s="2">
        <v>2.7303013486693102</v>
      </c>
      <c r="V5" s="2">
        <v>2.678477631835372</v>
      </c>
    </row>
    <row r="6" spans="1:22">
      <c r="A6" s="11">
        <v>230</v>
      </c>
      <c r="B6" s="2">
        <v>12</v>
      </c>
      <c r="C6" s="2">
        <v>1</v>
      </c>
      <c r="D6" s="2">
        <v>0.66666666666666663</v>
      </c>
      <c r="E6" s="2">
        <v>0.33333333333333331</v>
      </c>
      <c r="F6" s="2">
        <v>0.25</v>
      </c>
      <c r="G6" s="2">
        <v>0.66666666666666663</v>
      </c>
      <c r="H6" s="2">
        <v>4.833333333333333</v>
      </c>
      <c r="I6" s="2">
        <v>0.91666666666666663</v>
      </c>
      <c r="J6" s="2">
        <v>1</v>
      </c>
      <c r="K6" s="2">
        <v>1</v>
      </c>
      <c r="L6" s="2">
        <v>4</v>
      </c>
      <c r="M6" s="2">
        <v>7</v>
      </c>
      <c r="N6" s="2">
        <v>4</v>
      </c>
      <c r="O6" s="2">
        <v>0</v>
      </c>
      <c r="P6" s="2">
        <v>0</v>
      </c>
      <c r="Q6" s="2">
        <v>2</v>
      </c>
      <c r="R6" s="2">
        <v>0</v>
      </c>
      <c r="S6" s="2">
        <v>0.45226701686664544</v>
      </c>
      <c r="T6" s="2">
        <v>1.3026778945578592</v>
      </c>
      <c r="U6" s="2">
        <v>1.5859229221975186</v>
      </c>
      <c r="V6" s="2">
        <v>1.3113721705515065</v>
      </c>
    </row>
    <row r="7" spans="1:22">
      <c r="A7" s="11">
        <v>3654</v>
      </c>
      <c r="B7" s="2">
        <v>12</v>
      </c>
      <c r="C7" s="2">
        <v>1</v>
      </c>
      <c r="D7" s="2">
        <v>0</v>
      </c>
      <c r="E7" s="2">
        <v>0</v>
      </c>
      <c r="F7" s="2">
        <v>1.4166666666666667</v>
      </c>
      <c r="G7" s="2">
        <v>0.41666666666666669</v>
      </c>
      <c r="H7" s="2">
        <v>1.9166666666666667</v>
      </c>
      <c r="I7" s="2">
        <v>0</v>
      </c>
      <c r="J7" s="2">
        <v>0.66666666666666663</v>
      </c>
      <c r="K7" s="2">
        <v>3</v>
      </c>
      <c r="L7" s="2">
        <v>3</v>
      </c>
      <c r="M7" s="2">
        <v>4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1.2401124093721456</v>
      </c>
      <c r="T7" s="2">
        <v>0.99620491989562188</v>
      </c>
      <c r="U7" s="2">
        <v>1.0836246694508316</v>
      </c>
      <c r="V7" s="2">
        <v>0</v>
      </c>
    </row>
    <row r="8" spans="1:22">
      <c r="A8" s="11" t="s">
        <v>5820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</row>
    <row r="9" spans="1:22">
      <c r="A9" s="11">
        <v>558</v>
      </c>
      <c r="B9" s="2">
        <v>13</v>
      </c>
      <c r="C9" s="2">
        <v>0.69230769230769229</v>
      </c>
      <c r="D9" s="2">
        <v>0.84615384615384615</v>
      </c>
      <c r="E9" s="2">
        <v>0</v>
      </c>
      <c r="F9" s="2">
        <v>1.5384615384615385</v>
      </c>
      <c r="G9" s="2">
        <v>1.5384615384615385</v>
      </c>
      <c r="H9" s="2">
        <v>2.3846153846153846</v>
      </c>
      <c r="I9" s="2">
        <v>3.2307692307692308</v>
      </c>
      <c r="J9" s="2">
        <v>0.46153846153846156</v>
      </c>
      <c r="K9" s="2">
        <v>4</v>
      </c>
      <c r="L9" s="2">
        <v>5</v>
      </c>
      <c r="M9" s="2">
        <v>6</v>
      </c>
      <c r="N9" s="2">
        <v>8</v>
      </c>
      <c r="O9" s="2">
        <v>0</v>
      </c>
      <c r="P9" s="2">
        <v>0</v>
      </c>
      <c r="Q9" s="2">
        <v>0</v>
      </c>
      <c r="R9" s="2">
        <v>0</v>
      </c>
      <c r="S9" s="2">
        <v>1.5063966175050876</v>
      </c>
      <c r="T9" s="2">
        <v>1.8536173919925967</v>
      </c>
      <c r="U9" s="2">
        <v>2.1423686866978779</v>
      </c>
      <c r="V9" s="2">
        <v>3.1663292667758083</v>
      </c>
    </row>
    <row r="10" spans="1:22">
      <c r="A10" s="11">
        <v>2067</v>
      </c>
      <c r="B10" s="2">
        <v>10</v>
      </c>
      <c r="C10" s="2">
        <v>0.7</v>
      </c>
      <c r="D10" s="2">
        <v>0.5</v>
      </c>
      <c r="E10" s="2">
        <v>0.1</v>
      </c>
      <c r="F10" s="2">
        <v>0.7</v>
      </c>
      <c r="G10" s="2">
        <v>1.6</v>
      </c>
      <c r="H10" s="2">
        <v>2.5</v>
      </c>
      <c r="I10" s="2">
        <v>1.8</v>
      </c>
      <c r="J10" s="2">
        <v>0.7</v>
      </c>
      <c r="K10" s="2">
        <v>4</v>
      </c>
      <c r="L10" s="2">
        <v>4</v>
      </c>
      <c r="M10" s="2">
        <v>5</v>
      </c>
      <c r="N10" s="2">
        <v>9</v>
      </c>
      <c r="O10" s="2">
        <v>0</v>
      </c>
      <c r="P10" s="2">
        <v>0</v>
      </c>
      <c r="Q10" s="2">
        <v>0</v>
      </c>
      <c r="R10" s="2">
        <v>0</v>
      </c>
      <c r="S10" s="2">
        <v>1.3374935098492586</v>
      </c>
      <c r="T10" s="2">
        <v>1.7126976771553504</v>
      </c>
      <c r="U10" s="2">
        <v>1.7159383568311668</v>
      </c>
      <c r="V10" s="2">
        <v>3.5527766918597941</v>
      </c>
    </row>
    <row r="11" spans="1:22">
      <c r="A11" s="11">
        <v>155</v>
      </c>
      <c r="B11" s="2">
        <v>10</v>
      </c>
      <c r="C11" s="2">
        <v>0.8</v>
      </c>
      <c r="D11" s="2">
        <v>0.5</v>
      </c>
      <c r="E11" s="2">
        <v>0</v>
      </c>
      <c r="F11" s="2">
        <v>1.2</v>
      </c>
      <c r="G11" s="2">
        <v>1.7</v>
      </c>
      <c r="H11" s="2">
        <v>0.4</v>
      </c>
      <c r="I11" s="2">
        <v>5.8</v>
      </c>
      <c r="J11" s="2">
        <v>0.7</v>
      </c>
      <c r="K11" s="2">
        <v>4</v>
      </c>
      <c r="L11" s="2">
        <v>5</v>
      </c>
      <c r="M11" s="2">
        <v>4</v>
      </c>
      <c r="N11" s="2">
        <v>9</v>
      </c>
      <c r="O11" s="2">
        <v>0</v>
      </c>
      <c r="P11" s="2">
        <v>0</v>
      </c>
      <c r="Q11" s="2">
        <v>0</v>
      </c>
      <c r="R11" s="2">
        <v>0</v>
      </c>
      <c r="S11" s="2">
        <v>1.3984117975602022</v>
      </c>
      <c r="T11" s="2">
        <v>1.9465068427541912</v>
      </c>
      <c r="U11" s="2">
        <v>1.2649110640673518</v>
      </c>
      <c r="V11" s="2">
        <v>4.0770359603788418</v>
      </c>
    </row>
    <row r="12" spans="1:22">
      <c r="A12" s="11">
        <v>1027</v>
      </c>
      <c r="B12" s="2">
        <v>13</v>
      </c>
      <c r="C12" s="2">
        <v>0.53846153846153844</v>
      </c>
      <c r="D12" s="2">
        <v>0.15384615384615385</v>
      </c>
      <c r="E12" s="2">
        <v>0</v>
      </c>
      <c r="F12" s="2">
        <v>0.46153846153846156</v>
      </c>
      <c r="G12" s="2">
        <v>0.46153846153846156</v>
      </c>
      <c r="H12" s="2">
        <v>0</v>
      </c>
      <c r="I12" s="2">
        <v>2.5384615384615383</v>
      </c>
      <c r="J12" s="2">
        <v>0.30769230769230771</v>
      </c>
      <c r="K12" s="2">
        <v>2</v>
      </c>
      <c r="L12" s="2">
        <v>3</v>
      </c>
      <c r="M12" s="2">
        <v>0</v>
      </c>
      <c r="N12" s="2">
        <v>9</v>
      </c>
      <c r="O12" s="2">
        <v>0</v>
      </c>
      <c r="P12" s="2">
        <v>0</v>
      </c>
      <c r="Q12" s="2">
        <v>0</v>
      </c>
      <c r="R12" s="2">
        <v>0</v>
      </c>
      <c r="S12" s="2">
        <v>0.66022529177352474</v>
      </c>
      <c r="T12" s="2">
        <v>1.1266014242982161</v>
      </c>
      <c r="U12" s="2">
        <v>0</v>
      </c>
      <c r="V12" s="2">
        <v>3.7330814933372989</v>
      </c>
    </row>
    <row r="13" spans="1:22">
      <c r="A13" s="11">
        <v>2064</v>
      </c>
      <c r="B13" s="2">
        <v>14</v>
      </c>
      <c r="C13" s="2">
        <v>0.8571428571428571</v>
      </c>
      <c r="D13" s="2">
        <v>0.42857142857142855</v>
      </c>
      <c r="E13" s="2">
        <v>0</v>
      </c>
      <c r="F13" s="2">
        <v>0.7142857142857143</v>
      </c>
      <c r="G13" s="2">
        <v>0.2857142857142857</v>
      </c>
      <c r="H13" s="2">
        <v>1</v>
      </c>
      <c r="I13" s="2">
        <v>4.7857142857142856</v>
      </c>
      <c r="J13" s="2">
        <v>0.5714285714285714</v>
      </c>
      <c r="K13" s="2">
        <v>3</v>
      </c>
      <c r="L13" s="2">
        <v>4</v>
      </c>
      <c r="M13" s="2">
        <v>5</v>
      </c>
      <c r="N13" s="2">
        <v>9</v>
      </c>
      <c r="O13" s="2">
        <v>0</v>
      </c>
      <c r="P13" s="2">
        <v>0</v>
      </c>
      <c r="Q13" s="2">
        <v>0</v>
      </c>
      <c r="R13" s="2">
        <v>0</v>
      </c>
      <c r="S13" s="2">
        <v>0.99449031619769379</v>
      </c>
      <c r="T13" s="2">
        <v>1.0690449676496976</v>
      </c>
      <c r="U13" s="2">
        <v>1.8397324220155997</v>
      </c>
      <c r="V13" s="2">
        <v>3.1422327051996599</v>
      </c>
    </row>
    <row r="14" spans="1:22">
      <c r="A14" s="11">
        <v>3634</v>
      </c>
      <c r="B14" s="2">
        <v>10</v>
      </c>
      <c r="C14" s="2">
        <v>0.9</v>
      </c>
      <c r="D14" s="2">
        <v>0</v>
      </c>
      <c r="E14" s="2">
        <v>0</v>
      </c>
      <c r="F14" s="2">
        <v>0.3</v>
      </c>
      <c r="G14" s="2">
        <v>0</v>
      </c>
      <c r="H14" s="2">
        <v>0.3</v>
      </c>
      <c r="I14" s="2">
        <v>1.2</v>
      </c>
      <c r="J14" s="2">
        <v>0.4</v>
      </c>
      <c r="K14" s="2">
        <v>2</v>
      </c>
      <c r="L14" s="2">
        <v>0</v>
      </c>
      <c r="M14" s="2">
        <v>3</v>
      </c>
      <c r="N14" s="2">
        <v>5</v>
      </c>
      <c r="O14" s="2">
        <v>0</v>
      </c>
      <c r="P14" s="2">
        <v>0</v>
      </c>
      <c r="Q14" s="2">
        <v>0</v>
      </c>
      <c r="R14" s="2">
        <v>0</v>
      </c>
      <c r="S14" s="2">
        <v>0.67494855771055284</v>
      </c>
      <c r="T14" s="2">
        <v>0</v>
      </c>
      <c r="U14" s="2">
        <v>0.94868329805051377</v>
      </c>
      <c r="V14" s="2">
        <v>1.7511900715418263</v>
      </c>
    </row>
    <row r="15" spans="1:22">
      <c r="A15" s="11">
        <v>5746</v>
      </c>
      <c r="B15" s="2">
        <v>10</v>
      </c>
      <c r="C15" s="2">
        <v>0.9</v>
      </c>
      <c r="D15" s="2">
        <v>0.2</v>
      </c>
      <c r="E15" s="2">
        <v>0</v>
      </c>
      <c r="F15" s="2">
        <v>0.8</v>
      </c>
      <c r="G15" s="2">
        <v>0.4</v>
      </c>
      <c r="H15" s="2">
        <v>0.8</v>
      </c>
      <c r="I15" s="2">
        <v>2.5</v>
      </c>
      <c r="J15" s="2">
        <v>0.2</v>
      </c>
      <c r="K15" s="2">
        <v>3</v>
      </c>
      <c r="L15" s="2">
        <v>2</v>
      </c>
      <c r="M15" s="2">
        <v>4</v>
      </c>
      <c r="N15" s="2">
        <v>6</v>
      </c>
      <c r="O15" s="2">
        <v>0</v>
      </c>
      <c r="P15" s="2">
        <v>0</v>
      </c>
      <c r="Q15" s="2">
        <v>0</v>
      </c>
      <c r="R15" s="2">
        <v>0</v>
      </c>
      <c r="S15" s="2">
        <v>1.1352924243950933</v>
      </c>
      <c r="T15" s="2">
        <v>0.84327404271156781</v>
      </c>
      <c r="U15" s="2">
        <v>1.2292725943057183</v>
      </c>
      <c r="V15" s="2">
        <v>2.3687784005919825</v>
      </c>
    </row>
    <row r="16" spans="1:22">
      <c r="A16" s="11">
        <v>6346</v>
      </c>
      <c r="B16" s="2">
        <v>14</v>
      </c>
      <c r="C16" s="2">
        <v>0.8571428571428571</v>
      </c>
      <c r="D16" s="2">
        <v>0.14285714285714285</v>
      </c>
      <c r="E16" s="2">
        <v>0</v>
      </c>
      <c r="F16" s="2">
        <v>0.5</v>
      </c>
      <c r="G16" s="2">
        <v>0.21428571428571427</v>
      </c>
      <c r="H16" s="2">
        <v>0.21428571428571427</v>
      </c>
      <c r="I16" s="2">
        <v>2.4285714285714284</v>
      </c>
      <c r="J16" s="2">
        <v>0.5</v>
      </c>
      <c r="K16" s="2">
        <v>2</v>
      </c>
      <c r="L16" s="2">
        <v>3</v>
      </c>
      <c r="M16" s="2">
        <v>2</v>
      </c>
      <c r="N16" s="2">
        <v>5</v>
      </c>
      <c r="O16" s="2">
        <v>0</v>
      </c>
      <c r="P16" s="2">
        <v>0</v>
      </c>
      <c r="Q16" s="2">
        <v>0</v>
      </c>
      <c r="R16" s="2">
        <v>0</v>
      </c>
      <c r="S16" s="2">
        <v>0.6504436355879909</v>
      </c>
      <c r="T16" s="2">
        <v>0.80178372573727319</v>
      </c>
      <c r="U16" s="2">
        <v>0.57893422352183943</v>
      </c>
      <c r="V16" s="2">
        <v>1.869359648250035</v>
      </c>
    </row>
    <row r="17" spans="1:22">
      <c r="A17" s="11">
        <v>6811</v>
      </c>
      <c r="B17" s="2">
        <v>11</v>
      </c>
      <c r="C17" s="2">
        <v>0.81818181818181823</v>
      </c>
      <c r="D17" s="2">
        <v>9.0909090909090912E-2</v>
      </c>
      <c r="E17" s="2">
        <v>0</v>
      </c>
      <c r="F17" s="2">
        <v>1.1818181818181819</v>
      </c>
      <c r="G17" s="2">
        <v>0.63636363636363635</v>
      </c>
      <c r="H17" s="2">
        <v>0</v>
      </c>
      <c r="I17" s="2">
        <v>1.8181818181818181</v>
      </c>
      <c r="J17" s="2">
        <v>0.36363636363636365</v>
      </c>
      <c r="K17" s="2">
        <v>4</v>
      </c>
      <c r="L17" s="2">
        <v>4</v>
      </c>
      <c r="M17" s="2">
        <v>0</v>
      </c>
      <c r="N17" s="2">
        <v>5</v>
      </c>
      <c r="O17" s="2">
        <v>0</v>
      </c>
      <c r="P17" s="2">
        <v>0</v>
      </c>
      <c r="Q17" s="2">
        <v>0</v>
      </c>
      <c r="R17" s="2">
        <v>0</v>
      </c>
      <c r="S17" s="2">
        <v>1.4012980994907414</v>
      </c>
      <c r="T17" s="2">
        <v>1.2862913567871996</v>
      </c>
      <c r="U17" s="2">
        <v>0</v>
      </c>
      <c r="V17" s="2">
        <v>1.9908883353006928</v>
      </c>
    </row>
    <row r="18" spans="1:22">
      <c r="A18" s="11">
        <v>7127</v>
      </c>
      <c r="B18" s="2">
        <v>9</v>
      </c>
      <c r="C18" s="2">
        <v>0.77777777777777779</v>
      </c>
      <c r="D18" s="2">
        <v>0.22222222222222221</v>
      </c>
      <c r="E18" s="2">
        <v>0</v>
      </c>
      <c r="F18" s="2">
        <v>0.33333333333333331</v>
      </c>
      <c r="G18" s="2">
        <v>2</v>
      </c>
      <c r="H18" s="2">
        <v>0.44444444444444442</v>
      </c>
      <c r="I18" s="2">
        <v>1.3333333333333333</v>
      </c>
      <c r="J18" s="2">
        <v>0.1111111111111111</v>
      </c>
      <c r="K18" s="2">
        <v>3</v>
      </c>
      <c r="L18" s="2">
        <v>4</v>
      </c>
      <c r="M18" s="2">
        <v>4</v>
      </c>
      <c r="N18" s="2">
        <v>6</v>
      </c>
      <c r="O18" s="2">
        <v>0</v>
      </c>
      <c r="P18" s="2">
        <v>0</v>
      </c>
      <c r="Q18" s="2">
        <v>0</v>
      </c>
      <c r="R18" s="2">
        <v>0</v>
      </c>
      <c r="S18" s="2">
        <v>1</v>
      </c>
      <c r="T18" s="2">
        <v>1.8027756377319946</v>
      </c>
      <c r="U18" s="2">
        <v>1.3333333333333333</v>
      </c>
      <c r="V18" s="2">
        <v>2.6457513110645907</v>
      </c>
    </row>
    <row r="19" spans="1:22">
      <c r="A19" s="11">
        <v>7153</v>
      </c>
      <c r="B19" s="2">
        <v>13</v>
      </c>
      <c r="C19" s="2">
        <v>0.92307692307692313</v>
      </c>
      <c r="D19" s="2">
        <v>0.15384615384615385</v>
      </c>
      <c r="E19" s="2">
        <v>0</v>
      </c>
      <c r="F19" s="2">
        <v>1.6923076923076923</v>
      </c>
      <c r="G19" s="2">
        <v>0.23076923076923078</v>
      </c>
      <c r="H19" s="2">
        <v>0.15384615384615385</v>
      </c>
      <c r="I19" s="2">
        <v>3.3846153846153846</v>
      </c>
      <c r="J19" s="2">
        <v>0.15384615384615385</v>
      </c>
      <c r="K19" s="2">
        <v>6</v>
      </c>
      <c r="L19" s="2">
        <v>2</v>
      </c>
      <c r="M19" s="2">
        <v>2</v>
      </c>
      <c r="N19" s="2">
        <v>9</v>
      </c>
      <c r="O19" s="2">
        <v>0</v>
      </c>
      <c r="P19" s="2">
        <v>0</v>
      </c>
      <c r="Q19" s="2">
        <v>0</v>
      </c>
      <c r="R19" s="2">
        <v>0</v>
      </c>
      <c r="S19" s="2">
        <v>1.9741924671712983</v>
      </c>
      <c r="T19" s="2">
        <v>0.59914468951527811</v>
      </c>
      <c r="U19" s="2">
        <v>0.55470019622522915</v>
      </c>
      <c r="V19" s="2">
        <v>3.1500915737605029</v>
      </c>
    </row>
    <row r="20" spans="1:22">
      <c r="A20" s="11">
        <v>2836</v>
      </c>
      <c r="B20" s="2">
        <v>10</v>
      </c>
      <c r="C20" s="2">
        <v>0.9</v>
      </c>
      <c r="D20" s="2">
        <v>0.5</v>
      </c>
      <c r="E20" s="2">
        <v>0</v>
      </c>
      <c r="F20" s="2">
        <v>1.9</v>
      </c>
      <c r="G20" s="2">
        <v>0.8</v>
      </c>
      <c r="H20" s="2">
        <v>2.1</v>
      </c>
      <c r="I20" s="2">
        <v>1.1000000000000001</v>
      </c>
      <c r="J20" s="2">
        <v>0.8</v>
      </c>
      <c r="K20" s="2">
        <v>5</v>
      </c>
      <c r="L20" s="2">
        <v>4</v>
      </c>
      <c r="M20" s="2">
        <v>8</v>
      </c>
      <c r="N20" s="2">
        <v>3</v>
      </c>
      <c r="O20" s="2">
        <v>0</v>
      </c>
      <c r="P20" s="2">
        <v>0</v>
      </c>
      <c r="Q20" s="2">
        <v>0</v>
      </c>
      <c r="R20" s="2">
        <v>0</v>
      </c>
      <c r="S20" s="2">
        <v>1.7288403306519919</v>
      </c>
      <c r="T20" s="2">
        <v>1.6865480854231356</v>
      </c>
      <c r="U20" s="2">
        <v>2.6853512081497111</v>
      </c>
      <c r="V20" s="2">
        <v>1.2866839377079189</v>
      </c>
    </row>
    <row r="21" spans="1:22">
      <c r="A21" s="11">
        <v>135</v>
      </c>
      <c r="B21" s="2">
        <v>1</v>
      </c>
      <c r="C21" s="2">
        <v>1</v>
      </c>
      <c r="D21" s="2">
        <v>1</v>
      </c>
      <c r="E21" s="2">
        <v>1</v>
      </c>
      <c r="F21" s="2">
        <v>8</v>
      </c>
      <c r="G21" s="2">
        <v>5</v>
      </c>
      <c r="H21" s="2">
        <v>4</v>
      </c>
      <c r="I21" s="2">
        <v>6</v>
      </c>
      <c r="J21" s="2">
        <v>1</v>
      </c>
      <c r="K21" s="2">
        <v>8</v>
      </c>
      <c r="L21" s="2">
        <v>5</v>
      </c>
      <c r="M21" s="2">
        <v>4</v>
      </c>
      <c r="N21" s="2">
        <v>6</v>
      </c>
      <c r="O21" s="2">
        <v>8</v>
      </c>
      <c r="P21" s="2">
        <v>5</v>
      </c>
      <c r="Q21" s="2">
        <v>4</v>
      </c>
      <c r="R21" s="2">
        <v>6</v>
      </c>
      <c r="S21" s="2" t="e">
        <v>#DIV/0!</v>
      </c>
      <c r="T21" s="2" t="e">
        <v>#DIV/0!</v>
      </c>
      <c r="U21" s="2" t="e">
        <v>#DIV/0!</v>
      </c>
      <c r="V21" s="2" t="e">
        <v>#DIV/0!</v>
      </c>
    </row>
    <row r="22" spans="1:22">
      <c r="A22" s="11">
        <v>173</v>
      </c>
      <c r="B22" s="2">
        <v>11</v>
      </c>
      <c r="C22" s="2">
        <v>0.90909090909090906</v>
      </c>
      <c r="D22" s="2">
        <v>0.54545454545454541</v>
      </c>
      <c r="E22" s="2">
        <v>0</v>
      </c>
      <c r="F22" s="2">
        <v>1.0909090909090908</v>
      </c>
      <c r="G22" s="2">
        <v>1</v>
      </c>
      <c r="H22" s="2">
        <v>3.6363636363636362</v>
      </c>
      <c r="I22" s="2">
        <v>2.4545454545454546</v>
      </c>
      <c r="J22" s="2">
        <v>0.54545454545454541</v>
      </c>
      <c r="K22" s="2">
        <v>3</v>
      </c>
      <c r="L22" s="2">
        <v>6</v>
      </c>
      <c r="M22" s="2">
        <v>6</v>
      </c>
      <c r="N22" s="2">
        <v>9</v>
      </c>
      <c r="O22" s="2">
        <v>0</v>
      </c>
      <c r="P22" s="2">
        <v>0</v>
      </c>
      <c r="Q22" s="2">
        <v>0</v>
      </c>
      <c r="R22" s="2">
        <v>0</v>
      </c>
      <c r="S22" s="2">
        <v>1.044465935734187</v>
      </c>
      <c r="T22" s="2">
        <v>2.2360679774997898</v>
      </c>
      <c r="U22" s="2">
        <v>1.6895400127092146</v>
      </c>
      <c r="V22" s="2">
        <v>3.1737560197228887</v>
      </c>
    </row>
    <row r="23" spans="1:22">
      <c r="A23" s="11">
        <v>175</v>
      </c>
      <c r="B23" s="2">
        <v>13</v>
      </c>
      <c r="C23" s="2">
        <v>0.84615384615384615</v>
      </c>
      <c r="D23" s="2">
        <v>0.61538461538461542</v>
      </c>
      <c r="E23" s="2">
        <v>0</v>
      </c>
      <c r="F23" s="2">
        <v>1.5384615384615385</v>
      </c>
      <c r="G23" s="2">
        <v>1.0769230769230769</v>
      </c>
      <c r="H23" s="2">
        <v>3.6153846153846154</v>
      </c>
      <c r="I23" s="2">
        <v>1.7692307692307692</v>
      </c>
      <c r="J23" s="2">
        <v>0.53846153846153844</v>
      </c>
      <c r="K23" s="2">
        <v>5</v>
      </c>
      <c r="L23" s="2">
        <v>5</v>
      </c>
      <c r="M23" s="2">
        <v>6</v>
      </c>
      <c r="N23" s="2">
        <v>6</v>
      </c>
      <c r="O23" s="2">
        <v>0</v>
      </c>
      <c r="P23" s="2">
        <v>0</v>
      </c>
      <c r="Q23" s="2">
        <v>0</v>
      </c>
      <c r="R23" s="2">
        <v>0</v>
      </c>
      <c r="S23" s="2">
        <v>1.7614096918559583</v>
      </c>
      <c r="T23" s="2">
        <v>1.7541160386140584</v>
      </c>
      <c r="U23" s="2">
        <v>1.980675875320574</v>
      </c>
      <c r="V23" s="2">
        <v>2.0475125621855637</v>
      </c>
    </row>
    <row r="24" spans="1:22">
      <c r="A24" s="11">
        <v>176</v>
      </c>
      <c r="B24" s="2">
        <v>8</v>
      </c>
      <c r="C24" s="2">
        <v>0.75</v>
      </c>
      <c r="D24" s="2">
        <v>0.25</v>
      </c>
      <c r="E24" s="2">
        <v>0.25</v>
      </c>
      <c r="F24" s="2">
        <v>1.5</v>
      </c>
      <c r="G24" s="2">
        <v>2</v>
      </c>
      <c r="H24" s="2">
        <v>4.875</v>
      </c>
      <c r="I24" s="2">
        <v>1.125</v>
      </c>
      <c r="J24" s="2">
        <v>0.625</v>
      </c>
      <c r="K24" s="2">
        <v>7</v>
      </c>
      <c r="L24" s="2">
        <v>6</v>
      </c>
      <c r="M24" s="2">
        <v>8</v>
      </c>
      <c r="N24" s="2">
        <v>4</v>
      </c>
      <c r="O24" s="2">
        <v>0</v>
      </c>
      <c r="P24" s="2">
        <v>0</v>
      </c>
      <c r="Q24" s="2">
        <v>2</v>
      </c>
      <c r="R24" s="2">
        <v>0</v>
      </c>
      <c r="S24" s="2">
        <v>2.6186146828319083</v>
      </c>
      <c r="T24" s="2">
        <v>2.4494897427831779</v>
      </c>
      <c r="U24" s="2">
        <v>2.416461403433896</v>
      </c>
      <c r="V24" s="2">
        <v>1.6420805617960927</v>
      </c>
    </row>
    <row r="25" spans="1:22">
      <c r="A25" s="11">
        <v>190</v>
      </c>
      <c r="B25" s="2">
        <v>13</v>
      </c>
      <c r="C25" s="2">
        <v>0.92307692307692313</v>
      </c>
      <c r="D25" s="2">
        <v>0.23076923076923078</v>
      </c>
      <c r="E25" s="2">
        <v>0.38461538461538464</v>
      </c>
      <c r="F25" s="2">
        <v>1.0769230769230769</v>
      </c>
      <c r="G25" s="2">
        <v>0.84615384615384615</v>
      </c>
      <c r="H25" s="2">
        <v>3.2307692307692308</v>
      </c>
      <c r="I25" s="2">
        <v>1.9230769230769231</v>
      </c>
      <c r="J25" s="2">
        <v>0.46153846153846156</v>
      </c>
      <c r="K25" s="2">
        <v>3</v>
      </c>
      <c r="L25" s="2">
        <v>4</v>
      </c>
      <c r="M25" s="2">
        <v>8</v>
      </c>
      <c r="N25" s="2">
        <v>8</v>
      </c>
      <c r="O25" s="2">
        <v>0</v>
      </c>
      <c r="P25" s="2">
        <v>0</v>
      </c>
      <c r="Q25" s="2">
        <v>1</v>
      </c>
      <c r="R25" s="2">
        <v>0</v>
      </c>
      <c r="S25" s="2">
        <v>1.1875421719907089</v>
      </c>
      <c r="T25" s="2">
        <v>1.4051188470584879</v>
      </c>
      <c r="U25" s="2">
        <v>2.3149458652362394</v>
      </c>
      <c r="V25" s="2">
        <v>2.7526211284742907</v>
      </c>
    </row>
    <row r="26" spans="1:22">
      <c r="A26" s="11">
        <v>236</v>
      </c>
      <c r="B26" s="2">
        <v>13</v>
      </c>
      <c r="C26" s="2">
        <v>1</v>
      </c>
      <c r="D26" s="2">
        <v>0.15384615384615385</v>
      </c>
      <c r="E26" s="2">
        <v>0.23076923076923078</v>
      </c>
      <c r="F26" s="2">
        <v>0.53846153846153844</v>
      </c>
      <c r="G26" s="2">
        <v>0.46153846153846156</v>
      </c>
      <c r="H26" s="2">
        <v>1.4615384615384615</v>
      </c>
      <c r="I26" s="2">
        <v>1.6153846153846154</v>
      </c>
      <c r="J26" s="2">
        <v>0.61538461538461542</v>
      </c>
      <c r="K26" s="2">
        <v>3</v>
      </c>
      <c r="L26" s="2">
        <v>2</v>
      </c>
      <c r="M26" s="2">
        <v>5</v>
      </c>
      <c r="N26" s="2">
        <v>6</v>
      </c>
      <c r="O26" s="2">
        <v>0</v>
      </c>
      <c r="P26" s="2">
        <v>0</v>
      </c>
      <c r="Q26" s="2">
        <v>0</v>
      </c>
      <c r="R26" s="2">
        <v>0</v>
      </c>
      <c r="S26" s="2">
        <v>0.8770580193070292</v>
      </c>
      <c r="T26" s="2">
        <v>0.8770580193070292</v>
      </c>
      <c r="U26" s="2">
        <v>1.4500221041639685</v>
      </c>
      <c r="V26" s="2">
        <v>2.2926862533740322</v>
      </c>
    </row>
    <row r="27" spans="1:22">
      <c r="A27" s="11">
        <v>571</v>
      </c>
      <c r="B27" s="2">
        <v>13</v>
      </c>
      <c r="C27" s="2">
        <v>1</v>
      </c>
      <c r="D27" s="2">
        <v>0</v>
      </c>
      <c r="E27" s="2">
        <v>0.30769230769230771</v>
      </c>
      <c r="F27" s="2">
        <v>1</v>
      </c>
      <c r="G27" s="2">
        <v>0.23076923076923078</v>
      </c>
      <c r="H27" s="2">
        <v>1.0769230769230769</v>
      </c>
      <c r="I27" s="2">
        <v>1.5384615384615385</v>
      </c>
      <c r="J27" s="2">
        <v>0.53846153846153844</v>
      </c>
      <c r="K27" s="2">
        <v>5</v>
      </c>
      <c r="L27" s="2">
        <v>3</v>
      </c>
      <c r="M27" s="2">
        <v>4</v>
      </c>
      <c r="N27" s="2">
        <v>7</v>
      </c>
      <c r="O27" s="2">
        <v>0</v>
      </c>
      <c r="P27" s="2">
        <v>0</v>
      </c>
      <c r="Q27" s="2">
        <v>0</v>
      </c>
      <c r="R27" s="2">
        <v>0</v>
      </c>
      <c r="S27" s="2">
        <v>1.4142135623730951</v>
      </c>
      <c r="T27" s="2">
        <v>0.83205029433784372</v>
      </c>
      <c r="U27" s="2">
        <v>1.3204505835470495</v>
      </c>
      <c r="V27" s="2">
        <v>2.1838568563966754</v>
      </c>
    </row>
    <row r="28" spans="1:22">
      <c r="A28" s="11">
        <v>999</v>
      </c>
      <c r="B28" s="2">
        <v>9</v>
      </c>
      <c r="C28" s="2">
        <v>0.66666666666666663</v>
      </c>
      <c r="D28" s="2">
        <v>0.22222222222222221</v>
      </c>
      <c r="E28" s="2">
        <v>0.1111111111111111</v>
      </c>
      <c r="F28" s="2">
        <v>0.55555555555555558</v>
      </c>
      <c r="G28" s="2">
        <v>4.7777777777777777</v>
      </c>
      <c r="H28" s="2">
        <v>0.22222222222222221</v>
      </c>
      <c r="I28" s="2">
        <v>2.5555555555555554</v>
      </c>
      <c r="J28" s="2">
        <v>0.33333333333333331</v>
      </c>
      <c r="K28" s="2">
        <v>4</v>
      </c>
      <c r="L28" s="2">
        <v>6</v>
      </c>
      <c r="M28" s="2">
        <v>2</v>
      </c>
      <c r="N28" s="2">
        <v>9</v>
      </c>
      <c r="O28" s="2">
        <v>0</v>
      </c>
      <c r="P28" s="2">
        <v>3</v>
      </c>
      <c r="Q28" s="2">
        <v>0</v>
      </c>
      <c r="R28" s="2">
        <v>0</v>
      </c>
      <c r="S28" s="2">
        <v>1.3333333333333333</v>
      </c>
      <c r="T28" s="2">
        <v>1.0929064207169994</v>
      </c>
      <c r="U28" s="2">
        <v>0.66666666666666663</v>
      </c>
      <c r="V28" s="2">
        <v>2.9202359113225387</v>
      </c>
    </row>
    <row r="29" spans="1:22">
      <c r="A29" s="11">
        <v>1085</v>
      </c>
      <c r="B29" s="2">
        <v>14</v>
      </c>
      <c r="C29" s="2">
        <v>0.7142857142857143</v>
      </c>
      <c r="D29" s="2">
        <v>0</v>
      </c>
      <c r="E29" s="2">
        <v>0</v>
      </c>
      <c r="F29" s="2">
        <v>0.21428571428571427</v>
      </c>
      <c r="G29" s="2">
        <v>0.21428571428571427</v>
      </c>
      <c r="H29" s="2">
        <v>0</v>
      </c>
      <c r="I29" s="2">
        <v>0.35714285714285715</v>
      </c>
      <c r="J29" s="2">
        <v>0.5</v>
      </c>
      <c r="K29" s="2">
        <v>2</v>
      </c>
      <c r="L29" s="2">
        <v>3</v>
      </c>
      <c r="M29" s="2">
        <v>0</v>
      </c>
      <c r="N29" s="2">
        <v>3</v>
      </c>
      <c r="O29" s="2">
        <v>0</v>
      </c>
      <c r="P29" s="2">
        <v>0</v>
      </c>
      <c r="Q29" s="2">
        <v>0</v>
      </c>
      <c r="R29" s="2">
        <v>0</v>
      </c>
      <c r="S29" s="2">
        <v>0.57893422352183943</v>
      </c>
      <c r="T29" s="2">
        <v>0.80178372573727319</v>
      </c>
      <c r="U29" s="2">
        <v>0</v>
      </c>
      <c r="V29" s="2">
        <v>0.928782731664065</v>
      </c>
    </row>
    <row r="30" spans="1:22">
      <c r="A30" s="11">
        <v>1740</v>
      </c>
      <c r="B30" s="2">
        <v>11</v>
      </c>
      <c r="C30" s="2">
        <v>0.63636363636363635</v>
      </c>
      <c r="D30" s="2">
        <v>0</v>
      </c>
      <c r="E30" s="2">
        <v>0</v>
      </c>
      <c r="F30" s="2">
        <v>0.81818181818181823</v>
      </c>
      <c r="G30" s="2">
        <v>0.18181818181818182</v>
      </c>
      <c r="H30" s="2">
        <v>0.81818181818181823</v>
      </c>
      <c r="I30" s="2">
        <v>1.6363636363636365</v>
      </c>
      <c r="J30" s="2">
        <v>0.63636363636363635</v>
      </c>
      <c r="K30" s="2">
        <v>3</v>
      </c>
      <c r="L30" s="2">
        <v>1</v>
      </c>
      <c r="M30" s="2">
        <v>4</v>
      </c>
      <c r="N30" s="2">
        <v>8</v>
      </c>
      <c r="O30" s="2">
        <v>0</v>
      </c>
      <c r="P30" s="2">
        <v>0</v>
      </c>
      <c r="Q30" s="2">
        <v>0</v>
      </c>
      <c r="R30" s="2">
        <v>0</v>
      </c>
      <c r="S30" s="2">
        <v>1.2504544628399563</v>
      </c>
      <c r="T30" s="2">
        <v>0.40451991747794525</v>
      </c>
      <c r="U30" s="2">
        <v>1.4012980994907414</v>
      </c>
      <c r="V30" s="2">
        <v>2.8380531098880892</v>
      </c>
    </row>
    <row r="31" spans="1:22">
      <c r="A31" s="11">
        <v>1973</v>
      </c>
      <c r="B31" s="2">
        <v>10</v>
      </c>
      <c r="C31" s="2">
        <v>0.9</v>
      </c>
      <c r="D31" s="2">
        <v>0</v>
      </c>
      <c r="E31" s="2">
        <v>0</v>
      </c>
      <c r="F31" s="2">
        <v>0.3</v>
      </c>
      <c r="G31" s="2">
        <v>0.2</v>
      </c>
      <c r="H31" s="2">
        <v>0</v>
      </c>
      <c r="I31" s="2">
        <v>0.8</v>
      </c>
      <c r="J31" s="2">
        <v>0.5</v>
      </c>
      <c r="K31" s="2">
        <v>3</v>
      </c>
      <c r="L31" s="2">
        <v>1</v>
      </c>
      <c r="M31" s="2">
        <v>0</v>
      </c>
      <c r="N31" s="2">
        <v>3</v>
      </c>
      <c r="O31" s="2">
        <v>0</v>
      </c>
      <c r="P31" s="2">
        <v>0</v>
      </c>
      <c r="Q31" s="2">
        <v>0</v>
      </c>
      <c r="R31" s="2">
        <v>0</v>
      </c>
      <c r="S31" s="2">
        <v>0.94868329805051377</v>
      </c>
      <c r="T31" s="2">
        <v>0.4216370213557839</v>
      </c>
      <c r="U31" s="2">
        <v>0</v>
      </c>
      <c r="V31" s="2">
        <v>0.91893658347268148</v>
      </c>
    </row>
    <row r="32" spans="1:22">
      <c r="A32" s="11">
        <v>1991</v>
      </c>
      <c r="B32" s="2">
        <v>12</v>
      </c>
      <c r="C32" s="2">
        <v>0.91666666666666663</v>
      </c>
      <c r="D32" s="2">
        <v>8.3333333333333329E-2</v>
      </c>
      <c r="E32" s="2">
        <v>0.33333333333333331</v>
      </c>
      <c r="F32" s="2">
        <v>0.91666666666666663</v>
      </c>
      <c r="G32" s="2">
        <v>0.16666666666666666</v>
      </c>
      <c r="H32" s="2">
        <v>1.6666666666666667</v>
      </c>
      <c r="I32" s="2">
        <v>0</v>
      </c>
      <c r="J32" s="2">
        <v>0.66666666666666663</v>
      </c>
      <c r="K32" s="2">
        <v>4</v>
      </c>
      <c r="L32" s="2">
        <v>2</v>
      </c>
      <c r="M32" s="2">
        <v>5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1.378954368902449</v>
      </c>
      <c r="T32" s="2">
        <v>0.57735026918962573</v>
      </c>
      <c r="U32" s="2">
        <v>1.8257418583505536</v>
      </c>
      <c r="V32" s="2">
        <v>0</v>
      </c>
    </row>
    <row r="33" spans="1:22">
      <c r="A33" s="11">
        <v>2170</v>
      </c>
      <c r="B33" s="2">
        <v>8</v>
      </c>
      <c r="C33" s="2">
        <v>0.75</v>
      </c>
      <c r="D33" s="2">
        <v>1</v>
      </c>
      <c r="E33" s="2">
        <v>0</v>
      </c>
      <c r="F33" s="2">
        <v>2.5</v>
      </c>
      <c r="G33" s="2">
        <v>1.75</v>
      </c>
      <c r="H33" s="2">
        <v>0.75</v>
      </c>
      <c r="I33" s="2">
        <v>6.75</v>
      </c>
      <c r="J33" s="2">
        <v>0.375</v>
      </c>
      <c r="K33" s="2">
        <v>7</v>
      </c>
      <c r="L33" s="2">
        <v>5</v>
      </c>
      <c r="M33" s="2">
        <v>3</v>
      </c>
      <c r="N33" s="2">
        <v>9</v>
      </c>
      <c r="O33" s="2">
        <v>0</v>
      </c>
      <c r="P33" s="2">
        <v>0</v>
      </c>
      <c r="Q33" s="2">
        <v>0</v>
      </c>
      <c r="R33" s="2">
        <v>4</v>
      </c>
      <c r="S33" s="2">
        <v>2.6186146828319083</v>
      </c>
      <c r="T33" s="2">
        <v>1.8322507626258087</v>
      </c>
      <c r="U33" s="2">
        <v>1.3887301496588271</v>
      </c>
      <c r="V33" s="2">
        <v>1.5811388300841898</v>
      </c>
    </row>
    <row r="34" spans="1:22">
      <c r="A34" s="11">
        <v>2785</v>
      </c>
      <c r="B34" s="2">
        <v>9</v>
      </c>
      <c r="C34" s="2">
        <v>1</v>
      </c>
      <c r="D34" s="2">
        <v>0</v>
      </c>
      <c r="E34" s="2">
        <v>0</v>
      </c>
      <c r="F34" s="2">
        <v>0.44444444444444442</v>
      </c>
      <c r="G34" s="2">
        <v>0.1111111111111111</v>
      </c>
      <c r="H34" s="2">
        <v>0</v>
      </c>
      <c r="I34" s="2">
        <v>2</v>
      </c>
      <c r="J34" s="2">
        <v>0.44444444444444442</v>
      </c>
      <c r="K34" s="2">
        <v>2</v>
      </c>
      <c r="L34" s="2">
        <v>1</v>
      </c>
      <c r="M34" s="2">
        <v>0</v>
      </c>
      <c r="N34" s="2">
        <v>5</v>
      </c>
      <c r="O34" s="2">
        <v>0</v>
      </c>
      <c r="P34" s="2">
        <v>0</v>
      </c>
      <c r="Q34" s="2">
        <v>0</v>
      </c>
      <c r="R34" s="2">
        <v>0</v>
      </c>
      <c r="S34" s="2">
        <v>0.88191710368819687</v>
      </c>
      <c r="T34" s="2">
        <v>0.33333333333333331</v>
      </c>
      <c r="U34" s="2">
        <v>0</v>
      </c>
      <c r="V34" s="2">
        <v>1.5811388300841898</v>
      </c>
    </row>
    <row r="35" spans="1:22">
      <c r="A35" s="11">
        <v>3146</v>
      </c>
      <c r="B35" s="2">
        <v>8</v>
      </c>
      <c r="C35" s="2">
        <v>0.875</v>
      </c>
      <c r="D35" s="2">
        <v>0.5</v>
      </c>
      <c r="E35" s="2">
        <v>0</v>
      </c>
      <c r="F35" s="2">
        <v>1.25</v>
      </c>
      <c r="G35" s="2">
        <v>1.5</v>
      </c>
      <c r="H35" s="2">
        <v>0</v>
      </c>
      <c r="I35" s="2">
        <v>4.125</v>
      </c>
      <c r="J35" s="2">
        <v>0.875</v>
      </c>
      <c r="K35" s="2">
        <v>3</v>
      </c>
      <c r="L35" s="2">
        <v>6</v>
      </c>
      <c r="M35" s="2">
        <v>0</v>
      </c>
      <c r="N35" s="2">
        <v>8</v>
      </c>
      <c r="O35" s="2">
        <v>0</v>
      </c>
      <c r="P35" s="2">
        <v>0</v>
      </c>
      <c r="Q35" s="2">
        <v>0</v>
      </c>
      <c r="R35" s="2">
        <v>0</v>
      </c>
      <c r="S35" s="2">
        <v>1.0350983390135313</v>
      </c>
      <c r="T35" s="2">
        <v>2</v>
      </c>
      <c r="U35" s="2">
        <v>0</v>
      </c>
      <c r="V35" s="2">
        <v>3.3567628964311944</v>
      </c>
    </row>
    <row r="36" spans="1:22">
      <c r="A36" s="11">
        <v>3147</v>
      </c>
      <c r="B36" s="2">
        <v>1</v>
      </c>
      <c r="C36" s="2">
        <v>1</v>
      </c>
      <c r="D36" s="2">
        <v>0</v>
      </c>
      <c r="E36" s="2">
        <v>0</v>
      </c>
      <c r="F36" s="2">
        <v>2</v>
      </c>
      <c r="G36" s="2">
        <v>3</v>
      </c>
      <c r="H36" s="2">
        <v>0</v>
      </c>
      <c r="I36" s="2">
        <v>4</v>
      </c>
      <c r="J36" s="2">
        <v>1</v>
      </c>
      <c r="K36" s="2">
        <v>2</v>
      </c>
      <c r="L36" s="2">
        <v>3</v>
      </c>
      <c r="M36" s="2">
        <v>0</v>
      </c>
      <c r="N36" s="2">
        <v>4</v>
      </c>
      <c r="O36" s="2">
        <v>2</v>
      </c>
      <c r="P36" s="2">
        <v>3</v>
      </c>
      <c r="Q36" s="2">
        <v>0</v>
      </c>
      <c r="R36" s="2">
        <v>4</v>
      </c>
      <c r="S36" s="2" t="e">
        <v>#DIV/0!</v>
      </c>
      <c r="T36" s="2" t="e">
        <v>#DIV/0!</v>
      </c>
      <c r="U36" s="2" t="e">
        <v>#DIV/0!</v>
      </c>
      <c r="V36" s="2" t="e">
        <v>#DIV/0!</v>
      </c>
    </row>
    <row r="37" spans="1:22">
      <c r="A37" s="11">
        <v>3182</v>
      </c>
      <c r="B37" s="2">
        <v>9</v>
      </c>
      <c r="C37" s="2">
        <v>1</v>
      </c>
      <c r="D37" s="2">
        <v>0.22222222222222221</v>
      </c>
      <c r="E37" s="2">
        <v>0</v>
      </c>
      <c r="F37" s="2">
        <v>2.1111111111111112</v>
      </c>
      <c r="G37" s="2">
        <v>0.1111111111111111</v>
      </c>
      <c r="H37" s="2">
        <v>0</v>
      </c>
      <c r="I37" s="2">
        <v>1.2222222222222223</v>
      </c>
      <c r="J37" s="2">
        <v>0.66666666666666663</v>
      </c>
      <c r="K37" s="2">
        <v>4</v>
      </c>
      <c r="L37" s="2">
        <v>1</v>
      </c>
      <c r="M37" s="2">
        <v>0</v>
      </c>
      <c r="N37" s="2">
        <v>4</v>
      </c>
      <c r="O37" s="2">
        <v>0</v>
      </c>
      <c r="P37" s="2">
        <v>0</v>
      </c>
      <c r="Q37" s="2">
        <v>0</v>
      </c>
      <c r="R37" s="2">
        <v>0</v>
      </c>
      <c r="S37" s="2">
        <v>1.3642254619787415</v>
      </c>
      <c r="T37" s="2">
        <v>0.33333333333333331</v>
      </c>
      <c r="U37" s="2">
        <v>0</v>
      </c>
      <c r="V37" s="2">
        <v>1.4813657362192649</v>
      </c>
    </row>
    <row r="38" spans="1:22">
      <c r="A38" s="11">
        <v>3464</v>
      </c>
      <c r="B38" s="2">
        <v>13</v>
      </c>
      <c r="C38" s="2">
        <v>0.69230769230769229</v>
      </c>
      <c r="D38" s="2">
        <v>0.84615384615384615</v>
      </c>
      <c r="E38" s="2">
        <v>0</v>
      </c>
      <c r="F38" s="2">
        <v>1.7692307692307692</v>
      </c>
      <c r="G38" s="2">
        <v>1.4615384615384615</v>
      </c>
      <c r="H38" s="2">
        <v>1.0769230769230769</v>
      </c>
      <c r="I38" s="2">
        <v>2.4615384615384617</v>
      </c>
      <c r="J38" s="2">
        <v>0.69230769230769229</v>
      </c>
      <c r="K38" s="2">
        <v>3</v>
      </c>
      <c r="L38" s="2">
        <v>5</v>
      </c>
      <c r="M38" s="2">
        <v>7</v>
      </c>
      <c r="N38" s="2">
        <v>9</v>
      </c>
      <c r="O38" s="2">
        <v>0</v>
      </c>
      <c r="P38" s="2">
        <v>0</v>
      </c>
      <c r="Q38" s="2">
        <v>0</v>
      </c>
      <c r="R38" s="2">
        <v>0</v>
      </c>
      <c r="S38" s="2">
        <v>1.0127393670836666</v>
      </c>
      <c r="T38" s="2">
        <v>1.8980421761815784</v>
      </c>
      <c r="U38" s="2">
        <v>2.2898885875932358</v>
      </c>
      <c r="V38" s="2">
        <v>3.2304639660422518</v>
      </c>
    </row>
    <row r="39" spans="1:22">
      <c r="A39" s="11">
        <v>4987</v>
      </c>
      <c r="B39" s="2">
        <v>13</v>
      </c>
      <c r="C39" s="2">
        <v>1</v>
      </c>
      <c r="D39" s="2">
        <v>0</v>
      </c>
      <c r="E39" s="2">
        <v>0</v>
      </c>
      <c r="F39" s="2">
        <v>0.92307692307692313</v>
      </c>
      <c r="G39" s="2">
        <v>0.30769230769230771</v>
      </c>
      <c r="H39" s="2">
        <v>0</v>
      </c>
      <c r="I39" s="2">
        <v>1.4615384615384615</v>
      </c>
      <c r="J39" s="2">
        <v>0.46153846153846156</v>
      </c>
      <c r="K39" s="2">
        <v>3</v>
      </c>
      <c r="L39" s="2">
        <v>3</v>
      </c>
      <c r="M39" s="2">
        <v>0</v>
      </c>
      <c r="N39" s="2">
        <v>5</v>
      </c>
      <c r="O39" s="2">
        <v>0</v>
      </c>
      <c r="P39" s="2">
        <v>0</v>
      </c>
      <c r="Q39" s="2">
        <v>0</v>
      </c>
      <c r="R39" s="2">
        <v>0</v>
      </c>
      <c r="S39" s="2">
        <v>1.1151635501529555</v>
      </c>
      <c r="T39" s="2">
        <v>0.85485041426511044</v>
      </c>
      <c r="U39" s="2">
        <v>0</v>
      </c>
      <c r="V39" s="2">
        <v>1.8081014266989472</v>
      </c>
    </row>
    <row r="40" spans="1:22">
      <c r="A40" s="11">
        <v>5129</v>
      </c>
      <c r="B40" s="2">
        <v>11</v>
      </c>
      <c r="C40" s="2">
        <v>0.81818181818181823</v>
      </c>
      <c r="D40" s="2">
        <v>0</v>
      </c>
      <c r="E40" s="2">
        <v>0</v>
      </c>
      <c r="F40" s="2">
        <v>0.90909090909090906</v>
      </c>
      <c r="G40" s="2">
        <v>0</v>
      </c>
      <c r="H40" s="2">
        <v>0</v>
      </c>
      <c r="I40" s="2">
        <v>4</v>
      </c>
      <c r="J40" s="2">
        <v>0.45454545454545453</v>
      </c>
      <c r="K40" s="2">
        <v>3</v>
      </c>
      <c r="L40" s="2">
        <v>0</v>
      </c>
      <c r="M40" s="2">
        <v>0</v>
      </c>
      <c r="N40" s="2">
        <v>9</v>
      </c>
      <c r="O40" s="2">
        <v>0</v>
      </c>
      <c r="P40" s="2">
        <v>0</v>
      </c>
      <c r="Q40" s="2">
        <v>0</v>
      </c>
      <c r="R40" s="2">
        <v>0</v>
      </c>
      <c r="S40" s="2">
        <v>0.94387980744853894</v>
      </c>
      <c r="T40" s="2">
        <v>0</v>
      </c>
      <c r="U40" s="2">
        <v>0</v>
      </c>
      <c r="V40" s="2">
        <v>2.6457513110645907</v>
      </c>
    </row>
    <row r="41" spans="1:22">
      <c r="A41" s="11">
        <v>5142</v>
      </c>
      <c r="B41" s="2">
        <v>12</v>
      </c>
      <c r="C41" s="2">
        <v>0.83333333333333337</v>
      </c>
      <c r="D41" s="2">
        <v>0.16666666666666666</v>
      </c>
      <c r="E41" s="2">
        <v>0</v>
      </c>
      <c r="F41" s="2">
        <v>1.1666666666666667</v>
      </c>
      <c r="G41" s="2">
        <v>0.75</v>
      </c>
      <c r="H41" s="2">
        <v>0.58333333333333337</v>
      </c>
      <c r="I41" s="2">
        <v>1.75</v>
      </c>
      <c r="J41" s="2">
        <v>0.25</v>
      </c>
      <c r="K41" s="2">
        <v>4</v>
      </c>
      <c r="L41" s="2">
        <v>3</v>
      </c>
      <c r="M41" s="2">
        <v>4</v>
      </c>
      <c r="N41" s="2">
        <v>4</v>
      </c>
      <c r="O41" s="2">
        <v>0</v>
      </c>
      <c r="P41" s="2">
        <v>0</v>
      </c>
      <c r="Q41" s="2">
        <v>0</v>
      </c>
      <c r="R41" s="2">
        <v>0</v>
      </c>
      <c r="S41" s="2">
        <v>1.1934162828797101</v>
      </c>
      <c r="T41" s="2">
        <v>1.2154310870109943</v>
      </c>
      <c r="U41" s="2">
        <v>1.378954368902449</v>
      </c>
      <c r="V41" s="2">
        <v>1.6583123951776999</v>
      </c>
    </row>
    <row r="42" spans="1:22">
      <c r="A42" s="11">
        <v>5686</v>
      </c>
      <c r="B42" s="2">
        <v>11</v>
      </c>
      <c r="C42" s="2">
        <v>0.54545454545454541</v>
      </c>
      <c r="D42" s="2">
        <v>0.72727272727272729</v>
      </c>
      <c r="E42" s="2">
        <v>0</v>
      </c>
      <c r="F42" s="2">
        <v>2.1818181818181817</v>
      </c>
      <c r="G42" s="2">
        <v>2.8181818181818183</v>
      </c>
      <c r="H42" s="2">
        <v>0.81818181818181823</v>
      </c>
      <c r="I42" s="2">
        <v>5.2727272727272725</v>
      </c>
      <c r="J42" s="2">
        <v>0.27272727272727271</v>
      </c>
      <c r="K42" s="2">
        <v>5</v>
      </c>
      <c r="L42" s="2">
        <v>8</v>
      </c>
      <c r="M42" s="2">
        <v>6</v>
      </c>
      <c r="N42" s="2">
        <v>9</v>
      </c>
      <c r="O42" s="2">
        <v>0</v>
      </c>
      <c r="P42" s="2">
        <v>0</v>
      </c>
      <c r="Q42" s="2">
        <v>0</v>
      </c>
      <c r="R42" s="2">
        <v>0</v>
      </c>
      <c r="S42" s="2">
        <v>2.0404990476930793</v>
      </c>
      <c r="T42" s="2">
        <v>2.7502066038093145</v>
      </c>
      <c r="U42" s="2">
        <v>1.9400093720485898</v>
      </c>
      <c r="V42" s="2">
        <v>3.2891004572955533</v>
      </c>
    </row>
    <row r="43" spans="1:22">
      <c r="A43" s="11">
        <v>6333</v>
      </c>
      <c r="B43" s="2">
        <v>11</v>
      </c>
      <c r="C43" s="2">
        <v>0.90909090909090906</v>
      </c>
      <c r="D43" s="2">
        <v>9.0909090909090912E-2</v>
      </c>
      <c r="E43" s="2">
        <v>0</v>
      </c>
      <c r="F43" s="2">
        <v>0.72727272727272729</v>
      </c>
      <c r="G43" s="2">
        <v>0.27272727272727271</v>
      </c>
      <c r="H43" s="2">
        <v>0.18181818181818182</v>
      </c>
      <c r="I43" s="2">
        <v>0.81818181818181823</v>
      </c>
      <c r="J43" s="2">
        <v>0.36363636363636365</v>
      </c>
      <c r="K43" s="2">
        <v>3</v>
      </c>
      <c r="L43" s="2">
        <v>1</v>
      </c>
      <c r="M43" s="2">
        <v>1</v>
      </c>
      <c r="N43" s="2">
        <v>4</v>
      </c>
      <c r="O43" s="2">
        <v>0</v>
      </c>
      <c r="P43" s="2">
        <v>0</v>
      </c>
      <c r="Q43" s="2">
        <v>0</v>
      </c>
      <c r="R43" s="2">
        <v>0</v>
      </c>
      <c r="S43" s="2">
        <v>1.009049958219026</v>
      </c>
      <c r="T43" s="2">
        <v>0.46709936649691375</v>
      </c>
      <c r="U43" s="2">
        <v>0.40451991747794525</v>
      </c>
      <c r="V43" s="2">
        <v>1.3280197150781925</v>
      </c>
    </row>
    <row r="44" spans="1:22">
      <c r="A44" s="11">
        <v>6895</v>
      </c>
      <c r="B44" s="2">
        <v>13</v>
      </c>
      <c r="C44" s="2">
        <v>1</v>
      </c>
      <c r="D44" s="2">
        <v>0</v>
      </c>
      <c r="E44" s="2">
        <v>0</v>
      </c>
      <c r="F44" s="2">
        <v>0.46153846153846156</v>
      </c>
      <c r="G44" s="2">
        <v>0.30769230769230771</v>
      </c>
      <c r="H44" s="2">
        <v>0</v>
      </c>
      <c r="I44" s="2">
        <v>0.84615384615384615</v>
      </c>
      <c r="J44" s="2">
        <v>0.46153846153846156</v>
      </c>
      <c r="K44" s="2">
        <v>2</v>
      </c>
      <c r="L44" s="2">
        <v>2</v>
      </c>
      <c r="M44" s="2">
        <v>0</v>
      </c>
      <c r="N44" s="2">
        <v>5</v>
      </c>
      <c r="O44" s="2">
        <v>0</v>
      </c>
      <c r="P44" s="2">
        <v>0</v>
      </c>
      <c r="Q44" s="2">
        <v>0</v>
      </c>
      <c r="R44" s="2">
        <v>0</v>
      </c>
      <c r="S44" s="2">
        <v>0.77625002580618474</v>
      </c>
      <c r="T44" s="2">
        <v>0.63042517195611525</v>
      </c>
      <c r="U44" s="2">
        <v>0</v>
      </c>
      <c r="V44" s="2">
        <v>1.5191090506255001</v>
      </c>
    </row>
    <row r="45" spans="1:22">
      <c r="A45" s="11">
        <v>177</v>
      </c>
      <c r="B45" s="2">
        <v>12</v>
      </c>
      <c r="C45" s="2">
        <v>1</v>
      </c>
      <c r="D45" s="2">
        <v>0.16666666666666666</v>
      </c>
      <c r="E45" s="2">
        <v>0.16666666666666666</v>
      </c>
      <c r="F45" s="2">
        <v>0.5</v>
      </c>
      <c r="G45" s="2">
        <v>1</v>
      </c>
      <c r="H45" s="2">
        <v>3.9166666666666665</v>
      </c>
      <c r="I45" s="2">
        <v>1.25</v>
      </c>
      <c r="J45" s="2">
        <v>1</v>
      </c>
      <c r="K45" s="2">
        <v>2</v>
      </c>
      <c r="L45" s="2">
        <v>4</v>
      </c>
      <c r="M45" s="2">
        <v>8</v>
      </c>
      <c r="N45" s="2">
        <v>7</v>
      </c>
      <c r="O45" s="2">
        <v>0</v>
      </c>
      <c r="P45" s="2">
        <v>0</v>
      </c>
      <c r="Q45" s="2">
        <v>0</v>
      </c>
      <c r="R45" s="2">
        <v>0</v>
      </c>
      <c r="S45" s="2">
        <v>0.90453403373329089</v>
      </c>
      <c r="T45" s="2">
        <v>1.5954480704349312</v>
      </c>
      <c r="U45" s="2">
        <v>2.5746432527221859</v>
      </c>
      <c r="V45" s="2">
        <v>2.5271255679850251</v>
      </c>
    </row>
    <row r="46" spans="1:22">
      <c r="A46" s="11">
        <v>839</v>
      </c>
      <c r="B46" s="2">
        <v>9</v>
      </c>
      <c r="C46" s="2">
        <v>0.77777777777777779</v>
      </c>
      <c r="D46" s="2">
        <v>0.1111111111111111</v>
      </c>
      <c r="E46" s="2">
        <v>0</v>
      </c>
      <c r="F46" s="2">
        <v>1.2222222222222223</v>
      </c>
      <c r="G46" s="2">
        <v>1.6666666666666667</v>
      </c>
      <c r="H46" s="2">
        <v>2.8888888888888888</v>
      </c>
      <c r="I46" s="2">
        <v>0.88888888888888884</v>
      </c>
      <c r="J46" s="2">
        <v>1</v>
      </c>
      <c r="K46" s="2">
        <v>6</v>
      </c>
      <c r="L46" s="2">
        <v>5</v>
      </c>
      <c r="M46" s="2">
        <v>6</v>
      </c>
      <c r="N46" s="2">
        <v>4</v>
      </c>
      <c r="O46" s="2">
        <v>0</v>
      </c>
      <c r="P46" s="2">
        <v>0</v>
      </c>
      <c r="Q46" s="2">
        <v>0</v>
      </c>
      <c r="R46" s="2">
        <v>0</v>
      </c>
      <c r="S46" s="2">
        <v>2.0480342879074178</v>
      </c>
      <c r="T46" s="2">
        <v>2.0615528128088303</v>
      </c>
      <c r="U46" s="2">
        <v>2.3687784005919825</v>
      </c>
      <c r="V46" s="2">
        <v>1.5365907428821479</v>
      </c>
    </row>
    <row r="47" spans="1:22">
      <c r="A47" s="11">
        <v>6812</v>
      </c>
      <c r="B47" s="2">
        <v>7</v>
      </c>
      <c r="C47" s="2">
        <v>0.5714285714285714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0.7142857142857143</v>
      </c>
      <c r="J47" s="2">
        <v>0.5714285714285714</v>
      </c>
      <c r="K47" s="2">
        <v>0</v>
      </c>
      <c r="L47" s="2">
        <v>0</v>
      </c>
      <c r="M47" s="2">
        <v>0</v>
      </c>
      <c r="N47" s="2">
        <v>2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0.95118973121134187</v>
      </c>
    </row>
    <row r="48" spans="1:22">
      <c r="A48" s="11">
        <v>180</v>
      </c>
      <c r="B48" s="2">
        <v>1</v>
      </c>
      <c r="C48" s="2">
        <v>1</v>
      </c>
      <c r="D48" s="2">
        <v>0</v>
      </c>
      <c r="E48" s="2">
        <v>1</v>
      </c>
      <c r="F48" s="2">
        <v>0</v>
      </c>
      <c r="G48" s="2">
        <v>0</v>
      </c>
      <c r="H48" s="2">
        <v>0</v>
      </c>
      <c r="I48" s="2">
        <v>8</v>
      </c>
      <c r="J48" s="2">
        <v>1</v>
      </c>
      <c r="K48" s="2">
        <v>0</v>
      </c>
      <c r="L48" s="2">
        <v>0</v>
      </c>
      <c r="M48" s="2">
        <v>0</v>
      </c>
      <c r="N48" s="2">
        <v>8</v>
      </c>
      <c r="O48" s="2">
        <v>0</v>
      </c>
      <c r="P48" s="2">
        <v>0</v>
      </c>
      <c r="Q48" s="2">
        <v>0</v>
      </c>
      <c r="R48" s="2">
        <v>8</v>
      </c>
      <c r="S48" s="2" t="e">
        <v>#DIV/0!</v>
      </c>
      <c r="T48" s="2" t="e">
        <v>#DIV/0!</v>
      </c>
      <c r="U48" s="2" t="e">
        <v>#DIV/0!</v>
      </c>
      <c r="V48" s="2" t="e">
        <v>#DIV/0!</v>
      </c>
    </row>
    <row r="49" spans="1:22">
      <c r="A49" s="11">
        <v>5748</v>
      </c>
      <c r="B49" s="2">
        <v>1</v>
      </c>
      <c r="C49" s="2">
        <v>0</v>
      </c>
      <c r="D49" s="2">
        <v>0</v>
      </c>
      <c r="E49" s="2">
        <v>0</v>
      </c>
      <c r="F49" s="2">
        <v>2</v>
      </c>
      <c r="G49" s="2">
        <v>0</v>
      </c>
      <c r="H49" s="2">
        <v>1</v>
      </c>
      <c r="I49" s="2">
        <v>0</v>
      </c>
      <c r="J49" s="2">
        <v>1</v>
      </c>
      <c r="K49" s="2">
        <v>2</v>
      </c>
      <c r="L49" s="2">
        <v>0</v>
      </c>
      <c r="M49" s="2">
        <v>1</v>
      </c>
      <c r="N49" s="2">
        <v>0</v>
      </c>
      <c r="O49" s="2">
        <v>2</v>
      </c>
      <c r="P49" s="2">
        <v>0</v>
      </c>
      <c r="Q49" s="2">
        <v>1</v>
      </c>
      <c r="R49" s="2">
        <v>0</v>
      </c>
      <c r="S49" s="2" t="e">
        <v>#DIV/0!</v>
      </c>
      <c r="T49" s="2" t="e">
        <v>#DIV/0!</v>
      </c>
      <c r="U49" s="2" t="e">
        <v>#DIV/0!</v>
      </c>
      <c r="V49" s="2" t="e">
        <v>#DIV/0!</v>
      </c>
    </row>
    <row r="50" spans="1:22">
      <c r="A50" s="11">
        <v>6872</v>
      </c>
      <c r="B50" s="2">
        <v>1</v>
      </c>
      <c r="C50" s="2">
        <v>1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 t="e">
        <v>#DIV/0!</v>
      </c>
      <c r="T50" s="2" t="e">
        <v>#DIV/0!</v>
      </c>
      <c r="U50" s="2" t="e">
        <v>#DIV/0!</v>
      </c>
      <c r="V50" s="2" t="e">
        <v>#DIV/0!</v>
      </c>
    </row>
    <row r="51" spans="1:22">
      <c r="A51" s="11">
        <v>2838</v>
      </c>
      <c r="B51" s="2">
        <v>1</v>
      </c>
      <c r="C51" s="2">
        <v>1</v>
      </c>
      <c r="D51" s="2">
        <v>1</v>
      </c>
      <c r="E51" s="2">
        <v>0</v>
      </c>
      <c r="F51" s="2">
        <v>0</v>
      </c>
      <c r="G51" s="2">
        <v>0</v>
      </c>
      <c r="H51" s="2">
        <v>3</v>
      </c>
      <c r="I51" s="2">
        <v>0</v>
      </c>
      <c r="J51" s="2">
        <v>1</v>
      </c>
      <c r="K51" s="2">
        <v>0</v>
      </c>
      <c r="L51" s="2">
        <v>0</v>
      </c>
      <c r="M51" s="2">
        <v>3</v>
      </c>
      <c r="N51" s="2">
        <v>0</v>
      </c>
      <c r="O51" s="2">
        <v>0</v>
      </c>
      <c r="P51" s="2">
        <v>0</v>
      </c>
      <c r="Q51" s="2">
        <v>3</v>
      </c>
      <c r="R51" s="2">
        <v>0</v>
      </c>
      <c r="S51" s="2" t="e">
        <v>#DIV/0!</v>
      </c>
      <c r="T51" s="2" t="e">
        <v>#DIV/0!</v>
      </c>
      <c r="U51" s="2" t="e">
        <v>#DIV/0!</v>
      </c>
      <c r="V51" s="2" t="e">
        <v>#DIV/0!</v>
      </c>
    </row>
    <row r="52" spans="1:22">
      <c r="A52" s="11">
        <v>5132</v>
      </c>
      <c r="B52" s="2">
        <v>1</v>
      </c>
      <c r="C52" s="2">
        <v>1</v>
      </c>
      <c r="D52" s="2">
        <v>0</v>
      </c>
      <c r="E52" s="2">
        <v>0</v>
      </c>
      <c r="F52" s="2">
        <v>3</v>
      </c>
      <c r="G52" s="2">
        <v>4</v>
      </c>
      <c r="H52" s="2">
        <v>4</v>
      </c>
      <c r="I52" s="2">
        <v>3</v>
      </c>
      <c r="J52" s="2">
        <v>0</v>
      </c>
      <c r="K52" s="2">
        <v>3</v>
      </c>
      <c r="L52" s="2">
        <v>4</v>
      </c>
      <c r="M52" s="2">
        <v>4</v>
      </c>
      <c r="N52" s="2">
        <v>3</v>
      </c>
      <c r="O52" s="2">
        <v>3</v>
      </c>
      <c r="P52" s="2">
        <v>4</v>
      </c>
      <c r="Q52" s="2">
        <v>4</v>
      </c>
      <c r="R52" s="2">
        <v>3</v>
      </c>
      <c r="S52" s="2" t="e">
        <v>#DIV/0!</v>
      </c>
      <c r="T52" s="2" t="e">
        <v>#DIV/0!</v>
      </c>
      <c r="U52" s="2" t="e">
        <v>#DIV/0!</v>
      </c>
      <c r="V52" s="2" t="e">
        <v>#DIV/0!</v>
      </c>
    </row>
    <row r="53" spans="1:22">
      <c r="A53" s="11">
        <v>5812</v>
      </c>
      <c r="B53" s="2">
        <v>1</v>
      </c>
      <c r="C53" s="2">
        <v>1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2</v>
      </c>
      <c r="J53" s="2">
        <v>0</v>
      </c>
      <c r="K53" s="2">
        <v>0</v>
      </c>
      <c r="L53" s="2">
        <v>0</v>
      </c>
      <c r="M53" s="2">
        <v>0</v>
      </c>
      <c r="N53" s="2">
        <v>2</v>
      </c>
      <c r="O53" s="2">
        <v>0</v>
      </c>
      <c r="P53" s="2">
        <v>0</v>
      </c>
      <c r="Q53" s="2">
        <v>0</v>
      </c>
      <c r="R53" s="2">
        <v>2</v>
      </c>
      <c r="S53" s="2" t="e">
        <v>#DIV/0!</v>
      </c>
      <c r="T53" s="2" t="e">
        <v>#DIV/0!</v>
      </c>
      <c r="U53" s="2" t="e">
        <v>#DIV/0!</v>
      </c>
      <c r="V53" s="2" t="e">
        <v>#DIV/0!</v>
      </c>
    </row>
    <row r="54" spans="1:22">
      <c r="A54" s="11">
        <v>5152</v>
      </c>
      <c r="B54" s="2">
        <v>1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2</v>
      </c>
      <c r="I54" s="2">
        <v>3</v>
      </c>
      <c r="J54" s="2">
        <v>1</v>
      </c>
      <c r="K54" s="2">
        <v>0</v>
      </c>
      <c r="L54" s="2">
        <v>0</v>
      </c>
      <c r="M54" s="2">
        <v>2</v>
      </c>
      <c r="N54" s="2">
        <v>3</v>
      </c>
      <c r="O54" s="2">
        <v>0</v>
      </c>
      <c r="P54" s="2">
        <v>0</v>
      </c>
      <c r="Q54" s="2">
        <v>2</v>
      </c>
      <c r="R54" s="2">
        <v>3</v>
      </c>
      <c r="S54" s="2" t="e">
        <v>#DIV/0!</v>
      </c>
      <c r="T54" s="2" t="e">
        <v>#DIV/0!</v>
      </c>
      <c r="U54" s="2" t="e">
        <v>#DIV/0!</v>
      </c>
      <c r="V54" s="2" t="e">
        <v>#DIV/0!</v>
      </c>
    </row>
    <row r="55" spans="1:22">
      <c r="A55" s="11">
        <v>19991</v>
      </c>
      <c r="B55" s="2">
        <v>1</v>
      </c>
      <c r="C55" s="2">
        <v>1</v>
      </c>
      <c r="D55" s="2">
        <v>1</v>
      </c>
      <c r="E55" s="2">
        <v>0</v>
      </c>
      <c r="F55" s="2">
        <v>0</v>
      </c>
      <c r="G55" s="2">
        <v>0</v>
      </c>
      <c r="H55" s="2">
        <v>1</v>
      </c>
      <c r="I55" s="2">
        <v>0</v>
      </c>
      <c r="J55" s="2">
        <v>1</v>
      </c>
      <c r="K55" s="2">
        <v>0</v>
      </c>
      <c r="L55" s="2">
        <v>0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 t="e">
        <v>#DIV/0!</v>
      </c>
      <c r="T55" s="2" t="e">
        <v>#DIV/0!</v>
      </c>
      <c r="U55" s="2" t="e">
        <v>#DIV/0!</v>
      </c>
      <c r="V55" s="2" t="e">
        <v>#DIV/0!</v>
      </c>
    </row>
    <row r="56" spans="1:22">
      <c r="A56" s="11">
        <v>72</v>
      </c>
      <c r="B56" s="2">
        <v>1</v>
      </c>
      <c r="C56" s="2">
        <v>0</v>
      </c>
      <c r="D56" s="2">
        <v>1</v>
      </c>
      <c r="E56" s="2">
        <v>0</v>
      </c>
      <c r="F56" s="2">
        <v>1</v>
      </c>
      <c r="G56" s="2">
        <v>2</v>
      </c>
      <c r="H56" s="2">
        <v>3</v>
      </c>
      <c r="I56" s="2">
        <v>9</v>
      </c>
      <c r="J56" s="2">
        <v>0</v>
      </c>
      <c r="K56" s="2">
        <v>1</v>
      </c>
      <c r="L56" s="2">
        <v>2</v>
      </c>
      <c r="M56" s="2">
        <v>3</v>
      </c>
      <c r="N56" s="2">
        <v>9</v>
      </c>
      <c r="O56" s="2">
        <v>1</v>
      </c>
      <c r="P56" s="2">
        <v>2</v>
      </c>
      <c r="Q56" s="2">
        <v>3</v>
      </c>
      <c r="R56" s="2">
        <v>9</v>
      </c>
      <c r="S56" s="2" t="e">
        <v>#DIV/0!</v>
      </c>
      <c r="T56" s="2" t="e">
        <v>#DIV/0!</v>
      </c>
      <c r="U56" s="2" t="e">
        <v>#DIV/0!</v>
      </c>
      <c r="V56" s="2" t="e">
        <v>#DIV/0!</v>
      </c>
    </row>
    <row r="57" spans="1:22">
      <c r="A57" s="11">
        <v>838</v>
      </c>
      <c r="B57" s="2">
        <v>1</v>
      </c>
      <c r="C57" s="2">
        <v>1</v>
      </c>
      <c r="D57" s="2">
        <v>0</v>
      </c>
      <c r="E57" s="2">
        <v>0</v>
      </c>
      <c r="F57" s="2">
        <v>1</v>
      </c>
      <c r="G57" s="2">
        <v>1</v>
      </c>
      <c r="H57" s="2">
        <v>4</v>
      </c>
      <c r="I57" s="2">
        <v>0</v>
      </c>
      <c r="J57" s="2">
        <v>1</v>
      </c>
      <c r="K57" s="2">
        <v>1</v>
      </c>
      <c r="L57" s="2">
        <v>1</v>
      </c>
      <c r="M57" s="2">
        <v>4</v>
      </c>
      <c r="N57" s="2">
        <v>0</v>
      </c>
      <c r="O57" s="2">
        <v>1</v>
      </c>
      <c r="P57" s="2">
        <v>1</v>
      </c>
      <c r="Q57" s="2">
        <v>4</v>
      </c>
      <c r="R57" s="2">
        <v>0</v>
      </c>
      <c r="S57" s="2" t="e">
        <v>#DIV/0!</v>
      </c>
      <c r="T57" s="2" t="e">
        <v>#DIV/0!</v>
      </c>
      <c r="U57" s="2" t="e">
        <v>#DIV/0!</v>
      </c>
      <c r="V57" s="2" t="e">
        <v>#DIV/0!</v>
      </c>
    </row>
    <row r="58" spans="1:22">
      <c r="A58" s="11">
        <v>2084</v>
      </c>
      <c r="B58" s="2">
        <v>1</v>
      </c>
      <c r="C58" s="2">
        <v>0</v>
      </c>
      <c r="D58" s="2">
        <v>0</v>
      </c>
      <c r="E58" s="2">
        <v>0</v>
      </c>
      <c r="F58" s="2">
        <v>4</v>
      </c>
      <c r="G58" s="2">
        <v>2</v>
      </c>
      <c r="H58" s="2">
        <v>5</v>
      </c>
      <c r="I58" s="2">
        <v>8</v>
      </c>
      <c r="J58" s="2">
        <v>0</v>
      </c>
      <c r="K58" s="2">
        <v>4</v>
      </c>
      <c r="L58" s="2">
        <v>2</v>
      </c>
      <c r="M58" s="2">
        <v>5</v>
      </c>
      <c r="N58" s="2">
        <v>8</v>
      </c>
      <c r="O58" s="2">
        <v>4</v>
      </c>
      <c r="P58" s="2">
        <v>2</v>
      </c>
      <c r="Q58" s="2">
        <v>5</v>
      </c>
      <c r="R58" s="2">
        <v>8</v>
      </c>
      <c r="S58" s="2" t="e">
        <v>#DIV/0!</v>
      </c>
      <c r="T58" s="2" t="e">
        <v>#DIV/0!</v>
      </c>
      <c r="U58" s="2" t="e">
        <v>#DIV/0!</v>
      </c>
      <c r="V58" s="2" t="e">
        <v>#DIV/0!</v>
      </c>
    </row>
    <row r="59" spans="1:22">
      <c r="A59" s="11">
        <v>6695</v>
      </c>
      <c r="B59" s="2">
        <v>1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0</v>
      </c>
      <c r="I59" s="2">
        <v>0</v>
      </c>
      <c r="J59" s="2">
        <v>0</v>
      </c>
      <c r="K59" s="2">
        <v>1</v>
      </c>
      <c r="L59" s="2">
        <v>0</v>
      </c>
      <c r="M59" s="2">
        <v>0</v>
      </c>
      <c r="N59" s="2">
        <v>0</v>
      </c>
      <c r="O59" s="2">
        <v>1</v>
      </c>
      <c r="P59" s="2">
        <v>0</v>
      </c>
      <c r="Q59" s="2">
        <v>0</v>
      </c>
      <c r="R59" s="2">
        <v>0</v>
      </c>
      <c r="S59" s="2" t="e">
        <v>#DIV/0!</v>
      </c>
      <c r="T59" s="2" t="e">
        <v>#DIV/0!</v>
      </c>
      <c r="U59" s="2" t="e">
        <v>#DIV/0!</v>
      </c>
      <c r="V59" s="2" t="e">
        <v>#DIV/0!</v>
      </c>
    </row>
    <row r="60" spans="1:22">
      <c r="A60" s="11" t="s">
        <v>5821</v>
      </c>
      <c r="B60" s="2">
        <v>471</v>
      </c>
      <c r="C60" s="2">
        <v>0.84501061571125269</v>
      </c>
      <c r="D60" s="2">
        <v>0.2781316348195329</v>
      </c>
      <c r="E60" s="2">
        <v>7.0063694267515922E-2</v>
      </c>
      <c r="F60" s="2">
        <v>0.98726114649681529</v>
      </c>
      <c r="G60" s="2">
        <v>0.89808917197452232</v>
      </c>
      <c r="H60" s="2">
        <v>1.3715498938428874</v>
      </c>
      <c r="I60" s="2">
        <v>2.0955414012738856</v>
      </c>
      <c r="J60" s="2">
        <v>0.54352441613588109</v>
      </c>
      <c r="K60" s="2">
        <v>8</v>
      </c>
      <c r="L60" s="2">
        <v>8</v>
      </c>
      <c r="M60" s="2">
        <v>8</v>
      </c>
      <c r="N60" s="2">
        <v>9</v>
      </c>
      <c r="O60" s="2">
        <v>0</v>
      </c>
      <c r="P60" s="2">
        <v>0</v>
      </c>
      <c r="Q60" s="2">
        <v>0</v>
      </c>
      <c r="R60" s="2">
        <v>0</v>
      </c>
      <c r="S60" s="2">
        <v>1.3883432395507755</v>
      </c>
      <c r="T60" s="2">
        <v>1.6393487810938812</v>
      </c>
      <c r="U60" s="2">
        <v>2.0731201526168617</v>
      </c>
      <c r="V60" s="2">
        <v>2.7283775230690988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6"/>
  <sheetViews>
    <sheetView workbookViewId="0">
      <selection activeCell="G4" sqref="G4"/>
    </sheetView>
  </sheetViews>
  <sheetFormatPr defaultColWidth="8.85546875" defaultRowHeight="15"/>
  <cols>
    <col min="2" max="3" width="13.42578125" customWidth="1"/>
    <col min="4" max="4" width="14.7109375" customWidth="1"/>
    <col min="5" max="6" width="15.42578125" customWidth="1"/>
    <col min="7" max="7" width="15.140625" customWidth="1"/>
    <col min="8" max="8" width="18.42578125" customWidth="1"/>
    <col min="9" max="9" width="14.140625" customWidth="1"/>
  </cols>
  <sheetData>
    <row r="1" spans="1:13">
      <c r="A1" s="14"/>
      <c r="B1" s="15" t="s">
        <v>5814</v>
      </c>
      <c r="C1" s="15" t="s">
        <v>5815</v>
      </c>
      <c r="D1" s="15" t="s">
        <v>5</v>
      </c>
      <c r="E1" s="15" t="s">
        <v>5890</v>
      </c>
      <c r="F1" s="15" t="s">
        <v>5891</v>
      </c>
      <c r="G1" s="15" t="s">
        <v>20</v>
      </c>
      <c r="H1" s="15" t="s">
        <v>21</v>
      </c>
      <c r="I1" s="16" t="s">
        <v>5816</v>
      </c>
      <c r="J1" s="156" t="s">
        <v>5978</v>
      </c>
      <c r="K1" s="157" t="s">
        <v>5979</v>
      </c>
      <c r="L1" s="157" t="s">
        <v>5980</v>
      </c>
      <c r="M1" s="157" t="s">
        <v>5981</v>
      </c>
    </row>
    <row r="2" spans="1:13" s="9" customFormat="1">
      <c r="A2" s="17" t="s">
        <v>5817</v>
      </c>
      <c r="B2" s="13">
        <f>AVERAGE(MatchCleaned!C:C)</f>
        <v>0.84501061571125269</v>
      </c>
      <c r="C2" s="13">
        <f>AVERAGE(MatchCleaned!D:D)</f>
        <v>0.2781316348195329</v>
      </c>
      <c r="D2" s="13">
        <f>AVERAGE(MatchCleaned!E:E)</f>
        <v>7.0063694267515922E-2</v>
      </c>
      <c r="E2" s="13">
        <f>AVERAGE(MatchCleaned!F:F)</f>
        <v>0.98726114649681529</v>
      </c>
      <c r="F2" s="13">
        <f>AVERAGE(MatchCleaned!G:G)</f>
        <v>0.89808917197452232</v>
      </c>
      <c r="G2" s="13">
        <f>AVERAGE(MatchCleaned!H:H)</f>
        <v>1.3715498938428874</v>
      </c>
      <c r="H2" s="13">
        <f>AVERAGE(MatchCleaned!I:I)</f>
        <v>2.0955414012738856</v>
      </c>
      <c r="I2" s="18">
        <f>AVERAGE(MatchCleaned!J:J)</f>
        <v>0.54352441613588109</v>
      </c>
      <c r="J2" s="9">
        <f>INT(AVERAGE(SkillRanking!N:N))</f>
        <v>28</v>
      </c>
      <c r="K2" s="9">
        <f>INT(AVERAGE(SkillRanking!O:O))</f>
        <v>183</v>
      </c>
      <c r="L2" s="9">
        <f>INT(AVERAGE(SkillRanking!P:P))</f>
        <v>27</v>
      </c>
      <c r="M2" s="9">
        <f>INT(AVERAGE(SkillRanking!Q:Q))</f>
        <v>47</v>
      </c>
    </row>
    <row r="3" spans="1:13">
      <c r="A3" s="19" t="s">
        <v>24</v>
      </c>
      <c r="B3" s="8">
        <f>MAX(MatchCleaned!C:C)</f>
        <v>1</v>
      </c>
      <c r="C3" s="8">
        <f>MAX(MatchCleaned!D:D)</f>
        <v>1</v>
      </c>
      <c r="D3" s="8">
        <f>MAX(MatchCleaned!E:E)</f>
        <v>1</v>
      </c>
      <c r="E3" s="8">
        <f>MAX(MatchCleaned!F:F)</f>
        <v>8</v>
      </c>
      <c r="F3" s="8">
        <f>MAX(MatchCleaned!G:G)</f>
        <v>8</v>
      </c>
      <c r="G3" s="8">
        <f>MAX(MatchCleaned!H:H)</f>
        <v>8</v>
      </c>
      <c r="H3" s="8">
        <f>MAX(MatchCleaned!I:I)</f>
        <v>9</v>
      </c>
      <c r="I3" s="20">
        <f>MAX(MatchCleaned!J:J)</f>
        <v>1</v>
      </c>
      <c r="J3">
        <f>INT(MAX(SkillRanking!N:N))</f>
        <v>40</v>
      </c>
      <c r="K3">
        <f>INT(MAX(SkillRanking!O:O))</f>
        <v>296</v>
      </c>
      <c r="L3">
        <f>INT(MAX(SkillRanking!P:P))</f>
        <v>38</v>
      </c>
      <c r="M3">
        <f>INT(MAX(SkillRanking!Q:Q))</f>
        <v>70</v>
      </c>
    </row>
    <row r="4" spans="1:13">
      <c r="A4" s="19" t="s">
        <v>25</v>
      </c>
      <c r="B4" s="8">
        <f>MIN(MatchCleaned!C:C)</f>
        <v>0</v>
      </c>
      <c r="C4" s="8">
        <f>MIN(MatchCleaned!D:D)</f>
        <v>0</v>
      </c>
      <c r="D4" s="8">
        <f>MIN(MatchCleaned!E:E)</f>
        <v>0</v>
      </c>
      <c r="E4" s="8">
        <f>MIN(MatchCleaned!F:F)</f>
        <v>0</v>
      </c>
      <c r="F4" s="8">
        <f>MIN(MatchCleaned!G:G)</f>
        <v>0</v>
      </c>
      <c r="G4" s="8">
        <f>MIN(MatchCleaned!H:H)</f>
        <v>0</v>
      </c>
      <c r="H4" s="8">
        <f>MIN(MatchCleaned!I:I)</f>
        <v>0</v>
      </c>
      <c r="I4" s="20">
        <f>MIN(MatchCleaned!J:J)</f>
        <v>0</v>
      </c>
      <c r="J4">
        <f>INT(MIN(SkillRanking!N:N))</f>
        <v>0</v>
      </c>
      <c r="K4">
        <f>INT(MIN(SkillRanking!O:O))</f>
        <v>0</v>
      </c>
      <c r="L4">
        <f>INT(MIN(SkillRanking!P:P))</f>
        <v>0</v>
      </c>
      <c r="M4">
        <f>INT(MIN(SkillRanking!Q:Q))</f>
        <v>0</v>
      </c>
    </row>
    <row r="5" spans="1:13">
      <c r="A5" s="19" t="s">
        <v>5819</v>
      </c>
      <c r="B5" s="8"/>
      <c r="C5" s="8"/>
      <c r="D5" s="8"/>
      <c r="E5" s="8">
        <f>MEDIAN(MatchCleaned!F:F)</f>
        <v>0</v>
      </c>
      <c r="F5" s="8">
        <f>MEDIAN(MatchCleaned!G:G)</f>
        <v>0</v>
      </c>
      <c r="G5" s="8">
        <f>MEDIAN(MatchCleaned!H:H)</f>
        <v>0</v>
      </c>
      <c r="H5" s="8">
        <f>MEDIAN(MatchCleaned!I:I)</f>
        <v>1</v>
      </c>
      <c r="I5" s="20"/>
    </row>
    <row r="6" spans="1:13" ht="15.75" thickBot="1">
      <c r="A6" s="21" t="s">
        <v>5818</v>
      </c>
      <c r="B6" s="22"/>
      <c r="C6" s="22"/>
      <c r="D6" s="22"/>
      <c r="E6" s="23">
        <f>IFERROR(_xlfn.STDEV.S(MatchCleaned!F:F),"")</f>
        <v>1.3883432395507755</v>
      </c>
      <c r="F6" s="23">
        <f>IFERROR(_xlfn.STDEV.S(MatchCleaned!G:G),"")</f>
        <v>1.6393487810938812</v>
      </c>
      <c r="G6" s="23">
        <f>IFERROR(_xlfn.STDEV.S(MatchCleaned!H:H),"")</f>
        <v>2.0731201526168617</v>
      </c>
      <c r="H6" s="23">
        <f>IFERROR(_xlfn.STDEV.S(MatchCleaned!I:I),"")</f>
        <v>2.7283775230690988</v>
      </c>
      <c r="I6" s="24"/>
    </row>
  </sheetData>
  <pageMargins left="0.7" right="0.7" top="0.75" bottom="0.75" header="0.3" footer="0.3"/>
  <pageSetup orientation="portrait" horizontalDpi="360" verticalDpi="36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1"/>
  <sheetViews>
    <sheetView workbookViewId="0">
      <selection sqref="A1:I1048576"/>
    </sheetView>
  </sheetViews>
  <sheetFormatPr defaultColWidth="8.85546875" defaultRowHeight="15"/>
  <cols>
    <col min="2" max="9" width="24.85546875" customWidth="1"/>
  </cols>
  <sheetData>
    <row r="1" spans="1:9">
      <c r="A1" t="s">
        <v>6035</v>
      </c>
      <c r="B1" t="s">
        <v>6036</v>
      </c>
      <c r="C1" t="s">
        <v>6037</v>
      </c>
      <c r="D1" t="s">
        <v>6038</v>
      </c>
      <c r="E1" t="s">
        <v>6039</v>
      </c>
      <c r="F1" t="s">
        <v>6040</v>
      </c>
      <c r="G1" t="s">
        <v>6041</v>
      </c>
      <c r="H1" t="s">
        <v>6042</v>
      </c>
      <c r="I1" t="s">
        <v>6043</v>
      </c>
    </row>
    <row r="2" spans="1:9">
      <c r="A2">
        <v>155</v>
      </c>
      <c r="B2" t="s">
        <v>13</v>
      </c>
      <c r="C2" t="s">
        <v>13</v>
      </c>
      <c r="D2" t="s">
        <v>12</v>
      </c>
      <c r="E2" t="s">
        <v>15</v>
      </c>
      <c r="F2" t="s">
        <v>6396</v>
      </c>
      <c r="G2">
        <v>4</v>
      </c>
      <c r="H2" t="s">
        <v>6397</v>
      </c>
      <c r="I2" t="s">
        <v>6398</v>
      </c>
    </row>
    <row r="3" spans="1:9">
      <c r="A3">
        <v>173</v>
      </c>
      <c r="B3" t="s">
        <v>13</v>
      </c>
      <c r="C3" t="s">
        <v>14</v>
      </c>
      <c r="D3" t="s">
        <v>12</v>
      </c>
      <c r="E3" t="s">
        <v>15</v>
      </c>
      <c r="F3" t="s">
        <v>6233</v>
      </c>
      <c r="G3">
        <v>4</v>
      </c>
      <c r="H3" t="s">
        <v>6234</v>
      </c>
      <c r="I3" t="s">
        <v>6235</v>
      </c>
    </row>
    <row r="4" spans="1:9">
      <c r="A4">
        <v>175</v>
      </c>
      <c r="B4" t="s">
        <v>14</v>
      </c>
      <c r="C4" t="s">
        <v>14</v>
      </c>
      <c r="D4" t="s">
        <v>12</v>
      </c>
      <c r="E4" t="s">
        <v>15</v>
      </c>
      <c r="F4" t="s">
        <v>6399</v>
      </c>
      <c r="G4">
        <v>4</v>
      </c>
      <c r="H4" t="s">
        <v>6400</v>
      </c>
      <c r="I4" t="s">
        <v>6401</v>
      </c>
    </row>
    <row r="5" spans="1:9">
      <c r="A5">
        <v>176</v>
      </c>
      <c r="B5" t="s">
        <v>14</v>
      </c>
      <c r="C5" t="s">
        <v>14</v>
      </c>
      <c r="D5" t="s">
        <v>12</v>
      </c>
      <c r="E5" t="s">
        <v>15</v>
      </c>
      <c r="F5" t="s">
        <v>6402</v>
      </c>
      <c r="G5">
        <v>6</v>
      </c>
      <c r="H5" t="s">
        <v>6403</v>
      </c>
      <c r="I5" t="s">
        <v>6404</v>
      </c>
    </row>
    <row r="6" spans="1:9">
      <c r="A6">
        <v>177</v>
      </c>
      <c r="B6" t="s">
        <v>14</v>
      </c>
      <c r="C6" t="s">
        <v>14</v>
      </c>
      <c r="D6" t="s">
        <v>12</v>
      </c>
      <c r="E6" t="s">
        <v>15</v>
      </c>
      <c r="F6" t="s">
        <v>6405</v>
      </c>
      <c r="G6">
        <v>6</v>
      </c>
      <c r="H6" t="s">
        <v>6406</v>
      </c>
      <c r="I6" t="s">
        <v>6407</v>
      </c>
    </row>
    <row r="7" spans="1:9">
      <c r="A7">
        <v>181</v>
      </c>
      <c r="B7" t="s">
        <v>13</v>
      </c>
      <c r="C7" t="s">
        <v>14</v>
      </c>
      <c r="D7" t="s">
        <v>12</v>
      </c>
      <c r="E7" t="s">
        <v>15</v>
      </c>
      <c r="F7" t="s">
        <v>6408</v>
      </c>
      <c r="G7">
        <v>4</v>
      </c>
      <c r="H7" t="s">
        <v>6409</v>
      </c>
      <c r="I7" t="s">
        <v>6410</v>
      </c>
    </row>
    <row r="8" spans="1:9">
      <c r="A8">
        <v>190</v>
      </c>
      <c r="B8" t="s">
        <v>14</v>
      </c>
      <c r="C8" t="s">
        <v>14</v>
      </c>
      <c r="D8" t="s">
        <v>5911</v>
      </c>
      <c r="E8" t="s">
        <v>15</v>
      </c>
      <c r="F8" t="s">
        <v>6236</v>
      </c>
      <c r="G8">
        <v>4</v>
      </c>
      <c r="H8" t="s">
        <v>6237</v>
      </c>
      <c r="I8" t="s">
        <v>6238</v>
      </c>
    </row>
    <row r="9" spans="1:9">
      <c r="A9">
        <v>190</v>
      </c>
      <c r="B9" t="s">
        <v>14</v>
      </c>
      <c r="C9" t="s">
        <v>14</v>
      </c>
      <c r="D9" t="s">
        <v>5911</v>
      </c>
      <c r="E9" t="s">
        <v>15</v>
      </c>
      <c r="F9" t="s">
        <v>6411</v>
      </c>
      <c r="G9">
        <v>4</v>
      </c>
      <c r="H9" t="s">
        <v>6412</v>
      </c>
      <c r="I9" t="s">
        <v>6413</v>
      </c>
    </row>
    <row r="10" spans="1:9">
      <c r="A10">
        <v>195</v>
      </c>
      <c r="B10" t="s">
        <v>14</v>
      </c>
      <c r="C10" t="s">
        <v>14</v>
      </c>
      <c r="D10" t="s">
        <v>12</v>
      </c>
      <c r="E10" t="s">
        <v>15</v>
      </c>
      <c r="F10" t="s">
        <v>6239</v>
      </c>
      <c r="G10">
        <v>6</v>
      </c>
      <c r="H10" t="s">
        <v>6240</v>
      </c>
      <c r="I10" t="s">
        <v>6241</v>
      </c>
    </row>
    <row r="11" spans="1:9">
      <c r="A11">
        <v>230</v>
      </c>
      <c r="B11" t="s">
        <v>14</v>
      </c>
      <c r="C11" t="s">
        <v>14</v>
      </c>
      <c r="D11" t="s">
        <v>12</v>
      </c>
      <c r="E11" t="s">
        <v>15</v>
      </c>
      <c r="F11" t="s">
        <v>6242</v>
      </c>
      <c r="G11">
        <v>4</v>
      </c>
      <c r="H11" t="s">
        <v>6243</v>
      </c>
      <c r="I11" t="s">
        <v>6244</v>
      </c>
    </row>
    <row r="12" spans="1:9">
      <c r="A12">
        <v>236</v>
      </c>
      <c r="B12" t="s">
        <v>14</v>
      </c>
      <c r="C12" t="s">
        <v>14</v>
      </c>
      <c r="D12" t="s">
        <v>12</v>
      </c>
      <c r="E12" t="s">
        <v>15</v>
      </c>
      <c r="F12" t="s">
        <v>6437</v>
      </c>
      <c r="G12">
        <v>6</v>
      </c>
      <c r="H12" t="s">
        <v>6438</v>
      </c>
      <c r="I12" t="s">
        <v>6439</v>
      </c>
    </row>
    <row r="13" spans="1:9">
      <c r="A13">
        <v>558</v>
      </c>
      <c r="B13" t="s">
        <v>14</v>
      </c>
      <c r="C13" t="s">
        <v>14</v>
      </c>
      <c r="D13" t="s">
        <v>12</v>
      </c>
      <c r="E13" t="s">
        <v>15</v>
      </c>
      <c r="F13" t="s">
        <v>6387</v>
      </c>
      <c r="G13">
        <v>6</v>
      </c>
      <c r="H13" t="s">
        <v>6414</v>
      </c>
      <c r="I13" t="s">
        <v>6415</v>
      </c>
    </row>
    <row r="14" spans="1:9">
      <c r="A14">
        <v>571</v>
      </c>
      <c r="B14" t="s">
        <v>14</v>
      </c>
      <c r="C14" t="s">
        <v>14</v>
      </c>
      <c r="D14" t="s">
        <v>12</v>
      </c>
      <c r="E14" t="s">
        <v>15</v>
      </c>
      <c r="F14" t="s">
        <v>6245</v>
      </c>
      <c r="G14">
        <v>4</v>
      </c>
      <c r="H14" t="s">
        <v>6246</v>
      </c>
      <c r="I14" t="s">
        <v>6247</v>
      </c>
    </row>
    <row r="15" spans="1:9">
      <c r="A15">
        <v>839</v>
      </c>
      <c r="B15" t="s">
        <v>13</v>
      </c>
      <c r="C15" t="s">
        <v>14</v>
      </c>
      <c r="D15" t="s">
        <v>12</v>
      </c>
      <c r="E15" t="s">
        <v>15</v>
      </c>
      <c r="F15" t="s">
        <v>6448</v>
      </c>
      <c r="G15">
        <v>4</v>
      </c>
      <c r="H15" t="s">
        <v>6449</v>
      </c>
      <c r="I15" t="s">
        <v>6450</v>
      </c>
    </row>
    <row r="16" spans="1:9">
      <c r="A16">
        <v>999</v>
      </c>
      <c r="B16" t="s">
        <v>13</v>
      </c>
      <c r="C16" t="s">
        <v>13</v>
      </c>
      <c r="D16" t="s">
        <v>12</v>
      </c>
      <c r="E16" t="s">
        <v>15</v>
      </c>
      <c r="F16" t="s">
        <v>6416</v>
      </c>
      <c r="G16">
        <v>6</v>
      </c>
      <c r="H16" t="s">
        <v>6419</v>
      </c>
      <c r="I16" t="s">
        <v>6420</v>
      </c>
    </row>
    <row r="17" spans="1:9">
      <c r="A17">
        <v>1027</v>
      </c>
      <c r="B17" t="s">
        <v>19</v>
      </c>
      <c r="C17" t="s">
        <v>13</v>
      </c>
      <c r="D17" t="s">
        <v>12</v>
      </c>
      <c r="E17" t="s">
        <v>15</v>
      </c>
      <c r="F17" t="s">
        <v>6416</v>
      </c>
      <c r="G17">
        <v>4</v>
      </c>
      <c r="H17" t="s">
        <v>6417</v>
      </c>
      <c r="I17" t="s">
        <v>6418</v>
      </c>
    </row>
    <row r="18" spans="1:9">
      <c r="A18">
        <v>1085</v>
      </c>
      <c r="B18" t="s">
        <v>19</v>
      </c>
      <c r="C18" t="s">
        <v>23</v>
      </c>
      <c r="D18" t="s">
        <v>5911</v>
      </c>
      <c r="E18" t="s">
        <v>15</v>
      </c>
      <c r="F18" t="s">
        <v>6232</v>
      </c>
      <c r="G18">
        <v>4</v>
      </c>
      <c r="H18" t="s">
        <v>6456</v>
      </c>
      <c r="I18" t="s">
        <v>6457</v>
      </c>
    </row>
    <row r="19" spans="1:9">
      <c r="A19">
        <v>1740</v>
      </c>
      <c r="B19" t="s">
        <v>13</v>
      </c>
      <c r="C19" t="s">
        <v>14</v>
      </c>
      <c r="D19" t="s">
        <v>12</v>
      </c>
      <c r="E19" t="s">
        <v>15</v>
      </c>
      <c r="F19" t="s">
        <v>6424</v>
      </c>
      <c r="G19">
        <v>4</v>
      </c>
      <c r="H19" t="s">
        <v>6425</v>
      </c>
      <c r="I19" t="s">
        <v>6426</v>
      </c>
    </row>
    <row r="20" spans="1:9">
      <c r="A20">
        <v>1973</v>
      </c>
      <c r="B20" t="s">
        <v>19</v>
      </c>
      <c r="C20" t="s">
        <v>13</v>
      </c>
      <c r="D20" t="s">
        <v>5911</v>
      </c>
      <c r="E20" t="s">
        <v>15</v>
      </c>
      <c r="F20" t="s">
        <v>6387</v>
      </c>
      <c r="G20">
        <v>4</v>
      </c>
      <c r="I20" t="s">
        <v>6427</v>
      </c>
    </row>
    <row r="21" spans="1:9">
      <c r="A21">
        <v>1991</v>
      </c>
      <c r="B21" t="s">
        <v>14</v>
      </c>
      <c r="C21" t="s">
        <v>14</v>
      </c>
      <c r="D21" t="s">
        <v>5911</v>
      </c>
      <c r="E21" t="s">
        <v>15</v>
      </c>
      <c r="F21" t="s">
        <v>6248</v>
      </c>
      <c r="G21">
        <v>4</v>
      </c>
      <c r="H21" t="s">
        <v>6249</v>
      </c>
      <c r="I21" t="s">
        <v>6250</v>
      </c>
    </row>
    <row r="22" spans="1:9">
      <c r="A22">
        <v>2064</v>
      </c>
      <c r="B22" t="s">
        <v>14</v>
      </c>
      <c r="C22" t="s">
        <v>14</v>
      </c>
      <c r="D22" t="s">
        <v>12</v>
      </c>
      <c r="E22" t="s">
        <v>15</v>
      </c>
      <c r="F22" t="s">
        <v>6421</v>
      </c>
      <c r="G22">
        <v>4</v>
      </c>
      <c r="H22" t="s">
        <v>6422</v>
      </c>
      <c r="I22" t="s">
        <v>6423</v>
      </c>
    </row>
    <row r="23" spans="1:9">
      <c r="A23">
        <v>2067</v>
      </c>
      <c r="B23" t="s">
        <v>13</v>
      </c>
      <c r="C23" t="s">
        <v>14</v>
      </c>
      <c r="D23" t="s">
        <v>12</v>
      </c>
      <c r="E23" t="s">
        <v>15</v>
      </c>
      <c r="F23" t="s">
        <v>6451</v>
      </c>
      <c r="G23">
        <v>4</v>
      </c>
      <c r="H23" t="s">
        <v>6452</v>
      </c>
      <c r="I23" t="s">
        <v>6453</v>
      </c>
    </row>
    <row r="24" spans="1:9">
      <c r="A24">
        <v>2170</v>
      </c>
      <c r="B24" t="s">
        <v>13</v>
      </c>
      <c r="C24" t="s">
        <v>13</v>
      </c>
      <c r="D24" t="s">
        <v>5911</v>
      </c>
      <c r="E24" t="s">
        <v>15</v>
      </c>
      <c r="F24" t="s">
        <v>6428</v>
      </c>
      <c r="G24">
        <v>6</v>
      </c>
      <c r="H24" t="s">
        <v>6454</v>
      </c>
      <c r="I24" t="s">
        <v>6455</v>
      </c>
    </row>
    <row r="25" spans="1:9">
      <c r="A25">
        <v>2785</v>
      </c>
      <c r="B25" t="s">
        <v>19</v>
      </c>
      <c r="C25" t="s">
        <v>23</v>
      </c>
      <c r="D25" t="s">
        <v>5911</v>
      </c>
      <c r="E25" t="s">
        <v>15</v>
      </c>
      <c r="F25" t="s">
        <v>6428</v>
      </c>
      <c r="G25">
        <v>4</v>
      </c>
      <c r="H25" t="s">
        <v>6460</v>
      </c>
      <c r="I25" t="s">
        <v>6461</v>
      </c>
    </row>
    <row r="26" spans="1:9">
      <c r="A26">
        <v>3146</v>
      </c>
      <c r="B26" t="s">
        <v>13</v>
      </c>
      <c r="C26" t="s">
        <v>13</v>
      </c>
      <c r="D26" t="s">
        <v>12</v>
      </c>
      <c r="E26" t="s">
        <v>15</v>
      </c>
      <c r="F26" t="s">
        <v>6381</v>
      </c>
      <c r="G26">
        <v>4</v>
      </c>
      <c r="H26" t="s">
        <v>6382</v>
      </c>
      <c r="I26" t="s">
        <v>6383</v>
      </c>
    </row>
    <row r="27" spans="1:9">
      <c r="A27">
        <v>3182</v>
      </c>
      <c r="B27" t="s">
        <v>13</v>
      </c>
      <c r="C27" t="s">
        <v>13</v>
      </c>
      <c r="D27" t="s">
        <v>12</v>
      </c>
      <c r="E27" t="s">
        <v>15</v>
      </c>
      <c r="F27" t="s">
        <v>6384</v>
      </c>
      <c r="G27">
        <v>6</v>
      </c>
      <c r="H27" t="s">
        <v>6385</v>
      </c>
      <c r="I27" t="s">
        <v>6386</v>
      </c>
    </row>
    <row r="28" spans="1:9">
      <c r="A28">
        <v>3464</v>
      </c>
      <c r="B28" t="s">
        <v>13</v>
      </c>
      <c r="C28" t="s">
        <v>13</v>
      </c>
      <c r="D28" t="s">
        <v>12</v>
      </c>
      <c r="E28" t="s">
        <v>15</v>
      </c>
      <c r="F28" t="s">
        <v>6387</v>
      </c>
      <c r="G28">
        <v>4</v>
      </c>
      <c r="H28" t="s">
        <v>6388</v>
      </c>
      <c r="I28" t="s">
        <v>6389</v>
      </c>
    </row>
    <row r="29" spans="1:9">
      <c r="A29">
        <v>3634</v>
      </c>
      <c r="B29" t="s">
        <v>19</v>
      </c>
      <c r="C29" t="s">
        <v>13</v>
      </c>
      <c r="D29" t="s">
        <v>5911</v>
      </c>
      <c r="E29" t="s">
        <v>15</v>
      </c>
      <c r="F29" t="s">
        <v>6387</v>
      </c>
      <c r="G29">
        <v>2</v>
      </c>
      <c r="H29" t="s">
        <v>6458</v>
      </c>
      <c r="I29" t="s">
        <v>6459</v>
      </c>
    </row>
    <row r="30" spans="1:9">
      <c r="A30">
        <v>3654</v>
      </c>
      <c r="B30" t="s">
        <v>13</v>
      </c>
      <c r="C30" t="s">
        <v>14</v>
      </c>
      <c r="D30" t="s">
        <v>5911</v>
      </c>
      <c r="E30" t="s">
        <v>15</v>
      </c>
      <c r="F30" t="s">
        <v>6445</v>
      </c>
      <c r="G30">
        <v>6</v>
      </c>
      <c r="H30" t="s">
        <v>6446</v>
      </c>
      <c r="I30" t="s">
        <v>6447</v>
      </c>
    </row>
    <row r="31" spans="1:9">
      <c r="A31">
        <v>4987</v>
      </c>
      <c r="B31" t="s">
        <v>19</v>
      </c>
      <c r="C31" t="s">
        <v>14</v>
      </c>
      <c r="D31" t="s">
        <v>5911</v>
      </c>
      <c r="E31" t="s">
        <v>15</v>
      </c>
      <c r="F31" t="s">
        <v>6442</v>
      </c>
      <c r="G31">
        <v>4</v>
      </c>
      <c r="H31" t="s">
        <v>6443</v>
      </c>
      <c r="I31" t="s">
        <v>6444</v>
      </c>
    </row>
    <row r="32" spans="1:9">
      <c r="A32">
        <v>5129</v>
      </c>
      <c r="B32" t="s">
        <v>13</v>
      </c>
      <c r="C32" t="s">
        <v>23</v>
      </c>
      <c r="D32" t="s">
        <v>12</v>
      </c>
      <c r="E32" t="s">
        <v>15</v>
      </c>
      <c r="F32" t="s">
        <v>6428</v>
      </c>
      <c r="G32">
        <v>4</v>
      </c>
      <c r="H32" t="s">
        <v>6431</v>
      </c>
      <c r="I32" t="s">
        <v>6432</v>
      </c>
    </row>
    <row r="33" spans="1:9">
      <c r="A33">
        <v>5142</v>
      </c>
      <c r="B33" t="s">
        <v>19</v>
      </c>
      <c r="C33" t="s">
        <v>13</v>
      </c>
      <c r="D33" t="s">
        <v>12</v>
      </c>
      <c r="E33" t="s">
        <v>15</v>
      </c>
      <c r="F33" t="s">
        <v>6428</v>
      </c>
      <c r="G33">
        <v>4</v>
      </c>
      <c r="H33" t="s">
        <v>6440</v>
      </c>
      <c r="I33" t="s">
        <v>6441</v>
      </c>
    </row>
    <row r="34" spans="1:9">
      <c r="A34">
        <v>5686</v>
      </c>
      <c r="B34" t="s">
        <v>13</v>
      </c>
      <c r="C34" t="s">
        <v>13</v>
      </c>
      <c r="D34" t="s">
        <v>5911</v>
      </c>
      <c r="E34" t="s">
        <v>15</v>
      </c>
      <c r="F34" t="s">
        <v>6232</v>
      </c>
      <c r="G34">
        <v>4</v>
      </c>
      <c r="H34" t="s">
        <v>6251</v>
      </c>
      <c r="I34" t="s">
        <v>6380</v>
      </c>
    </row>
    <row r="35" spans="1:9">
      <c r="A35">
        <v>5746</v>
      </c>
      <c r="B35" t="s">
        <v>13</v>
      </c>
      <c r="C35" t="s">
        <v>14</v>
      </c>
      <c r="D35" t="s">
        <v>5911</v>
      </c>
      <c r="E35" t="s">
        <v>15</v>
      </c>
      <c r="F35" t="s">
        <v>6252</v>
      </c>
      <c r="G35">
        <v>4</v>
      </c>
      <c r="H35" t="s">
        <v>6253</v>
      </c>
      <c r="I35" t="s">
        <v>6254</v>
      </c>
    </row>
    <row r="36" spans="1:9">
      <c r="A36">
        <v>6333</v>
      </c>
      <c r="B36" t="s">
        <v>19</v>
      </c>
      <c r="C36" t="s">
        <v>14</v>
      </c>
      <c r="D36" t="s">
        <v>5911</v>
      </c>
      <c r="E36" t="s">
        <v>15</v>
      </c>
      <c r="F36" t="s">
        <v>6428</v>
      </c>
      <c r="G36">
        <v>2</v>
      </c>
      <c r="H36" t="s">
        <v>6429</v>
      </c>
      <c r="I36" t="s">
        <v>6430</v>
      </c>
    </row>
    <row r="37" spans="1:9">
      <c r="A37">
        <v>6346</v>
      </c>
      <c r="B37" t="s">
        <v>19</v>
      </c>
      <c r="C37" t="s">
        <v>13</v>
      </c>
      <c r="D37" t="s">
        <v>5911</v>
      </c>
      <c r="E37" t="s">
        <v>15</v>
      </c>
      <c r="F37" t="s">
        <v>6232</v>
      </c>
      <c r="G37">
        <v>4</v>
      </c>
      <c r="H37" t="s">
        <v>6390</v>
      </c>
      <c r="I37" t="s">
        <v>6391</v>
      </c>
    </row>
    <row r="38" spans="1:9">
      <c r="A38">
        <v>6811</v>
      </c>
      <c r="B38" t="s">
        <v>19</v>
      </c>
      <c r="C38" t="s">
        <v>13</v>
      </c>
      <c r="D38" t="s">
        <v>5911</v>
      </c>
      <c r="E38" t="s">
        <v>15</v>
      </c>
      <c r="F38" t="s">
        <v>6387</v>
      </c>
      <c r="G38">
        <v>4</v>
      </c>
      <c r="H38" t="s">
        <v>6433</v>
      </c>
      <c r="I38" t="s">
        <v>6434</v>
      </c>
    </row>
    <row r="39" spans="1:9">
      <c r="A39">
        <v>6895</v>
      </c>
      <c r="B39" t="s">
        <v>19</v>
      </c>
      <c r="C39" t="s">
        <v>13</v>
      </c>
      <c r="D39" t="s">
        <v>12</v>
      </c>
      <c r="E39" t="s">
        <v>5912</v>
      </c>
      <c r="F39" t="s">
        <v>6387</v>
      </c>
      <c r="G39">
        <v>4</v>
      </c>
      <c r="H39" t="s">
        <v>6392</v>
      </c>
      <c r="I39" t="s">
        <v>6393</v>
      </c>
    </row>
    <row r="40" spans="1:9">
      <c r="A40">
        <v>7127</v>
      </c>
      <c r="B40" t="s">
        <v>13</v>
      </c>
      <c r="C40" t="s">
        <v>13</v>
      </c>
      <c r="D40" t="s">
        <v>5911</v>
      </c>
      <c r="E40" t="s">
        <v>15</v>
      </c>
      <c r="F40" t="s">
        <v>6387</v>
      </c>
      <c r="G40">
        <v>4</v>
      </c>
      <c r="H40" t="s">
        <v>6394</v>
      </c>
      <c r="I40" t="s">
        <v>6395</v>
      </c>
    </row>
    <row r="41" spans="1:9">
      <c r="A41">
        <v>7153</v>
      </c>
      <c r="B41" t="s">
        <v>13</v>
      </c>
      <c r="C41" t="s">
        <v>13</v>
      </c>
      <c r="D41" t="s">
        <v>5911</v>
      </c>
      <c r="E41" t="s">
        <v>15</v>
      </c>
      <c r="F41" t="s">
        <v>6233</v>
      </c>
      <c r="G41">
        <v>4</v>
      </c>
      <c r="H41" t="s">
        <v>6435</v>
      </c>
      <c r="I41" t="s">
        <v>6436</v>
      </c>
    </row>
  </sheetData>
  <sortState ref="A2:I41">
    <sortCondition ref="A2:A23"/>
  </sortState>
  <pageMargins left="0.7" right="0.7" top="0.75" bottom="0.75" header="0.3" footer="0.3"/>
  <pageSetup orientation="portrait" horizontalDpi="360" verticalDpi="36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72"/>
  <sheetViews>
    <sheetView workbookViewId="0">
      <selection sqref="A1:M1048576"/>
    </sheetView>
  </sheetViews>
  <sheetFormatPr defaultColWidth="8.85546875" defaultRowHeight="15"/>
  <cols>
    <col min="1" max="1" width="9.85546875" bestFit="1" customWidth="1"/>
    <col min="2" max="2" width="16.28515625" bestFit="1" customWidth="1"/>
    <col min="3" max="3" width="14.42578125" bestFit="1" customWidth="1"/>
    <col min="4" max="4" width="12.140625" bestFit="1" customWidth="1"/>
    <col min="5" max="5" width="25.140625" bestFit="1" customWidth="1"/>
    <col min="6" max="6" width="24.28515625" bestFit="1" customWidth="1"/>
    <col min="7" max="7" width="33.28515625" bestFit="1" customWidth="1"/>
    <col min="8" max="8" width="43.140625" bestFit="1" customWidth="1"/>
    <col min="9" max="9" width="25" bestFit="1" customWidth="1"/>
    <col min="10" max="10" width="22.42578125" bestFit="1" customWidth="1"/>
    <col min="11" max="11" width="26.42578125" bestFit="1" customWidth="1"/>
  </cols>
  <sheetData>
    <row r="1" spans="1:1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5878</v>
      </c>
      <c r="G1" t="s">
        <v>5879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72</v>
      </c>
      <c r="B2">
        <v>2064</v>
      </c>
      <c r="C2">
        <v>0</v>
      </c>
      <c r="D2">
        <v>1</v>
      </c>
      <c r="E2">
        <v>0</v>
      </c>
      <c r="F2">
        <v>1</v>
      </c>
      <c r="G2">
        <v>2</v>
      </c>
      <c r="H2">
        <v>3</v>
      </c>
      <c r="I2">
        <v>9</v>
      </c>
      <c r="J2">
        <v>0</v>
      </c>
      <c r="K2" t="s">
        <v>6462</v>
      </c>
      <c r="L2" t="s">
        <v>6491</v>
      </c>
    </row>
    <row r="3" spans="1:13">
      <c r="A3">
        <v>135</v>
      </c>
      <c r="B3">
        <v>1</v>
      </c>
      <c r="C3">
        <v>1</v>
      </c>
      <c r="D3">
        <v>1</v>
      </c>
      <c r="E3">
        <v>1</v>
      </c>
      <c r="F3">
        <v>8</v>
      </c>
      <c r="G3">
        <v>5</v>
      </c>
      <c r="H3">
        <v>4</v>
      </c>
      <c r="I3">
        <v>6</v>
      </c>
      <c r="J3">
        <v>1</v>
      </c>
      <c r="K3" t="s">
        <v>12</v>
      </c>
      <c r="L3" t="s">
        <v>6231</v>
      </c>
    </row>
    <row r="4" spans="1:13">
      <c r="A4">
        <v>155</v>
      </c>
      <c r="B4">
        <v>4</v>
      </c>
      <c r="C4">
        <v>1</v>
      </c>
      <c r="D4">
        <v>1</v>
      </c>
      <c r="E4">
        <v>0</v>
      </c>
      <c r="F4">
        <v>3</v>
      </c>
      <c r="G4">
        <v>3</v>
      </c>
      <c r="H4">
        <v>0</v>
      </c>
      <c r="I4">
        <v>0</v>
      </c>
      <c r="J4">
        <v>1</v>
      </c>
      <c r="K4" t="s">
        <v>12</v>
      </c>
      <c r="L4" t="s">
        <v>6479</v>
      </c>
      <c r="M4" t="s">
        <v>6480</v>
      </c>
    </row>
    <row r="5" spans="1:13">
      <c r="A5">
        <v>155</v>
      </c>
      <c r="B5">
        <v>17</v>
      </c>
      <c r="C5">
        <v>1</v>
      </c>
      <c r="D5">
        <v>1</v>
      </c>
      <c r="E5">
        <v>0</v>
      </c>
      <c r="F5">
        <v>0</v>
      </c>
      <c r="G5">
        <v>0</v>
      </c>
      <c r="H5">
        <v>0</v>
      </c>
      <c r="I5" s="2">
        <v>9</v>
      </c>
      <c r="J5" s="2">
        <v>0</v>
      </c>
      <c r="K5" s="2" t="s">
        <v>6462</v>
      </c>
      <c r="L5" t="s">
        <v>6491</v>
      </c>
    </row>
    <row r="6" spans="1:13">
      <c r="A6">
        <v>155</v>
      </c>
      <c r="B6">
        <v>25</v>
      </c>
      <c r="C6">
        <v>1</v>
      </c>
      <c r="D6">
        <v>0</v>
      </c>
      <c r="E6">
        <v>0</v>
      </c>
      <c r="F6">
        <v>1</v>
      </c>
      <c r="G6">
        <v>2</v>
      </c>
      <c r="H6">
        <v>0</v>
      </c>
      <c r="I6">
        <v>0</v>
      </c>
      <c r="J6">
        <v>1</v>
      </c>
      <c r="K6" t="s">
        <v>12</v>
      </c>
      <c r="L6" t="s">
        <v>6468</v>
      </c>
    </row>
    <row r="7" spans="1:13">
      <c r="A7">
        <v>155</v>
      </c>
      <c r="B7">
        <v>31</v>
      </c>
      <c r="C7">
        <v>1</v>
      </c>
      <c r="D7">
        <v>0</v>
      </c>
      <c r="E7">
        <v>0</v>
      </c>
      <c r="F7">
        <v>1</v>
      </c>
      <c r="G7">
        <v>4</v>
      </c>
      <c r="H7">
        <v>0</v>
      </c>
      <c r="I7">
        <v>0</v>
      </c>
      <c r="J7">
        <v>0</v>
      </c>
      <c r="K7" t="s">
        <v>12</v>
      </c>
      <c r="L7" t="s">
        <v>6481</v>
      </c>
    </row>
    <row r="8" spans="1:13">
      <c r="A8">
        <v>155</v>
      </c>
      <c r="B8">
        <v>39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8</v>
      </c>
      <c r="J8">
        <v>1</v>
      </c>
      <c r="K8" t="s">
        <v>12</v>
      </c>
      <c r="L8" t="s">
        <v>6491</v>
      </c>
    </row>
    <row r="9" spans="1:13">
      <c r="A9">
        <v>155</v>
      </c>
      <c r="B9">
        <v>43</v>
      </c>
      <c r="C9">
        <v>1</v>
      </c>
      <c r="D9">
        <v>1</v>
      </c>
      <c r="E9">
        <v>0</v>
      </c>
      <c r="F9">
        <v>0</v>
      </c>
      <c r="G9">
        <v>0</v>
      </c>
      <c r="H9">
        <v>0</v>
      </c>
      <c r="I9">
        <v>9</v>
      </c>
      <c r="J9">
        <v>1</v>
      </c>
      <c r="K9" t="s">
        <v>12</v>
      </c>
      <c r="L9" t="s">
        <v>6491</v>
      </c>
    </row>
    <row r="10" spans="1:13">
      <c r="A10">
        <v>155</v>
      </c>
      <c r="B10">
        <v>48</v>
      </c>
      <c r="C10">
        <v>1</v>
      </c>
      <c r="D10">
        <v>0</v>
      </c>
      <c r="E10">
        <v>0</v>
      </c>
      <c r="F10">
        <v>0</v>
      </c>
      <c r="G10">
        <v>0</v>
      </c>
      <c r="H10">
        <v>0</v>
      </c>
      <c r="I10">
        <v>9</v>
      </c>
      <c r="J10">
        <v>1</v>
      </c>
      <c r="K10" t="s">
        <v>12</v>
      </c>
      <c r="L10" t="s">
        <v>6491</v>
      </c>
    </row>
    <row r="11" spans="1:13">
      <c r="A11">
        <v>155</v>
      </c>
      <c r="B11">
        <v>66</v>
      </c>
      <c r="C11">
        <v>1</v>
      </c>
      <c r="D11">
        <v>0</v>
      </c>
      <c r="E11">
        <v>0</v>
      </c>
      <c r="F11">
        <v>2</v>
      </c>
      <c r="G11">
        <v>0</v>
      </c>
      <c r="H11">
        <v>0</v>
      </c>
      <c r="I11">
        <v>7</v>
      </c>
      <c r="J11">
        <v>1</v>
      </c>
      <c r="K11" t="s">
        <v>6088</v>
      </c>
      <c r="L11" t="s">
        <v>6491</v>
      </c>
      <c r="M11" t="s">
        <v>6761</v>
      </c>
    </row>
    <row r="12" spans="1:13">
      <c r="A12">
        <v>155</v>
      </c>
      <c r="B12">
        <v>70</v>
      </c>
      <c r="C12">
        <v>0</v>
      </c>
      <c r="D12">
        <v>1</v>
      </c>
      <c r="E12">
        <v>0</v>
      </c>
      <c r="F12">
        <v>4</v>
      </c>
      <c r="G12">
        <v>3</v>
      </c>
      <c r="H12">
        <v>4</v>
      </c>
      <c r="I12">
        <v>7</v>
      </c>
      <c r="J12">
        <v>1</v>
      </c>
      <c r="K12" t="s">
        <v>12</v>
      </c>
      <c r="L12" t="s">
        <v>6491</v>
      </c>
    </row>
    <row r="13" spans="1:13">
      <c r="A13">
        <v>155</v>
      </c>
      <c r="B13">
        <v>82</v>
      </c>
      <c r="C13">
        <v>0</v>
      </c>
      <c r="D13">
        <v>1</v>
      </c>
      <c r="E13">
        <v>0</v>
      </c>
      <c r="F13">
        <v>1</v>
      </c>
      <c r="G13">
        <v>5</v>
      </c>
      <c r="H13">
        <v>0</v>
      </c>
      <c r="I13">
        <v>9</v>
      </c>
      <c r="J13">
        <v>0</v>
      </c>
      <c r="K13" t="s">
        <v>6462</v>
      </c>
      <c r="L13" t="s">
        <v>6491</v>
      </c>
    </row>
    <row r="14" spans="1:13">
      <c r="A14">
        <v>173</v>
      </c>
      <c r="B14">
        <v>4</v>
      </c>
      <c r="C14">
        <v>1</v>
      </c>
      <c r="D14">
        <v>1</v>
      </c>
      <c r="E14">
        <v>0</v>
      </c>
      <c r="F14">
        <v>0</v>
      </c>
      <c r="G14">
        <v>0</v>
      </c>
      <c r="H14">
        <v>0</v>
      </c>
      <c r="I14">
        <v>8</v>
      </c>
      <c r="J14">
        <v>0</v>
      </c>
      <c r="K14" t="s">
        <v>6462</v>
      </c>
      <c r="L14" t="s">
        <v>6479</v>
      </c>
    </row>
    <row r="15" spans="1:13">
      <c r="A15">
        <v>173</v>
      </c>
      <c r="B15">
        <v>13</v>
      </c>
      <c r="C15">
        <v>1</v>
      </c>
      <c r="D15">
        <v>0</v>
      </c>
      <c r="E15">
        <v>0</v>
      </c>
      <c r="F15">
        <v>2</v>
      </c>
      <c r="G15">
        <v>0</v>
      </c>
      <c r="H15">
        <v>3</v>
      </c>
      <c r="I15">
        <v>2</v>
      </c>
      <c r="J15">
        <v>1</v>
      </c>
      <c r="L15" t="s">
        <v>6491</v>
      </c>
    </row>
    <row r="16" spans="1:13">
      <c r="A16">
        <v>173</v>
      </c>
      <c r="B16">
        <v>19</v>
      </c>
      <c r="C16">
        <v>1</v>
      </c>
      <c r="D16">
        <v>1</v>
      </c>
      <c r="E16">
        <v>0</v>
      </c>
      <c r="F16">
        <v>0</v>
      </c>
      <c r="G16">
        <v>0</v>
      </c>
      <c r="H16">
        <v>5</v>
      </c>
      <c r="I16">
        <v>0</v>
      </c>
      <c r="J16">
        <v>0</v>
      </c>
      <c r="K16" t="s">
        <v>6462</v>
      </c>
      <c r="L16" t="s">
        <v>6479</v>
      </c>
    </row>
    <row r="17" spans="1:13">
      <c r="A17">
        <v>173</v>
      </c>
      <c r="B17">
        <v>26</v>
      </c>
      <c r="C17">
        <v>1</v>
      </c>
      <c r="D17">
        <v>0</v>
      </c>
      <c r="E17">
        <v>0</v>
      </c>
      <c r="F17">
        <v>1</v>
      </c>
      <c r="G17">
        <v>0</v>
      </c>
      <c r="H17">
        <v>5</v>
      </c>
      <c r="I17">
        <v>0</v>
      </c>
      <c r="J17">
        <v>1</v>
      </c>
      <c r="K17" t="s">
        <v>6088</v>
      </c>
      <c r="L17" t="s">
        <v>6491</v>
      </c>
      <c r="M17" t="s">
        <v>6581</v>
      </c>
    </row>
    <row r="18" spans="1:13">
      <c r="A18">
        <v>173</v>
      </c>
      <c r="B18">
        <v>34</v>
      </c>
      <c r="C18">
        <v>1</v>
      </c>
      <c r="D18">
        <v>0</v>
      </c>
      <c r="E18">
        <v>0</v>
      </c>
      <c r="F18">
        <v>3</v>
      </c>
      <c r="G18">
        <v>5</v>
      </c>
      <c r="H18">
        <v>4</v>
      </c>
      <c r="I18">
        <v>2</v>
      </c>
      <c r="J18">
        <v>0</v>
      </c>
      <c r="K18" t="s">
        <v>6462</v>
      </c>
      <c r="L18" t="s">
        <v>6593</v>
      </c>
    </row>
    <row r="19" spans="1:13">
      <c r="A19">
        <v>173</v>
      </c>
      <c r="B19">
        <v>38</v>
      </c>
      <c r="C19">
        <v>0</v>
      </c>
      <c r="D19">
        <v>1</v>
      </c>
      <c r="E19">
        <v>0</v>
      </c>
      <c r="F19">
        <v>2</v>
      </c>
      <c r="G19">
        <v>6</v>
      </c>
      <c r="H19">
        <v>3</v>
      </c>
      <c r="I19">
        <v>9</v>
      </c>
      <c r="J19">
        <v>0</v>
      </c>
      <c r="K19" t="s">
        <v>6462</v>
      </c>
      <c r="L19" t="s">
        <v>6491</v>
      </c>
    </row>
    <row r="20" spans="1:13">
      <c r="A20">
        <v>173</v>
      </c>
      <c r="B20">
        <v>44</v>
      </c>
      <c r="C20">
        <v>1</v>
      </c>
      <c r="D20">
        <v>1</v>
      </c>
      <c r="E20">
        <v>0</v>
      </c>
      <c r="F20">
        <v>2</v>
      </c>
      <c r="G20">
        <v>0</v>
      </c>
      <c r="H20">
        <v>5</v>
      </c>
      <c r="I20">
        <v>0</v>
      </c>
      <c r="J20">
        <v>0</v>
      </c>
      <c r="K20" t="s">
        <v>6462</v>
      </c>
      <c r="L20" t="s">
        <v>6473</v>
      </c>
    </row>
    <row r="21" spans="1:13">
      <c r="A21">
        <v>173</v>
      </c>
      <c r="B21">
        <v>59</v>
      </c>
      <c r="C21">
        <v>1</v>
      </c>
      <c r="D21">
        <v>0</v>
      </c>
      <c r="E21">
        <v>0</v>
      </c>
      <c r="F21">
        <v>1</v>
      </c>
      <c r="G21">
        <v>0</v>
      </c>
      <c r="H21">
        <v>2</v>
      </c>
      <c r="I21">
        <v>2</v>
      </c>
      <c r="J21">
        <v>1</v>
      </c>
      <c r="K21" t="s">
        <v>6088</v>
      </c>
      <c r="L21" t="s">
        <v>6491</v>
      </c>
    </row>
    <row r="22" spans="1:13">
      <c r="A22">
        <v>173</v>
      </c>
      <c r="B22">
        <v>67</v>
      </c>
      <c r="C22">
        <v>1</v>
      </c>
      <c r="D22">
        <v>1</v>
      </c>
      <c r="E22">
        <v>0</v>
      </c>
      <c r="F22">
        <v>0</v>
      </c>
      <c r="G22">
        <v>0</v>
      </c>
      <c r="H22">
        <v>6</v>
      </c>
      <c r="I22">
        <v>0</v>
      </c>
      <c r="J22">
        <v>1</v>
      </c>
      <c r="K22" t="s">
        <v>6088</v>
      </c>
      <c r="L22" t="s">
        <v>6625</v>
      </c>
    </row>
    <row r="23" spans="1:13">
      <c r="A23">
        <v>173</v>
      </c>
      <c r="B23">
        <v>75</v>
      </c>
      <c r="C23">
        <v>1</v>
      </c>
      <c r="D23">
        <v>1</v>
      </c>
      <c r="E23">
        <v>0</v>
      </c>
      <c r="F23">
        <v>0</v>
      </c>
      <c r="G23">
        <v>0</v>
      </c>
      <c r="H23">
        <v>4</v>
      </c>
      <c r="I23">
        <v>1</v>
      </c>
      <c r="J23">
        <v>1</v>
      </c>
      <c r="K23" t="s">
        <v>6088</v>
      </c>
      <c r="L23" t="s">
        <v>6646</v>
      </c>
    </row>
    <row r="24" spans="1:13">
      <c r="A24">
        <v>173</v>
      </c>
      <c r="B24">
        <v>80</v>
      </c>
      <c r="C24">
        <v>1</v>
      </c>
      <c r="D24">
        <v>0</v>
      </c>
      <c r="E24">
        <v>0</v>
      </c>
      <c r="F24">
        <v>1</v>
      </c>
      <c r="G24">
        <v>0</v>
      </c>
      <c r="H24">
        <v>3</v>
      </c>
      <c r="I24">
        <v>3</v>
      </c>
      <c r="J24">
        <v>1</v>
      </c>
      <c r="K24" t="s">
        <v>6088</v>
      </c>
      <c r="L24" t="s">
        <v>6646</v>
      </c>
    </row>
    <row r="25" spans="1:13">
      <c r="A25">
        <v>175</v>
      </c>
      <c r="B25">
        <v>6</v>
      </c>
      <c r="C25">
        <v>1</v>
      </c>
      <c r="D25">
        <v>0</v>
      </c>
      <c r="E25">
        <v>0</v>
      </c>
      <c r="F25">
        <v>5</v>
      </c>
      <c r="G25">
        <v>0</v>
      </c>
      <c r="H25">
        <v>0</v>
      </c>
      <c r="I25">
        <v>3</v>
      </c>
      <c r="J25">
        <v>0</v>
      </c>
      <c r="K25" t="s">
        <v>6462</v>
      </c>
      <c r="L25" t="s">
        <v>6479</v>
      </c>
    </row>
    <row r="26" spans="1:13">
      <c r="A26">
        <v>175</v>
      </c>
      <c r="B26">
        <v>12</v>
      </c>
      <c r="C26">
        <v>1</v>
      </c>
      <c r="D26">
        <v>1</v>
      </c>
      <c r="E26">
        <v>0</v>
      </c>
      <c r="F26">
        <v>1</v>
      </c>
      <c r="G26">
        <v>3</v>
      </c>
      <c r="H26">
        <v>3</v>
      </c>
      <c r="I26">
        <v>0</v>
      </c>
      <c r="J26">
        <v>1</v>
      </c>
      <c r="K26" t="s">
        <v>12</v>
      </c>
      <c r="L26" t="s">
        <v>6491</v>
      </c>
    </row>
    <row r="27" spans="1:13">
      <c r="A27">
        <v>175</v>
      </c>
      <c r="B27">
        <v>21</v>
      </c>
      <c r="C27">
        <v>1</v>
      </c>
      <c r="D27">
        <v>1</v>
      </c>
      <c r="E27">
        <v>0</v>
      </c>
      <c r="F27">
        <v>4</v>
      </c>
      <c r="G27">
        <v>3</v>
      </c>
      <c r="H27">
        <v>2</v>
      </c>
      <c r="I27">
        <v>0</v>
      </c>
      <c r="J27">
        <v>1</v>
      </c>
      <c r="K27" t="s">
        <v>12</v>
      </c>
      <c r="L27" t="s">
        <v>6491</v>
      </c>
    </row>
    <row r="28" spans="1:13">
      <c r="A28">
        <v>175</v>
      </c>
      <c r="B28">
        <v>24</v>
      </c>
      <c r="C28">
        <v>0</v>
      </c>
      <c r="D28">
        <v>1</v>
      </c>
      <c r="E28">
        <v>0</v>
      </c>
      <c r="F28">
        <v>2</v>
      </c>
      <c r="G28">
        <v>3</v>
      </c>
      <c r="H28">
        <v>6</v>
      </c>
      <c r="I28">
        <v>4</v>
      </c>
      <c r="J28">
        <v>0</v>
      </c>
      <c r="K28" t="s">
        <v>6462</v>
      </c>
      <c r="L28" t="s">
        <v>6479</v>
      </c>
    </row>
    <row r="29" spans="1:13">
      <c r="A29">
        <v>175</v>
      </c>
      <c r="B29">
        <v>31</v>
      </c>
      <c r="C29">
        <v>1</v>
      </c>
      <c r="D29">
        <v>1</v>
      </c>
      <c r="E29">
        <v>0</v>
      </c>
      <c r="F29">
        <v>2</v>
      </c>
      <c r="G29">
        <v>0</v>
      </c>
      <c r="H29">
        <v>4</v>
      </c>
      <c r="I29">
        <v>3</v>
      </c>
      <c r="J29">
        <v>0</v>
      </c>
      <c r="K29" t="s">
        <v>6462</v>
      </c>
      <c r="L29" t="s">
        <v>6088</v>
      </c>
    </row>
    <row r="30" spans="1:13">
      <c r="A30">
        <v>175</v>
      </c>
      <c r="B30">
        <v>35</v>
      </c>
      <c r="C30">
        <v>1</v>
      </c>
      <c r="D30">
        <v>1</v>
      </c>
      <c r="E30">
        <v>0</v>
      </c>
      <c r="F30">
        <v>0</v>
      </c>
      <c r="G30">
        <v>0</v>
      </c>
      <c r="H30">
        <v>6</v>
      </c>
      <c r="I30">
        <v>1</v>
      </c>
      <c r="J30">
        <v>0</v>
      </c>
      <c r="K30" t="s">
        <v>6462</v>
      </c>
      <c r="L30" t="s">
        <v>6625</v>
      </c>
    </row>
    <row r="31" spans="1:13">
      <c r="A31">
        <v>175</v>
      </c>
      <c r="B31">
        <v>44</v>
      </c>
      <c r="C31">
        <v>1</v>
      </c>
      <c r="D31">
        <v>0</v>
      </c>
      <c r="E31">
        <v>0</v>
      </c>
      <c r="F31">
        <v>0</v>
      </c>
      <c r="G31">
        <v>0</v>
      </c>
      <c r="H31">
        <v>5</v>
      </c>
      <c r="I31">
        <v>0</v>
      </c>
      <c r="J31">
        <v>1</v>
      </c>
      <c r="K31" t="s">
        <v>12</v>
      </c>
      <c r="L31" t="s">
        <v>6491</v>
      </c>
    </row>
    <row r="32" spans="1:13">
      <c r="A32">
        <v>175</v>
      </c>
      <c r="B32">
        <v>44</v>
      </c>
      <c r="C32">
        <v>1</v>
      </c>
      <c r="D32">
        <v>0</v>
      </c>
      <c r="E32">
        <v>0</v>
      </c>
      <c r="F32">
        <v>0</v>
      </c>
      <c r="G32">
        <v>0</v>
      </c>
      <c r="H32">
        <v>5</v>
      </c>
      <c r="I32">
        <v>0</v>
      </c>
      <c r="J32">
        <v>1</v>
      </c>
      <c r="K32" t="s">
        <v>12</v>
      </c>
    </row>
    <row r="33" spans="1:13">
      <c r="A33">
        <v>175</v>
      </c>
      <c r="B33">
        <v>50</v>
      </c>
      <c r="C33">
        <v>1</v>
      </c>
      <c r="D33">
        <v>0</v>
      </c>
      <c r="E33">
        <v>0</v>
      </c>
      <c r="F33">
        <v>0</v>
      </c>
      <c r="G33">
        <v>0</v>
      </c>
      <c r="H33">
        <v>4</v>
      </c>
      <c r="I33">
        <v>0</v>
      </c>
      <c r="J33">
        <v>0</v>
      </c>
      <c r="L33" t="s">
        <v>6525</v>
      </c>
    </row>
    <row r="34" spans="1:13">
      <c r="A34">
        <v>175</v>
      </c>
      <c r="B34">
        <v>57</v>
      </c>
      <c r="C34">
        <v>1</v>
      </c>
      <c r="D34">
        <v>1</v>
      </c>
      <c r="E34">
        <v>0</v>
      </c>
      <c r="F34">
        <v>0</v>
      </c>
      <c r="G34">
        <v>0</v>
      </c>
      <c r="H34">
        <v>4</v>
      </c>
      <c r="I34">
        <v>4</v>
      </c>
      <c r="J34">
        <v>1</v>
      </c>
      <c r="K34" t="s">
        <v>12</v>
      </c>
      <c r="L34" t="s">
        <v>6640</v>
      </c>
    </row>
    <row r="35" spans="1:13">
      <c r="A35">
        <v>175</v>
      </c>
      <c r="B35">
        <v>66</v>
      </c>
      <c r="C35">
        <v>0</v>
      </c>
      <c r="D35">
        <v>1</v>
      </c>
      <c r="E35">
        <v>0</v>
      </c>
      <c r="F35">
        <v>3</v>
      </c>
      <c r="G35">
        <v>5</v>
      </c>
      <c r="H35">
        <v>3</v>
      </c>
      <c r="I35">
        <v>6</v>
      </c>
      <c r="J35">
        <v>0</v>
      </c>
      <c r="K35" t="s">
        <v>6462</v>
      </c>
      <c r="L35" t="s">
        <v>6479</v>
      </c>
    </row>
    <row r="36" spans="1:13">
      <c r="A36">
        <v>175</v>
      </c>
      <c r="B36">
        <v>66</v>
      </c>
      <c r="C36">
        <v>1</v>
      </c>
      <c r="D36">
        <v>1</v>
      </c>
      <c r="E36">
        <v>0</v>
      </c>
      <c r="F36">
        <v>3</v>
      </c>
      <c r="G36">
        <v>0</v>
      </c>
      <c r="H36">
        <v>0</v>
      </c>
      <c r="I36">
        <v>2</v>
      </c>
      <c r="J36">
        <v>1</v>
      </c>
      <c r="L36" t="s">
        <v>6479</v>
      </c>
    </row>
    <row r="37" spans="1:13">
      <c r="A37">
        <v>175</v>
      </c>
      <c r="B37">
        <v>81</v>
      </c>
      <c r="C37">
        <v>1</v>
      </c>
      <c r="D37">
        <v>0</v>
      </c>
      <c r="E37">
        <v>0</v>
      </c>
      <c r="F37">
        <v>0</v>
      </c>
      <c r="G37">
        <v>0</v>
      </c>
      <c r="H37">
        <v>5</v>
      </c>
      <c r="I37">
        <v>0</v>
      </c>
      <c r="J37">
        <v>1</v>
      </c>
      <c r="K37" t="s">
        <v>12</v>
      </c>
      <c r="L37" t="s">
        <v>6646</v>
      </c>
      <c r="M37" t="s">
        <v>6886</v>
      </c>
    </row>
    <row r="38" spans="1:13">
      <c r="A38">
        <v>176</v>
      </c>
      <c r="B38">
        <v>4</v>
      </c>
      <c r="C38">
        <v>1</v>
      </c>
      <c r="D38">
        <v>0</v>
      </c>
      <c r="E38">
        <v>0</v>
      </c>
      <c r="F38">
        <v>0</v>
      </c>
      <c r="G38">
        <v>6</v>
      </c>
      <c r="H38">
        <v>2</v>
      </c>
      <c r="I38">
        <v>0</v>
      </c>
      <c r="J38">
        <v>1</v>
      </c>
      <c r="L38" t="s">
        <v>6481</v>
      </c>
    </row>
    <row r="39" spans="1:13">
      <c r="A39">
        <v>176</v>
      </c>
      <c r="B39">
        <v>15</v>
      </c>
      <c r="C39">
        <v>1</v>
      </c>
      <c r="D39">
        <v>0</v>
      </c>
      <c r="E39">
        <v>0</v>
      </c>
      <c r="F39">
        <v>0</v>
      </c>
      <c r="G39">
        <v>2</v>
      </c>
      <c r="H39">
        <v>7</v>
      </c>
      <c r="I39">
        <v>0</v>
      </c>
      <c r="J39">
        <v>1</v>
      </c>
      <c r="K39" t="s">
        <v>12</v>
      </c>
      <c r="L39" t="s">
        <v>6512</v>
      </c>
      <c r="M39" t="s">
        <v>6527</v>
      </c>
    </row>
    <row r="40" spans="1:13">
      <c r="A40">
        <v>176</v>
      </c>
      <c r="B40">
        <v>25</v>
      </c>
      <c r="C40">
        <v>0</v>
      </c>
      <c r="D40">
        <v>0</v>
      </c>
      <c r="E40">
        <v>0</v>
      </c>
      <c r="F40">
        <v>7</v>
      </c>
      <c r="G40">
        <v>5</v>
      </c>
      <c r="H40">
        <v>2</v>
      </c>
      <c r="I40">
        <v>3</v>
      </c>
      <c r="J40">
        <v>1</v>
      </c>
      <c r="K40" t="s">
        <v>12</v>
      </c>
      <c r="L40" t="s">
        <v>6565</v>
      </c>
    </row>
    <row r="41" spans="1:13">
      <c r="A41">
        <v>176</v>
      </c>
      <c r="B41">
        <v>34</v>
      </c>
      <c r="C41">
        <v>1</v>
      </c>
      <c r="D41">
        <v>1</v>
      </c>
      <c r="E41">
        <v>0</v>
      </c>
      <c r="F41">
        <v>1</v>
      </c>
      <c r="G41">
        <v>0</v>
      </c>
      <c r="H41">
        <v>8</v>
      </c>
      <c r="I41">
        <v>0</v>
      </c>
      <c r="J41">
        <v>0</v>
      </c>
      <c r="K41" t="s">
        <v>6462</v>
      </c>
      <c r="L41" t="s">
        <v>6491</v>
      </c>
    </row>
    <row r="42" spans="1:13">
      <c r="A42">
        <v>176</v>
      </c>
      <c r="B42">
        <v>40</v>
      </c>
      <c r="C42">
        <v>1</v>
      </c>
      <c r="D42">
        <v>0</v>
      </c>
      <c r="E42">
        <v>0</v>
      </c>
      <c r="F42">
        <v>0</v>
      </c>
      <c r="G42">
        <v>0</v>
      </c>
      <c r="H42">
        <v>3</v>
      </c>
      <c r="I42">
        <v>4</v>
      </c>
      <c r="J42">
        <v>0</v>
      </c>
      <c r="K42" t="s">
        <v>12</v>
      </c>
      <c r="L42" t="s">
        <v>6479</v>
      </c>
      <c r="M42" t="s">
        <v>6634</v>
      </c>
    </row>
    <row r="43" spans="1:13">
      <c r="A43">
        <v>176</v>
      </c>
      <c r="B43">
        <v>50</v>
      </c>
      <c r="C43">
        <v>1</v>
      </c>
      <c r="D43">
        <v>0</v>
      </c>
      <c r="E43">
        <v>1</v>
      </c>
      <c r="F43">
        <v>0</v>
      </c>
      <c r="G43">
        <v>0</v>
      </c>
      <c r="H43">
        <v>4</v>
      </c>
      <c r="I43">
        <v>0</v>
      </c>
      <c r="J43">
        <v>1</v>
      </c>
      <c r="K43" t="s">
        <v>6088</v>
      </c>
      <c r="L43" t="s">
        <v>6525</v>
      </c>
    </row>
    <row r="44" spans="1:13">
      <c r="A44">
        <v>176</v>
      </c>
      <c r="B44">
        <v>73</v>
      </c>
      <c r="C44">
        <v>0</v>
      </c>
      <c r="D44">
        <v>1</v>
      </c>
      <c r="E44">
        <v>0</v>
      </c>
      <c r="F44">
        <v>4</v>
      </c>
      <c r="G44">
        <v>3</v>
      </c>
      <c r="H44">
        <v>6</v>
      </c>
      <c r="I44">
        <v>2</v>
      </c>
      <c r="J44">
        <v>0</v>
      </c>
      <c r="K44" t="s">
        <v>6462</v>
      </c>
      <c r="L44" t="s">
        <v>6088</v>
      </c>
    </row>
    <row r="45" spans="1:13">
      <c r="A45">
        <v>176</v>
      </c>
      <c r="B45">
        <v>79</v>
      </c>
      <c r="C45">
        <v>1</v>
      </c>
      <c r="D45">
        <v>0</v>
      </c>
      <c r="E45">
        <v>1</v>
      </c>
      <c r="F45">
        <v>0</v>
      </c>
      <c r="G45">
        <v>0</v>
      </c>
      <c r="H45">
        <v>7</v>
      </c>
      <c r="I45">
        <v>0</v>
      </c>
      <c r="J45">
        <v>1</v>
      </c>
      <c r="K45" t="s">
        <v>6088</v>
      </c>
      <c r="L45" t="s">
        <v>6491</v>
      </c>
      <c r="M45" t="s">
        <v>6884</v>
      </c>
    </row>
    <row r="46" spans="1:13">
      <c r="A46">
        <v>177</v>
      </c>
      <c r="B46">
        <v>14</v>
      </c>
      <c r="C46">
        <v>1</v>
      </c>
      <c r="D46">
        <v>0</v>
      </c>
      <c r="E46">
        <v>0</v>
      </c>
      <c r="F46">
        <v>0</v>
      </c>
      <c r="G46">
        <v>0</v>
      </c>
      <c r="H46">
        <v>5</v>
      </c>
      <c r="I46">
        <v>0</v>
      </c>
      <c r="J46">
        <v>1</v>
      </c>
      <c r="K46" t="s">
        <v>6088</v>
      </c>
      <c r="L46" t="s">
        <v>6512</v>
      </c>
      <c r="M46" t="s">
        <v>6523</v>
      </c>
    </row>
    <row r="47" spans="1:13">
      <c r="A47">
        <v>177</v>
      </c>
      <c r="B47">
        <v>17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1</v>
      </c>
      <c r="K47" t="s">
        <v>12</v>
      </c>
      <c r="L47" t="s">
        <v>6491</v>
      </c>
    </row>
    <row r="48" spans="1:13">
      <c r="A48">
        <v>177</v>
      </c>
      <c r="B48">
        <v>27</v>
      </c>
      <c r="C48">
        <v>1</v>
      </c>
      <c r="D48">
        <v>0</v>
      </c>
      <c r="E48">
        <v>0</v>
      </c>
      <c r="F48">
        <v>0</v>
      </c>
      <c r="G48">
        <v>4</v>
      </c>
      <c r="H48">
        <v>2</v>
      </c>
      <c r="I48">
        <v>2</v>
      </c>
      <c r="J48">
        <v>1</v>
      </c>
      <c r="K48" t="s">
        <v>12</v>
      </c>
      <c r="L48" t="s">
        <v>6479</v>
      </c>
    </row>
    <row r="49" spans="1:13">
      <c r="A49">
        <v>177</v>
      </c>
      <c r="B49">
        <v>30</v>
      </c>
      <c r="C49">
        <v>1</v>
      </c>
      <c r="D49">
        <v>1</v>
      </c>
      <c r="E49">
        <v>0</v>
      </c>
      <c r="F49">
        <v>0</v>
      </c>
      <c r="G49">
        <v>0</v>
      </c>
      <c r="H49">
        <v>8</v>
      </c>
      <c r="I49">
        <v>0</v>
      </c>
      <c r="J49">
        <v>1</v>
      </c>
      <c r="K49" t="s">
        <v>6088</v>
      </c>
      <c r="L49" t="s">
        <v>6565</v>
      </c>
      <c r="M49" t="s">
        <v>6591</v>
      </c>
    </row>
    <row r="50" spans="1:13">
      <c r="A50">
        <v>177</v>
      </c>
      <c r="B50">
        <v>40</v>
      </c>
      <c r="C50">
        <v>1</v>
      </c>
      <c r="D50">
        <v>0</v>
      </c>
      <c r="E50">
        <v>0</v>
      </c>
      <c r="F50">
        <v>2</v>
      </c>
      <c r="G50">
        <v>4</v>
      </c>
      <c r="H50">
        <v>5</v>
      </c>
      <c r="I50">
        <v>6</v>
      </c>
      <c r="J50">
        <v>1</v>
      </c>
      <c r="K50" t="s">
        <v>12</v>
      </c>
      <c r="L50" t="s">
        <v>6479</v>
      </c>
    </row>
    <row r="51" spans="1:13">
      <c r="A51">
        <v>177</v>
      </c>
      <c r="B51">
        <v>43</v>
      </c>
      <c r="C51">
        <v>1</v>
      </c>
      <c r="D51">
        <v>0</v>
      </c>
      <c r="E51">
        <v>0</v>
      </c>
      <c r="F51">
        <v>2</v>
      </c>
      <c r="G51">
        <v>0</v>
      </c>
      <c r="H51">
        <v>3</v>
      </c>
      <c r="I51">
        <v>7</v>
      </c>
      <c r="J51">
        <v>1</v>
      </c>
      <c r="K51" t="s">
        <v>6088</v>
      </c>
      <c r="L51" t="s">
        <v>6640</v>
      </c>
      <c r="M51" t="s">
        <v>6643</v>
      </c>
    </row>
    <row r="52" spans="1:13">
      <c r="A52">
        <v>177</v>
      </c>
      <c r="B52">
        <v>50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0</v>
      </c>
      <c r="J52">
        <v>1</v>
      </c>
      <c r="K52" t="s">
        <v>12</v>
      </c>
      <c r="L52" t="s">
        <v>6491</v>
      </c>
      <c r="M52" t="s">
        <v>6663</v>
      </c>
    </row>
    <row r="53" spans="1:13">
      <c r="A53">
        <v>177</v>
      </c>
      <c r="B53">
        <v>58</v>
      </c>
      <c r="C53">
        <v>1</v>
      </c>
      <c r="D53">
        <v>0</v>
      </c>
      <c r="E53">
        <v>0</v>
      </c>
      <c r="F53">
        <v>0</v>
      </c>
      <c r="G53">
        <v>0</v>
      </c>
      <c r="H53">
        <v>5</v>
      </c>
      <c r="I53">
        <v>0</v>
      </c>
      <c r="J53">
        <v>1</v>
      </c>
      <c r="K53" t="s">
        <v>12</v>
      </c>
      <c r="L53" t="s">
        <v>6479</v>
      </c>
    </row>
    <row r="54" spans="1:13">
      <c r="A54">
        <v>177</v>
      </c>
      <c r="B54">
        <v>60</v>
      </c>
      <c r="C54">
        <v>1</v>
      </c>
      <c r="D54">
        <v>0</v>
      </c>
      <c r="E54">
        <v>1</v>
      </c>
      <c r="F54">
        <v>0</v>
      </c>
      <c r="G54">
        <v>2</v>
      </c>
      <c r="H54">
        <v>3</v>
      </c>
      <c r="I54">
        <v>0</v>
      </c>
      <c r="J54">
        <v>1</v>
      </c>
      <c r="K54" t="s">
        <v>12</v>
      </c>
      <c r="L54" t="s">
        <v>6088</v>
      </c>
    </row>
    <row r="55" spans="1:13">
      <c r="A55">
        <v>177</v>
      </c>
      <c r="B55">
        <v>64</v>
      </c>
      <c r="C55">
        <v>1</v>
      </c>
      <c r="D55">
        <v>0</v>
      </c>
      <c r="E55">
        <v>1</v>
      </c>
      <c r="F55">
        <v>2</v>
      </c>
      <c r="G55">
        <v>0</v>
      </c>
      <c r="H55">
        <v>0</v>
      </c>
      <c r="I55">
        <v>0</v>
      </c>
      <c r="J55">
        <v>1</v>
      </c>
      <c r="K55" t="s">
        <v>6088</v>
      </c>
      <c r="L55" t="s">
        <v>6623</v>
      </c>
      <c r="M55" t="s">
        <v>6760</v>
      </c>
    </row>
    <row r="56" spans="1:13">
      <c r="A56">
        <v>177</v>
      </c>
      <c r="B56">
        <v>76</v>
      </c>
      <c r="C56">
        <v>1</v>
      </c>
      <c r="D56">
        <v>1</v>
      </c>
      <c r="E56">
        <v>0</v>
      </c>
      <c r="F56">
        <v>0</v>
      </c>
      <c r="G56">
        <v>0</v>
      </c>
      <c r="H56">
        <v>8</v>
      </c>
      <c r="I56">
        <v>0</v>
      </c>
      <c r="J56">
        <v>1</v>
      </c>
      <c r="K56" t="s">
        <v>6088</v>
      </c>
      <c r="L56" t="s">
        <v>6088</v>
      </c>
    </row>
    <row r="57" spans="1:13">
      <c r="A57">
        <v>177</v>
      </c>
      <c r="B57">
        <v>80</v>
      </c>
      <c r="C57">
        <v>1</v>
      </c>
      <c r="D57">
        <v>0</v>
      </c>
      <c r="E57">
        <v>0</v>
      </c>
      <c r="F57">
        <v>0</v>
      </c>
      <c r="G57">
        <v>2</v>
      </c>
      <c r="H57">
        <v>4</v>
      </c>
      <c r="I57">
        <v>0</v>
      </c>
      <c r="J57">
        <v>1</v>
      </c>
      <c r="K57" t="s">
        <v>12</v>
      </c>
      <c r="L57" t="s">
        <v>6646</v>
      </c>
    </row>
    <row r="58" spans="1:13">
      <c r="A58">
        <v>180</v>
      </c>
      <c r="B58">
        <v>50</v>
      </c>
      <c r="C58">
        <v>1</v>
      </c>
      <c r="D58">
        <v>0</v>
      </c>
      <c r="E58">
        <v>1</v>
      </c>
      <c r="F58">
        <v>0</v>
      </c>
      <c r="G58">
        <v>0</v>
      </c>
      <c r="H58">
        <v>0</v>
      </c>
      <c r="I58">
        <v>8</v>
      </c>
      <c r="J58">
        <v>1</v>
      </c>
      <c r="K58" t="s">
        <v>6088</v>
      </c>
      <c r="L58" t="s">
        <v>6491</v>
      </c>
    </row>
    <row r="59" spans="1:13">
      <c r="A59">
        <v>181</v>
      </c>
      <c r="B59">
        <v>3</v>
      </c>
      <c r="C59">
        <v>1</v>
      </c>
      <c r="D59">
        <v>1</v>
      </c>
      <c r="E59">
        <v>0</v>
      </c>
      <c r="F59">
        <v>0</v>
      </c>
      <c r="G59">
        <v>0</v>
      </c>
      <c r="H59">
        <v>5</v>
      </c>
      <c r="I59">
        <v>1</v>
      </c>
      <c r="J59">
        <v>1</v>
      </c>
      <c r="K59" t="s">
        <v>12</v>
      </c>
      <c r="L59" t="s">
        <v>6088</v>
      </c>
      <c r="M59" t="s">
        <v>6472</v>
      </c>
    </row>
    <row r="60" spans="1:13">
      <c r="A60">
        <v>181</v>
      </c>
      <c r="B60">
        <v>3</v>
      </c>
      <c r="C60">
        <v>1</v>
      </c>
      <c r="D60">
        <v>1</v>
      </c>
      <c r="E60">
        <v>0</v>
      </c>
      <c r="F60">
        <v>0</v>
      </c>
      <c r="G60">
        <v>0</v>
      </c>
      <c r="H60">
        <v>6</v>
      </c>
      <c r="I60">
        <v>0</v>
      </c>
      <c r="J60">
        <v>1</v>
      </c>
      <c r="K60" t="s">
        <v>12</v>
      </c>
      <c r="L60" t="s">
        <v>6473</v>
      </c>
    </row>
    <row r="61" spans="1:13">
      <c r="A61">
        <v>181</v>
      </c>
      <c r="B61">
        <v>8</v>
      </c>
      <c r="C61">
        <v>1</v>
      </c>
      <c r="D61">
        <v>0</v>
      </c>
      <c r="E61">
        <v>0</v>
      </c>
      <c r="F61">
        <v>0</v>
      </c>
      <c r="G61">
        <v>0</v>
      </c>
      <c r="H61">
        <v>7</v>
      </c>
      <c r="I61">
        <v>0</v>
      </c>
      <c r="J61">
        <v>0</v>
      </c>
      <c r="K61" t="s">
        <v>12</v>
      </c>
      <c r="L61" t="s">
        <v>6491</v>
      </c>
      <c r="M61" t="s">
        <v>6497</v>
      </c>
    </row>
    <row r="62" spans="1:13">
      <c r="A62">
        <v>181</v>
      </c>
      <c r="B62">
        <v>19</v>
      </c>
      <c r="C62">
        <v>1</v>
      </c>
      <c r="D62">
        <v>0</v>
      </c>
      <c r="E62">
        <v>0</v>
      </c>
      <c r="F62">
        <v>1</v>
      </c>
      <c r="G62">
        <v>2</v>
      </c>
      <c r="H62">
        <v>0</v>
      </c>
      <c r="I62">
        <v>0</v>
      </c>
      <c r="J62">
        <v>1</v>
      </c>
      <c r="K62" t="s">
        <v>12</v>
      </c>
      <c r="L62" t="s">
        <v>6525</v>
      </c>
    </row>
    <row r="63" spans="1:13">
      <c r="A63">
        <v>181</v>
      </c>
      <c r="B63">
        <v>22</v>
      </c>
      <c r="C63">
        <v>1</v>
      </c>
      <c r="D63">
        <v>1</v>
      </c>
      <c r="E63">
        <v>0</v>
      </c>
      <c r="F63">
        <v>0</v>
      </c>
      <c r="G63">
        <v>0</v>
      </c>
      <c r="H63">
        <v>1</v>
      </c>
      <c r="I63">
        <v>5</v>
      </c>
      <c r="J63">
        <v>0</v>
      </c>
      <c r="K63" t="s">
        <v>6462</v>
      </c>
      <c r="L63" t="s">
        <v>6479</v>
      </c>
      <c r="M63" t="s">
        <v>6568</v>
      </c>
    </row>
    <row r="64" spans="1:13">
      <c r="A64">
        <v>181</v>
      </c>
      <c r="B64">
        <v>29</v>
      </c>
      <c r="C64">
        <v>1</v>
      </c>
      <c r="D64">
        <v>1</v>
      </c>
      <c r="E64">
        <v>0</v>
      </c>
      <c r="F64">
        <v>0</v>
      </c>
      <c r="G64">
        <v>1</v>
      </c>
      <c r="H64">
        <v>3</v>
      </c>
      <c r="I64">
        <v>0</v>
      </c>
      <c r="J64">
        <v>1</v>
      </c>
      <c r="K64" t="s">
        <v>6088</v>
      </c>
      <c r="L64" t="s">
        <v>6088</v>
      </c>
    </row>
    <row r="65" spans="1:13">
      <c r="A65">
        <v>181</v>
      </c>
      <c r="B65">
        <v>40</v>
      </c>
      <c r="C65">
        <v>1</v>
      </c>
      <c r="D65">
        <v>1</v>
      </c>
      <c r="E65">
        <v>0</v>
      </c>
      <c r="F65">
        <v>0</v>
      </c>
      <c r="G65">
        <v>0</v>
      </c>
      <c r="H65">
        <v>5</v>
      </c>
      <c r="I65">
        <v>0</v>
      </c>
      <c r="J65">
        <v>1</v>
      </c>
      <c r="K65" t="s">
        <v>12</v>
      </c>
      <c r="L65" t="s">
        <v>6512</v>
      </c>
    </row>
    <row r="66" spans="1:13">
      <c r="A66">
        <v>181</v>
      </c>
      <c r="B66">
        <v>43</v>
      </c>
      <c r="C66">
        <v>1</v>
      </c>
      <c r="D66">
        <v>0</v>
      </c>
      <c r="E66">
        <v>0</v>
      </c>
      <c r="F66">
        <v>1</v>
      </c>
      <c r="G66">
        <v>6</v>
      </c>
      <c r="H66">
        <v>0</v>
      </c>
      <c r="I66">
        <v>0</v>
      </c>
      <c r="J66">
        <v>1</v>
      </c>
      <c r="K66" t="s">
        <v>12</v>
      </c>
      <c r="L66" t="s">
        <v>6491</v>
      </c>
      <c r="M66" t="s">
        <v>6642</v>
      </c>
    </row>
    <row r="67" spans="1:13">
      <c r="A67">
        <v>181</v>
      </c>
      <c r="B67">
        <v>52</v>
      </c>
      <c r="C67">
        <v>1</v>
      </c>
      <c r="D67">
        <v>0</v>
      </c>
      <c r="E67">
        <v>0</v>
      </c>
      <c r="F67">
        <v>0</v>
      </c>
      <c r="G67">
        <v>0</v>
      </c>
      <c r="H67">
        <v>3</v>
      </c>
      <c r="I67">
        <v>4</v>
      </c>
      <c r="J67">
        <v>1</v>
      </c>
      <c r="K67" t="s">
        <v>6088</v>
      </c>
      <c r="L67" t="s">
        <v>6512</v>
      </c>
    </row>
    <row r="68" spans="1:13">
      <c r="A68">
        <v>181</v>
      </c>
      <c r="B68">
        <v>62</v>
      </c>
      <c r="C68">
        <v>1</v>
      </c>
      <c r="D68">
        <v>1</v>
      </c>
      <c r="E68">
        <v>0</v>
      </c>
      <c r="F68">
        <v>1</v>
      </c>
      <c r="G68">
        <v>0</v>
      </c>
      <c r="H68">
        <v>0</v>
      </c>
      <c r="I68">
        <v>5</v>
      </c>
      <c r="J68">
        <v>0</v>
      </c>
      <c r="K68" t="s">
        <v>6462</v>
      </c>
      <c r="L68" t="s">
        <v>6468</v>
      </c>
    </row>
    <row r="69" spans="1:13">
      <c r="A69">
        <v>181</v>
      </c>
      <c r="B69">
        <v>73</v>
      </c>
      <c r="C69">
        <v>1</v>
      </c>
      <c r="D69">
        <v>0</v>
      </c>
      <c r="E69">
        <v>0</v>
      </c>
      <c r="F69">
        <v>0</v>
      </c>
      <c r="G69">
        <v>4</v>
      </c>
      <c r="H69">
        <v>2</v>
      </c>
      <c r="I69">
        <v>0</v>
      </c>
      <c r="J69">
        <v>1</v>
      </c>
      <c r="K69" t="s">
        <v>12</v>
      </c>
      <c r="L69" t="s">
        <v>6491</v>
      </c>
      <c r="M69" t="s">
        <v>6874</v>
      </c>
    </row>
    <row r="70" spans="1:13">
      <c r="A70">
        <v>190</v>
      </c>
      <c r="B70">
        <v>3</v>
      </c>
      <c r="C70">
        <v>1</v>
      </c>
      <c r="D70">
        <v>0</v>
      </c>
      <c r="E70">
        <v>1</v>
      </c>
      <c r="F70">
        <v>0</v>
      </c>
      <c r="G70">
        <v>0</v>
      </c>
      <c r="H70">
        <v>5</v>
      </c>
      <c r="I70">
        <v>0</v>
      </c>
      <c r="J70">
        <v>0</v>
      </c>
      <c r="K70" t="s">
        <v>6462</v>
      </c>
      <c r="L70" t="s">
        <v>6473</v>
      </c>
    </row>
    <row r="71" spans="1:13">
      <c r="A71">
        <v>190</v>
      </c>
      <c r="B71">
        <v>11</v>
      </c>
      <c r="C71">
        <v>1</v>
      </c>
      <c r="D71">
        <v>0</v>
      </c>
      <c r="E71">
        <v>1</v>
      </c>
      <c r="F71">
        <v>2</v>
      </c>
      <c r="G71">
        <v>0</v>
      </c>
      <c r="H71">
        <v>5</v>
      </c>
      <c r="I71">
        <v>0</v>
      </c>
      <c r="J71">
        <v>0</v>
      </c>
      <c r="K71" t="s">
        <v>6462</v>
      </c>
      <c r="L71" t="s">
        <v>6088</v>
      </c>
      <c r="M71" t="s">
        <v>6514</v>
      </c>
    </row>
    <row r="72" spans="1:13">
      <c r="A72">
        <v>190</v>
      </c>
      <c r="B72">
        <v>20</v>
      </c>
      <c r="C72">
        <v>1</v>
      </c>
      <c r="D72">
        <v>0</v>
      </c>
      <c r="E72">
        <v>0</v>
      </c>
      <c r="F72">
        <v>3</v>
      </c>
      <c r="G72">
        <v>3</v>
      </c>
      <c r="H72">
        <v>1</v>
      </c>
      <c r="I72">
        <v>0</v>
      </c>
      <c r="J72">
        <v>0</v>
      </c>
      <c r="K72" t="s">
        <v>6462</v>
      </c>
      <c r="L72" t="s">
        <v>6479</v>
      </c>
      <c r="M72" t="s">
        <v>6544</v>
      </c>
    </row>
    <row r="73" spans="1:13">
      <c r="A73">
        <v>190</v>
      </c>
      <c r="B73">
        <v>24</v>
      </c>
      <c r="C73">
        <v>1</v>
      </c>
      <c r="D73">
        <v>0</v>
      </c>
      <c r="E73">
        <v>1</v>
      </c>
      <c r="F73">
        <v>0</v>
      </c>
      <c r="G73">
        <v>0</v>
      </c>
      <c r="H73">
        <v>3</v>
      </c>
      <c r="I73">
        <v>3</v>
      </c>
      <c r="J73">
        <v>1</v>
      </c>
      <c r="K73" t="s">
        <v>6088</v>
      </c>
      <c r="L73" t="s">
        <v>6467</v>
      </c>
    </row>
    <row r="74" spans="1:13">
      <c r="A74">
        <v>190</v>
      </c>
      <c r="B74">
        <v>32</v>
      </c>
      <c r="C74">
        <v>1</v>
      </c>
      <c r="D74">
        <v>0</v>
      </c>
      <c r="E74">
        <v>0</v>
      </c>
      <c r="F74">
        <v>2</v>
      </c>
      <c r="G74">
        <v>0</v>
      </c>
      <c r="H74">
        <v>2</v>
      </c>
      <c r="I74">
        <v>7</v>
      </c>
      <c r="J74">
        <v>0</v>
      </c>
      <c r="L74" t="s">
        <v>6491</v>
      </c>
      <c r="M74" t="s">
        <v>6598</v>
      </c>
    </row>
    <row r="75" spans="1:13">
      <c r="A75">
        <v>190</v>
      </c>
      <c r="B75">
        <v>41</v>
      </c>
      <c r="C75">
        <v>1</v>
      </c>
      <c r="D75">
        <v>0</v>
      </c>
      <c r="E75">
        <v>0</v>
      </c>
      <c r="F75">
        <v>0</v>
      </c>
      <c r="G75">
        <v>0</v>
      </c>
      <c r="H75">
        <v>6</v>
      </c>
      <c r="I75">
        <v>0</v>
      </c>
      <c r="J75">
        <v>1</v>
      </c>
      <c r="K75" t="s">
        <v>6088</v>
      </c>
      <c r="L75" t="s">
        <v>6479</v>
      </c>
      <c r="M75" t="s">
        <v>6636</v>
      </c>
    </row>
    <row r="76" spans="1:13">
      <c r="A76">
        <v>190</v>
      </c>
      <c r="B76">
        <v>47</v>
      </c>
      <c r="C76">
        <v>1</v>
      </c>
      <c r="D76">
        <v>0</v>
      </c>
      <c r="E76">
        <v>1</v>
      </c>
      <c r="F76">
        <v>0</v>
      </c>
      <c r="G76">
        <v>4</v>
      </c>
      <c r="H76">
        <v>1</v>
      </c>
      <c r="I76">
        <v>0</v>
      </c>
      <c r="J76">
        <v>1</v>
      </c>
      <c r="K76" t="s">
        <v>6088</v>
      </c>
      <c r="L76" t="s">
        <v>6565</v>
      </c>
    </row>
    <row r="77" spans="1:13">
      <c r="A77">
        <v>190</v>
      </c>
      <c r="B77">
        <v>50</v>
      </c>
      <c r="C77">
        <v>1</v>
      </c>
      <c r="D77">
        <v>0</v>
      </c>
      <c r="E77">
        <v>0</v>
      </c>
      <c r="F77">
        <v>1</v>
      </c>
      <c r="G77">
        <v>0</v>
      </c>
      <c r="H77">
        <v>1</v>
      </c>
      <c r="I77">
        <v>3</v>
      </c>
      <c r="J77">
        <v>0</v>
      </c>
      <c r="K77" t="s">
        <v>6462</v>
      </c>
      <c r="L77" t="s">
        <v>6525</v>
      </c>
    </row>
    <row r="78" spans="1:13">
      <c r="A78">
        <v>190</v>
      </c>
      <c r="B78">
        <v>59</v>
      </c>
      <c r="C78">
        <v>1</v>
      </c>
      <c r="D78">
        <v>0</v>
      </c>
      <c r="E78">
        <v>0</v>
      </c>
      <c r="F78">
        <v>0</v>
      </c>
      <c r="G78">
        <v>0</v>
      </c>
      <c r="H78">
        <v>5</v>
      </c>
      <c r="I78">
        <v>2</v>
      </c>
      <c r="J78">
        <v>1</v>
      </c>
      <c r="K78" t="s">
        <v>6490</v>
      </c>
      <c r="L78" t="s">
        <v>6491</v>
      </c>
    </row>
    <row r="79" spans="1:13">
      <c r="A79">
        <v>190</v>
      </c>
      <c r="B79">
        <v>59</v>
      </c>
      <c r="C79">
        <v>1</v>
      </c>
      <c r="D79">
        <v>1</v>
      </c>
      <c r="E79">
        <v>0</v>
      </c>
      <c r="F79">
        <v>0</v>
      </c>
      <c r="G79">
        <v>2</v>
      </c>
      <c r="H79">
        <v>2</v>
      </c>
      <c r="I79">
        <v>0</v>
      </c>
      <c r="J79">
        <v>1</v>
      </c>
      <c r="K79" t="s">
        <v>6088</v>
      </c>
      <c r="L79" t="s">
        <v>6088</v>
      </c>
      <c r="M79" t="s">
        <v>6720</v>
      </c>
    </row>
    <row r="80" spans="1:13">
      <c r="A80">
        <v>190</v>
      </c>
      <c r="B80">
        <v>63</v>
      </c>
      <c r="C80">
        <v>1</v>
      </c>
      <c r="D80">
        <v>1</v>
      </c>
      <c r="E80">
        <v>0</v>
      </c>
      <c r="F80">
        <v>1</v>
      </c>
      <c r="G80">
        <v>0</v>
      </c>
      <c r="H80">
        <v>2</v>
      </c>
      <c r="I80">
        <v>2</v>
      </c>
      <c r="J80">
        <v>1</v>
      </c>
      <c r="K80" t="s">
        <v>6490</v>
      </c>
      <c r="L80" t="s">
        <v>6512</v>
      </c>
    </row>
    <row r="81" spans="1:13">
      <c r="A81">
        <v>190</v>
      </c>
      <c r="B81">
        <v>64</v>
      </c>
      <c r="C81">
        <v>0</v>
      </c>
      <c r="D81">
        <v>1</v>
      </c>
      <c r="E81">
        <v>0</v>
      </c>
      <c r="F81">
        <v>3</v>
      </c>
      <c r="G81">
        <v>2</v>
      </c>
      <c r="H81">
        <v>8</v>
      </c>
      <c r="I81">
        <v>8</v>
      </c>
      <c r="J81">
        <v>0</v>
      </c>
      <c r="K81" t="s">
        <v>6462</v>
      </c>
      <c r="L81" t="s">
        <v>6479</v>
      </c>
      <c r="M81" t="s">
        <v>6759</v>
      </c>
    </row>
    <row r="82" spans="1:13">
      <c r="A82">
        <v>190</v>
      </c>
      <c r="B82">
        <v>78</v>
      </c>
      <c r="C82">
        <v>1</v>
      </c>
      <c r="D82">
        <v>0</v>
      </c>
      <c r="E82">
        <v>1</v>
      </c>
      <c r="F82">
        <v>2</v>
      </c>
      <c r="G82">
        <v>0</v>
      </c>
      <c r="H82">
        <v>1</v>
      </c>
      <c r="I82">
        <v>0</v>
      </c>
      <c r="J82">
        <v>0</v>
      </c>
      <c r="K82" t="s">
        <v>6462</v>
      </c>
      <c r="L82" t="s">
        <v>6088</v>
      </c>
    </row>
    <row r="83" spans="1:13">
      <c r="A83">
        <v>195</v>
      </c>
      <c r="B83">
        <v>6</v>
      </c>
      <c r="C83">
        <v>1</v>
      </c>
      <c r="D83">
        <v>1</v>
      </c>
      <c r="E83">
        <v>0</v>
      </c>
      <c r="F83">
        <v>0</v>
      </c>
      <c r="G83">
        <v>6</v>
      </c>
      <c r="H83">
        <v>0</v>
      </c>
      <c r="I83">
        <v>2</v>
      </c>
      <c r="J83">
        <v>1</v>
      </c>
      <c r="K83" t="s">
        <v>12</v>
      </c>
    </row>
    <row r="84" spans="1:13">
      <c r="A84">
        <v>195</v>
      </c>
      <c r="B84">
        <v>10</v>
      </c>
      <c r="C84">
        <v>1</v>
      </c>
      <c r="D84">
        <v>0</v>
      </c>
      <c r="E84">
        <v>1</v>
      </c>
      <c r="F84">
        <v>0</v>
      </c>
      <c r="G84">
        <v>4</v>
      </c>
      <c r="H84">
        <v>1</v>
      </c>
      <c r="I84">
        <v>3</v>
      </c>
      <c r="J84">
        <v>1</v>
      </c>
      <c r="K84" t="s">
        <v>6088</v>
      </c>
      <c r="L84" t="s">
        <v>6491</v>
      </c>
      <c r="M84" t="s">
        <v>6511</v>
      </c>
    </row>
    <row r="85" spans="1:13">
      <c r="A85">
        <v>195</v>
      </c>
      <c r="B85">
        <v>18</v>
      </c>
      <c r="C85">
        <v>1</v>
      </c>
      <c r="D85">
        <v>1</v>
      </c>
      <c r="E85">
        <v>0</v>
      </c>
      <c r="F85">
        <v>1</v>
      </c>
      <c r="G85">
        <v>3</v>
      </c>
      <c r="H85">
        <v>3</v>
      </c>
      <c r="I85">
        <v>4</v>
      </c>
      <c r="J85">
        <v>1</v>
      </c>
      <c r="K85" t="s">
        <v>12</v>
      </c>
      <c r="L85" t="s">
        <v>6479</v>
      </c>
      <c r="M85" t="s">
        <v>6533</v>
      </c>
    </row>
    <row r="86" spans="1:13">
      <c r="A86">
        <v>195</v>
      </c>
      <c r="B86">
        <v>33</v>
      </c>
      <c r="C86">
        <v>0</v>
      </c>
      <c r="D86">
        <v>1</v>
      </c>
      <c r="E86">
        <v>0</v>
      </c>
      <c r="F86">
        <v>2</v>
      </c>
      <c r="G86">
        <v>2</v>
      </c>
      <c r="H86">
        <v>6</v>
      </c>
      <c r="I86">
        <v>7</v>
      </c>
      <c r="J86">
        <v>1</v>
      </c>
      <c r="K86" t="s">
        <v>12</v>
      </c>
      <c r="L86" t="s">
        <v>6478</v>
      </c>
    </row>
    <row r="87" spans="1:13">
      <c r="A87">
        <v>195</v>
      </c>
      <c r="B87">
        <v>37</v>
      </c>
      <c r="C87">
        <v>1</v>
      </c>
      <c r="D87">
        <v>1</v>
      </c>
      <c r="E87">
        <v>0</v>
      </c>
      <c r="F87">
        <v>0</v>
      </c>
      <c r="G87">
        <v>0</v>
      </c>
      <c r="H87">
        <v>8</v>
      </c>
      <c r="I87">
        <v>0</v>
      </c>
      <c r="J87">
        <v>1</v>
      </c>
      <c r="K87" t="s">
        <v>12</v>
      </c>
      <c r="L87" t="s">
        <v>6491</v>
      </c>
      <c r="M87" t="s">
        <v>6631</v>
      </c>
    </row>
    <row r="88" spans="1:13">
      <c r="A88">
        <v>195</v>
      </c>
      <c r="B88">
        <v>42</v>
      </c>
      <c r="C88">
        <v>1</v>
      </c>
      <c r="D88">
        <v>1</v>
      </c>
      <c r="E88">
        <v>0</v>
      </c>
      <c r="F88">
        <v>2</v>
      </c>
      <c r="G88">
        <v>3</v>
      </c>
      <c r="H88">
        <v>3</v>
      </c>
      <c r="I88">
        <v>0</v>
      </c>
      <c r="J88">
        <v>1</v>
      </c>
      <c r="K88" t="s">
        <v>6088</v>
      </c>
      <c r="L88" t="s">
        <v>6640</v>
      </c>
      <c r="M88" t="s">
        <v>6641</v>
      </c>
    </row>
    <row r="89" spans="1:13">
      <c r="A89">
        <v>195</v>
      </c>
      <c r="B89">
        <v>50</v>
      </c>
      <c r="C89">
        <v>1</v>
      </c>
      <c r="D89">
        <v>1</v>
      </c>
      <c r="E89">
        <v>0</v>
      </c>
      <c r="F89">
        <v>0</v>
      </c>
      <c r="G89">
        <v>0</v>
      </c>
      <c r="H89">
        <v>5</v>
      </c>
      <c r="I89">
        <v>2</v>
      </c>
      <c r="J89">
        <v>1</v>
      </c>
      <c r="K89" t="s">
        <v>12</v>
      </c>
      <c r="L89" t="s">
        <v>6640</v>
      </c>
      <c r="M89" t="s">
        <v>6664</v>
      </c>
    </row>
    <row r="90" spans="1:13">
      <c r="A90">
        <v>195</v>
      </c>
      <c r="B90">
        <v>56</v>
      </c>
      <c r="C90">
        <v>1</v>
      </c>
      <c r="D90">
        <v>0</v>
      </c>
      <c r="E90">
        <v>1</v>
      </c>
      <c r="F90">
        <v>0</v>
      </c>
      <c r="G90">
        <v>0</v>
      </c>
      <c r="H90">
        <v>3</v>
      </c>
      <c r="I90">
        <v>0</v>
      </c>
      <c r="J90">
        <v>1</v>
      </c>
      <c r="K90" t="s">
        <v>12</v>
      </c>
      <c r="L90" t="s">
        <v>6625</v>
      </c>
      <c r="M90" t="s">
        <v>6712</v>
      </c>
    </row>
    <row r="91" spans="1:13">
      <c r="A91">
        <v>195</v>
      </c>
      <c r="B91">
        <v>56</v>
      </c>
      <c r="C91">
        <v>1</v>
      </c>
      <c r="D91">
        <v>0</v>
      </c>
      <c r="E91">
        <v>1</v>
      </c>
      <c r="F91">
        <v>0</v>
      </c>
      <c r="G91">
        <v>0</v>
      </c>
      <c r="H91">
        <v>7</v>
      </c>
      <c r="I91">
        <v>0</v>
      </c>
      <c r="J91">
        <v>1</v>
      </c>
      <c r="K91" t="s">
        <v>12</v>
      </c>
      <c r="L91" t="s">
        <v>6479</v>
      </c>
      <c r="M91" t="s">
        <v>6716</v>
      </c>
    </row>
    <row r="92" spans="1:13">
      <c r="A92">
        <v>195</v>
      </c>
      <c r="B92">
        <v>66</v>
      </c>
      <c r="C92">
        <v>0</v>
      </c>
      <c r="D92">
        <v>1</v>
      </c>
      <c r="E92">
        <v>0</v>
      </c>
      <c r="F92">
        <v>5</v>
      </c>
      <c r="G92">
        <v>4</v>
      </c>
      <c r="H92">
        <v>8</v>
      </c>
      <c r="I92">
        <v>7</v>
      </c>
      <c r="J92">
        <v>1</v>
      </c>
      <c r="K92" t="s">
        <v>12</v>
      </c>
      <c r="L92" t="s">
        <v>6536</v>
      </c>
      <c r="M92" t="s">
        <v>6763</v>
      </c>
    </row>
    <row r="93" spans="1:13">
      <c r="A93">
        <v>195</v>
      </c>
      <c r="B93">
        <v>82</v>
      </c>
      <c r="C93">
        <v>1</v>
      </c>
      <c r="D93">
        <v>0</v>
      </c>
      <c r="E93">
        <v>1</v>
      </c>
      <c r="F93">
        <v>2</v>
      </c>
      <c r="G93">
        <v>7</v>
      </c>
      <c r="H93">
        <v>2</v>
      </c>
      <c r="I93">
        <v>0</v>
      </c>
      <c r="J93">
        <v>0</v>
      </c>
      <c r="K93" t="s">
        <v>6462</v>
      </c>
      <c r="L93" t="s">
        <v>6491</v>
      </c>
      <c r="M93" t="s">
        <v>6888</v>
      </c>
    </row>
    <row r="94" spans="1:13">
      <c r="A94">
        <v>195</v>
      </c>
      <c r="B94">
        <v>82</v>
      </c>
      <c r="C94">
        <v>1</v>
      </c>
      <c r="D94">
        <v>0</v>
      </c>
      <c r="E94">
        <v>1</v>
      </c>
      <c r="F94">
        <v>2</v>
      </c>
      <c r="G94">
        <v>7</v>
      </c>
      <c r="H94">
        <v>2</v>
      </c>
      <c r="I94">
        <v>0</v>
      </c>
      <c r="J94">
        <v>0</v>
      </c>
      <c r="K94" t="s">
        <v>6462</v>
      </c>
      <c r="L94" t="s">
        <v>6491</v>
      </c>
      <c r="M94" t="s">
        <v>6888</v>
      </c>
    </row>
    <row r="95" spans="1:13">
      <c r="A95">
        <v>230</v>
      </c>
      <c r="B95">
        <v>5</v>
      </c>
      <c r="C95">
        <v>1</v>
      </c>
      <c r="D95">
        <v>1</v>
      </c>
      <c r="E95">
        <v>1</v>
      </c>
      <c r="F95">
        <v>0</v>
      </c>
      <c r="G95">
        <v>0</v>
      </c>
      <c r="H95">
        <v>4</v>
      </c>
      <c r="I95" s="2">
        <v>4</v>
      </c>
      <c r="J95" s="2">
        <v>1</v>
      </c>
      <c r="K95" s="2" t="s">
        <v>6088</v>
      </c>
      <c r="L95" t="s">
        <v>6479</v>
      </c>
    </row>
    <row r="96" spans="1:13">
      <c r="A96">
        <v>230</v>
      </c>
      <c r="B96">
        <v>8</v>
      </c>
      <c r="C96">
        <v>1</v>
      </c>
      <c r="D96">
        <v>0</v>
      </c>
      <c r="E96">
        <v>0</v>
      </c>
      <c r="F96">
        <v>0</v>
      </c>
      <c r="G96">
        <v>0</v>
      </c>
      <c r="H96">
        <v>6</v>
      </c>
      <c r="I96">
        <v>1</v>
      </c>
      <c r="J96">
        <v>1</v>
      </c>
      <c r="K96" t="s">
        <v>12</v>
      </c>
      <c r="L96" t="s">
        <v>6463</v>
      </c>
      <c r="M96" t="s">
        <v>6496</v>
      </c>
    </row>
    <row r="97" spans="1:13">
      <c r="A97">
        <v>230</v>
      </c>
      <c r="B97">
        <v>14</v>
      </c>
      <c r="C97">
        <v>1</v>
      </c>
      <c r="D97">
        <v>1</v>
      </c>
      <c r="E97">
        <v>1</v>
      </c>
      <c r="F97">
        <v>0</v>
      </c>
      <c r="G97">
        <v>4</v>
      </c>
      <c r="H97">
        <v>2</v>
      </c>
      <c r="I97">
        <v>1</v>
      </c>
      <c r="J97">
        <v>1</v>
      </c>
      <c r="K97" t="s">
        <v>12</v>
      </c>
      <c r="L97" t="s">
        <v>6512</v>
      </c>
    </row>
    <row r="98" spans="1:13">
      <c r="A98">
        <v>230</v>
      </c>
      <c r="B98">
        <v>14</v>
      </c>
      <c r="C98">
        <v>1</v>
      </c>
      <c r="D98">
        <v>1</v>
      </c>
      <c r="E98">
        <v>0</v>
      </c>
      <c r="F98">
        <v>0</v>
      </c>
      <c r="G98">
        <v>2</v>
      </c>
      <c r="H98">
        <v>3</v>
      </c>
      <c r="I98">
        <v>0</v>
      </c>
      <c r="J98">
        <v>1</v>
      </c>
      <c r="K98" t="s">
        <v>12</v>
      </c>
      <c r="L98" t="s">
        <v>6512</v>
      </c>
    </row>
    <row r="99" spans="1:13">
      <c r="A99">
        <v>230</v>
      </c>
      <c r="B99">
        <v>22</v>
      </c>
      <c r="C99">
        <v>1</v>
      </c>
      <c r="D99">
        <v>0</v>
      </c>
      <c r="E99">
        <v>0</v>
      </c>
      <c r="F99">
        <v>0</v>
      </c>
      <c r="G99">
        <v>0</v>
      </c>
      <c r="H99">
        <v>4</v>
      </c>
      <c r="I99">
        <v>0</v>
      </c>
      <c r="J99">
        <v>1</v>
      </c>
      <c r="K99" t="s">
        <v>6088</v>
      </c>
      <c r="L99" t="s">
        <v>6536</v>
      </c>
      <c r="M99" t="s">
        <v>6570</v>
      </c>
    </row>
    <row r="100" spans="1:13">
      <c r="A100">
        <v>230</v>
      </c>
      <c r="B100">
        <v>30</v>
      </c>
      <c r="C100">
        <v>1</v>
      </c>
      <c r="D100">
        <v>0</v>
      </c>
      <c r="E100">
        <v>0</v>
      </c>
      <c r="F100">
        <v>0</v>
      </c>
      <c r="G100">
        <v>0</v>
      </c>
      <c r="H100">
        <v>7</v>
      </c>
      <c r="I100">
        <v>0</v>
      </c>
      <c r="J100">
        <v>1</v>
      </c>
      <c r="K100" t="s">
        <v>12</v>
      </c>
      <c r="L100" t="s">
        <v>6593</v>
      </c>
    </row>
    <row r="101" spans="1:13">
      <c r="A101">
        <v>230</v>
      </c>
      <c r="B101">
        <v>39</v>
      </c>
      <c r="C101">
        <v>1</v>
      </c>
      <c r="D101">
        <v>0</v>
      </c>
      <c r="E101">
        <v>1</v>
      </c>
      <c r="F101">
        <v>1</v>
      </c>
      <c r="G101">
        <v>2</v>
      </c>
      <c r="H101">
        <v>3</v>
      </c>
      <c r="I101">
        <v>1</v>
      </c>
      <c r="J101">
        <v>1</v>
      </c>
      <c r="K101" t="s">
        <v>12</v>
      </c>
      <c r="L101" t="s">
        <v>6491</v>
      </c>
      <c r="M101" t="s">
        <v>6633</v>
      </c>
    </row>
    <row r="102" spans="1:13">
      <c r="A102">
        <v>230</v>
      </c>
      <c r="B102">
        <v>45</v>
      </c>
      <c r="C102">
        <v>1</v>
      </c>
      <c r="D102">
        <v>1</v>
      </c>
      <c r="E102">
        <v>1</v>
      </c>
      <c r="F102">
        <v>0</v>
      </c>
      <c r="G102">
        <v>0</v>
      </c>
      <c r="H102">
        <v>6</v>
      </c>
      <c r="I102">
        <v>0</v>
      </c>
      <c r="J102">
        <v>1</v>
      </c>
      <c r="K102" t="s">
        <v>12</v>
      </c>
      <c r="L102" t="s">
        <v>6646</v>
      </c>
      <c r="M102" t="s">
        <v>6647</v>
      </c>
    </row>
    <row r="103" spans="1:13">
      <c r="A103">
        <v>230</v>
      </c>
      <c r="B103">
        <v>52</v>
      </c>
      <c r="C103">
        <v>1</v>
      </c>
      <c r="D103">
        <v>1</v>
      </c>
      <c r="E103">
        <v>0</v>
      </c>
      <c r="F103">
        <v>1</v>
      </c>
      <c r="G103">
        <v>0</v>
      </c>
      <c r="H103">
        <v>6</v>
      </c>
      <c r="I103">
        <v>1</v>
      </c>
      <c r="J103">
        <v>1</v>
      </c>
      <c r="K103" t="s">
        <v>6088</v>
      </c>
      <c r="L103" t="s">
        <v>6582</v>
      </c>
      <c r="M103" t="s">
        <v>6687</v>
      </c>
    </row>
    <row r="104" spans="1:13">
      <c r="A104">
        <v>230</v>
      </c>
      <c r="B104">
        <v>61</v>
      </c>
      <c r="C104">
        <v>1</v>
      </c>
      <c r="D104">
        <v>1</v>
      </c>
      <c r="E104">
        <v>0</v>
      </c>
      <c r="F104">
        <v>0</v>
      </c>
      <c r="G104">
        <v>0</v>
      </c>
      <c r="H104">
        <v>5</v>
      </c>
      <c r="I104">
        <v>3</v>
      </c>
      <c r="J104">
        <v>1</v>
      </c>
      <c r="K104" t="s">
        <v>12</v>
      </c>
      <c r="L104" t="s">
        <v>6640</v>
      </c>
      <c r="M104" t="s">
        <v>6753</v>
      </c>
    </row>
    <row r="105" spans="1:13">
      <c r="A105">
        <v>230</v>
      </c>
      <c r="B105">
        <v>75</v>
      </c>
      <c r="C105">
        <v>1</v>
      </c>
      <c r="D105">
        <v>1</v>
      </c>
      <c r="E105">
        <v>0</v>
      </c>
      <c r="F105">
        <v>0</v>
      </c>
      <c r="G105">
        <v>0</v>
      </c>
      <c r="H105">
        <v>6</v>
      </c>
      <c r="I105">
        <v>0</v>
      </c>
      <c r="J105">
        <v>1</v>
      </c>
      <c r="K105" t="s">
        <v>6088</v>
      </c>
      <c r="L105" t="s">
        <v>6646</v>
      </c>
      <c r="M105" t="s">
        <v>6876</v>
      </c>
    </row>
    <row r="106" spans="1:13">
      <c r="A106">
        <v>230</v>
      </c>
      <c r="B106">
        <v>78</v>
      </c>
      <c r="C106">
        <v>1</v>
      </c>
      <c r="D106">
        <v>1</v>
      </c>
      <c r="E106">
        <v>0</v>
      </c>
      <c r="F106">
        <v>1</v>
      </c>
      <c r="G106">
        <v>0</v>
      </c>
      <c r="H106">
        <v>6</v>
      </c>
      <c r="I106">
        <v>0</v>
      </c>
      <c r="J106">
        <v>1</v>
      </c>
      <c r="K106" t="s">
        <v>12</v>
      </c>
      <c r="L106" t="s">
        <v>6088</v>
      </c>
      <c r="M106" t="s">
        <v>6882</v>
      </c>
    </row>
    <row r="107" spans="1:13">
      <c r="A107">
        <v>236</v>
      </c>
      <c r="B107">
        <v>2</v>
      </c>
      <c r="C107">
        <v>1</v>
      </c>
      <c r="D107">
        <v>1</v>
      </c>
      <c r="E107">
        <v>1</v>
      </c>
      <c r="F107">
        <v>1</v>
      </c>
      <c r="G107">
        <v>0</v>
      </c>
      <c r="H107">
        <v>2</v>
      </c>
      <c r="I107">
        <v>0</v>
      </c>
      <c r="J107">
        <v>1</v>
      </c>
      <c r="K107" t="s">
        <v>12</v>
      </c>
      <c r="L107" t="s">
        <v>6088</v>
      </c>
      <c r="M107" t="s">
        <v>6470</v>
      </c>
    </row>
    <row r="108" spans="1:13">
      <c r="A108">
        <v>236</v>
      </c>
      <c r="B108">
        <v>10</v>
      </c>
      <c r="C108">
        <v>1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6</v>
      </c>
      <c r="J108">
        <v>0</v>
      </c>
      <c r="K108" t="s">
        <v>6462</v>
      </c>
      <c r="L108" t="s">
        <v>6491</v>
      </c>
    </row>
    <row r="109" spans="1:13">
      <c r="A109">
        <v>236</v>
      </c>
      <c r="B109">
        <v>10</v>
      </c>
      <c r="C109">
        <v>1</v>
      </c>
      <c r="D109">
        <v>0</v>
      </c>
      <c r="E109">
        <v>0</v>
      </c>
      <c r="F109">
        <v>1</v>
      </c>
      <c r="G109">
        <v>0</v>
      </c>
      <c r="H109">
        <v>0</v>
      </c>
      <c r="I109">
        <v>2</v>
      </c>
      <c r="J109">
        <v>0</v>
      </c>
      <c r="K109" t="s">
        <v>6462</v>
      </c>
      <c r="L109" t="s">
        <v>6512</v>
      </c>
    </row>
    <row r="110" spans="1:13">
      <c r="A110">
        <v>236</v>
      </c>
      <c r="B110">
        <v>15</v>
      </c>
      <c r="C110">
        <v>1</v>
      </c>
      <c r="D110">
        <v>0</v>
      </c>
      <c r="E110">
        <v>0</v>
      </c>
      <c r="F110">
        <v>0</v>
      </c>
      <c r="G110">
        <v>2</v>
      </c>
      <c r="H110">
        <v>1</v>
      </c>
      <c r="I110">
        <v>0</v>
      </c>
      <c r="J110">
        <v>0</v>
      </c>
      <c r="K110" t="s">
        <v>6462</v>
      </c>
      <c r="L110" t="s">
        <v>6525</v>
      </c>
    </row>
    <row r="111" spans="1:13">
      <c r="A111">
        <v>236</v>
      </c>
      <c r="B111">
        <v>15</v>
      </c>
      <c r="C111">
        <v>1</v>
      </c>
      <c r="D111">
        <v>0</v>
      </c>
      <c r="E111">
        <v>0</v>
      </c>
      <c r="F111">
        <v>0</v>
      </c>
      <c r="G111">
        <v>2</v>
      </c>
      <c r="H111">
        <v>2</v>
      </c>
      <c r="I111">
        <v>0</v>
      </c>
      <c r="J111">
        <v>1</v>
      </c>
      <c r="L111" t="s">
        <v>6528</v>
      </c>
    </row>
    <row r="112" spans="1:13">
      <c r="A112">
        <v>236</v>
      </c>
      <c r="B112">
        <v>24</v>
      </c>
      <c r="C112">
        <v>1</v>
      </c>
      <c r="D112">
        <v>0</v>
      </c>
      <c r="E112">
        <v>0</v>
      </c>
      <c r="F112">
        <v>0</v>
      </c>
      <c r="G112">
        <v>0</v>
      </c>
      <c r="H112">
        <v>3</v>
      </c>
      <c r="I112">
        <v>0</v>
      </c>
      <c r="J112">
        <v>1</v>
      </c>
      <c r="K112" t="s">
        <v>12</v>
      </c>
      <c r="L112" t="s">
        <v>6088</v>
      </c>
    </row>
    <row r="113" spans="1:13">
      <c r="A113">
        <v>236</v>
      </c>
      <c r="B113">
        <v>31</v>
      </c>
      <c r="C113">
        <v>1</v>
      </c>
      <c r="D113">
        <v>0</v>
      </c>
      <c r="E113">
        <v>0</v>
      </c>
      <c r="F113">
        <v>0</v>
      </c>
      <c r="G113">
        <v>2</v>
      </c>
      <c r="H113">
        <v>2</v>
      </c>
      <c r="I113">
        <v>0</v>
      </c>
      <c r="J113">
        <v>1</v>
      </c>
      <c r="K113" t="s">
        <v>6088</v>
      </c>
      <c r="L113" t="s">
        <v>6481</v>
      </c>
    </row>
    <row r="114" spans="1:13">
      <c r="A114">
        <v>236</v>
      </c>
      <c r="B114">
        <v>39</v>
      </c>
      <c r="C114">
        <v>1</v>
      </c>
      <c r="D114">
        <v>1</v>
      </c>
      <c r="E114">
        <v>0</v>
      </c>
      <c r="F114">
        <v>3</v>
      </c>
      <c r="G114">
        <v>0</v>
      </c>
      <c r="H114">
        <v>0</v>
      </c>
      <c r="I114">
        <v>2</v>
      </c>
      <c r="J114">
        <v>1</v>
      </c>
      <c r="K114" t="s">
        <v>12</v>
      </c>
      <c r="L114" t="s">
        <v>6525</v>
      </c>
    </row>
    <row r="115" spans="1:13">
      <c r="A115">
        <v>236</v>
      </c>
      <c r="B115">
        <v>46</v>
      </c>
      <c r="C115">
        <v>1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  <c r="K115" t="s">
        <v>6462</v>
      </c>
      <c r="M115" t="s">
        <v>6654</v>
      </c>
    </row>
    <row r="116" spans="1:13">
      <c r="A116">
        <v>236</v>
      </c>
      <c r="B116">
        <v>52</v>
      </c>
      <c r="C116">
        <v>1</v>
      </c>
      <c r="D116">
        <v>0</v>
      </c>
      <c r="E116">
        <v>1</v>
      </c>
      <c r="F116">
        <v>0</v>
      </c>
      <c r="G116">
        <v>0</v>
      </c>
      <c r="H116">
        <v>1</v>
      </c>
      <c r="I116">
        <v>4</v>
      </c>
      <c r="J116">
        <v>0</v>
      </c>
      <c r="K116" t="s">
        <v>12</v>
      </c>
      <c r="L116" t="s">
        <v>6625</v>
      </c>
      <c r="M116" t="s">
        <v>6686</v>
      </c>
    </row>
    <row r="117" spans="1:13">
      <c r="A117">
        <v>236</v>
      </c>
      <c r="B117">
        <v>58</v>
      </c>
      <c r="C117">
        <v>1</v>
      </c>
      <c r="D117">
        <v>0</v>
      </c>
      <c r="E117">
        <v>0</v>
      </c>
      <c r="F117">
        <v>1</v>
      </c>
      <c r="G117">
        <v>0</v>
      </c>
      <c r="H117">
        <v>5</v>
      </c>
      <c r="I117">
        <v>0</v>
      </c>
      <c r="J117">
        <v>1</v>
      </c>
      <c r="K117" t="s">
        <v>12</v>
      </c>
      <c r="L117" t="s">
        <v>6491</v>
      </c>
      <c r="M117" t="s">
        <v>6718</v>
      </c>
    </row>
    <row r="118" spans="1:13">
      <c r="A118">
        <v>236</v>
      </c>
      <c r="B118">
        <v>58</v>
      </c>
      <c r="C118">
        <v>1</v>
      </c>
      <c r="D118">
        <v>0</v>
      </c>
      <c r="E118">
        <v>0</v>
      </c>
      <c r="F118">
        <v>0</v>
      </c>
      <c r="G118">
        <v>0</v>
      </c>
      <c r="H118">
        <v>2</v>
      </c>
      <c r="I118">
        <v>1</v>
      </c>
      <c r="J118">
        <v>1</v>
      </c>
      <c r="K118" t="s">
        <v>12</v>
      </c>
      <c r="L118" t="s">
        <v>6512</v>
      </c>
    </row>
    <row r="119" spans="1:13">
      <c r="A119">
        <v>236</v>
      </c>
      <c r="B119">
        <v>70</v>
      </c>
      <c r="C119">
        <v>1</v>
      </c>
      <c r="D119">
        <v>0</v>
      </c>
      <c r="E119">
        <v>1</v>
      </c>
      <c r="F119">
        <v>0</v>
      </c>
      <c r="G119">
        <v>0</v>
      </c>
      <c r="H119">
        <v>1</v>
      </c>
      <c r="I119">
        <v>6</v>
      </c>
      <c r="J119">
        <v>1</v>
      </c>
      <c r="K119" t="s">
        <v>6088</v>
      </c>
      <c r="L119" t="s">
        <v>6491</v>
      </c>
    </row>
    <row r="120" spans="1:13">
      <c r="A120">
        <v>558</v>
      </c>
      <c r="B120">
        <v>14</v>
      </c>
      <c r="C120">
        <v>1</v>
      </c>
      <c r="D120">
        <v>1</v>
      </c>
      <c r="E120">
        <v>0</v>
      </c>
      <c r="F120">
        <v>2</v>
      </c>
      <c r="G120">
        <v>0</v>
      </c>
      <c r="H120">
        <v>0</v>
      </c>
      <c r="I120">
        <v>7</v>
      </c>
      <c r="J120">
        <v>0</v>
      </c>
      <c r="K120" t="s">
        <v>6462</v>
      </c>
      <c r="L120" t="s">
        <v>6491</v>
      </c>
    </row>
    <row r="121" spans="1:13">
      <c r="A121">
        <v>558</v>
      </c>
      <c r="B121">
        <v>17</v>
      </c>
      <c r="C121">
        <v>1</v>
      </c>
      <c r="D121">
        <v>1</v>
      </c>
      <c r="E121">
        <v>0</v>
      </c>
      <c r="F121">
        <v>0</v>
      </c>
      <c r="G121">
        <v>0</v>
      </c>
      <c r="H121">
        <v>1</v>
      </c>
      <c r="I121">
        <v>5</v>
      </c>
      <c r="J121">
        <v>0</v>
      </c>
      <c r="L121" t="s">
        <v>6491</v>
      </c>
    </row>
    <row r="122" spans="1:13">
      <c r="A122">
        <v>558</v>
      </c>
      <c r="B122">
        <v>26</v>
      </c>
      <c r="C122">
        <v>1</v>
      </c>
      <c r="D122">
        <v>1</v>
      </c>
      <c r="E122">
        <v>0</v>
      </c>
      <c r="F122">
        <v>1</v>
      </c>
      <c r="G122">
        <v>0</v>
      </c>
      <c r="H122">
        <v>0</v>
      </c>
      <c r="I122">
        <v>8</v>
      </c>
      <c r="J122">
        <v>1</v>
      </c>
      <c r="K122" t="s">
        <v>12</v>
      </c>
      <c r="L122" t="s">
        <v>6482</v>
      </c>
    </row>
    <row r="123" spans="1:13">
      <c r="A123">
        <v>558</v>
      </c>
      <c r="B123">
        <v>29</v>
      </c>
      <c r="C123">
        <v>1</v>
      </c>
      <c r="D123">
        <v>1</v>
      </c>
      <c r="E123">
        <v>0</v>
      </c>
      <c r="F123">
        <v>1</v>
      </c>
      <c r="G123">
        <v>0</v>
      </c>
      <c r="H123">
        <v>4</v>
      </c>
      <c r="I123">
        <v>1</v>
      </c>
      <c r="J123">
        <v>1</v>
      </c>
      <c r="K123" t="s">
        <v>12</v>
      </c>
      <c r="L123" t="s">
        <v>6479</v>
      </c>
    </row>
    <row r="124" spans="1:13">
      <c r="A124">
        <v>558</v>
      </c>
      <c r="B124">
        <v>35</v>
      </c>
      <c r="C124">
        <v>0</v>
      </c>
      <c r="D124">
        <v>1</v>
      </c>
      <c r="E124">
        <v>0</v>
      </c>
      <c r="F124">
        <v>3</v>
      </c>
      <c r="G124">
        <v>5</v>
      </c>
      <c r="H124">
        <v>6</v>
      </c>
      <c r="I124">
        <v>6</v>
      </c>
      <c r="J124">
        <v>1</v>
      </c>
      <c r="K124" t="s">
        <v>12</v>
      </c>
      <c r="L124" t="s">
        <v>6482</v>
      </c>
    </row>
    <row r="125" spans="1:13">
      <c r="A125">
        <v>558</v>
      </c>
      <c r="B125">
        <v>48</v>
      </c>
      <c r="C125">
        <v>1</v>
      </c>
      <c r="D125">
        <v>0</v>
      </c>
      <c r="E125">
        <v>0</v>
      </c>
      <c r="F125">
        <v>0</v>
      </c>
      <c r="G125">
        <v>0</v>
      </c>
      <c r="H125">
        <v>3</v>
      </c>
      <c r="I125">
        <v>0</v>
      </c>
      <c r="J125">
        <v>0</v>
      </c>
      <c r="K125" t="s">
        <v>12</v>
      </c>
      <c r="L125" t="s">
        <v>6491</v>
      </c>
      <c r="M125" t="s">
        <v>6659</v>
      </c>
    </row>
    <row r="126" spans="1:13">
      <c r="A126">
        <v>558</v>
      </c>
      <c r="B126">
        <v>51</v>
      </c>
      <c r="C126">
        <v>1</v>
      </c>
      <c r="D126">
        <v>1</v>
      </c>
      <c r="E126">
        <v>0</v>
      </c>
      <c r="F126">
        <v>3</v>
      </c>
      <c r="G126">
        <v>4</v>
      </c>
      <c r="H126">
        <v>0</v>
      </c>
      <c r="I126">
        <v>0</v>
      </c>
      <c r="J126">
        <v>0</v>
      </c>
      <c r="K126" t="s">
        <v>12</v>
      </c>
      <c r="L126" t="s">
        <v>6482</v>
      </c>
      <c r="M126" t="s">
        <v>6684</v>
      </c>
    </row>
    <row r="127" spans="1:13">
      <c r="A127">
        <v>558</v>
      </c>
      <c r="B127">
        <v>62</v>
      </c>
      <c r="C127">
        <v>0</v>
      </c>
      <c r="D127">
        <v>1</v>
      </c>
      <c r="E127">
        <v>0</v>
      </c>
      <c r="F127">
        <v>1</v>
      </c>
      <c r="G127">
        <v>3</v>
      </c>
      <c r="H127">
        <v>5</v>
      </c>
      <c r="I127">
        <v>6</v>
      </c>
      <c r="J127">
        <v>0</v>
      </c>
      <c r="K127" t="s">
        <v>6462</v>
      </c>
      <c r="L127" t="s">
        <v>6479</v>
      </c>
      <c r="M127" t="s">
        <v>6755</v>
      </c>
    </row>
    <row r="128" spans="1:13">
      <c r="A128">
        <v>558</v>
      </c>
      <c r="B128">
        <v>68</v>
      </c>
      <c r="C128">
        <v>1</v>
      </c>
      <c r="D128">
        <v>1</v>
      </c>
      <c r="E128">
        <v>0</v>
      </c>
      <c r="F128">
        <v>0</v>
      </c>
      <c r="G128">
        <v>0</v>
      </c>
      <c r="H128">
        <v>2</v>
      </c>
      <c r="I128">
        <v>0</v>
      </c>
      <c r="J128">
        <v>1</v>
      </c>
      <c r="K128" t="s">
        <v>6088</v>
      </c>
      <c r="L128" t="s">
        <v>6491</v>
      </c>
      <c r="M128" t="s">
        <v>6765</v>
      </c>
    </row>
    <row r="129" spans="1:13">
      <c r="A129">
        <v>558</v>
      </c>
      <c r="B129">
        <v>74</v>
      </c>
      <c r="C129">
        <v>0</v>
      </c>
      <c r="D129">
        <v>1</v>
      </c>
      <c r="E129">
        <v>0</v>
      </c>
      <c r="F129">
        <v>4</v>
      </c>
      <c r="G129">
        <v>3</v>
      </c>
      <c r="H129">
        <v>3</v>
      </c>
      <c r="I129">
        <v>6</v>
      </c>
      <c r="J129">
        <v>1</v>
      </c>
      <c r="K129" t="s">
        <v>6490</v>
      </c>
      <c r="L129" t="s">
        <v>6479</v>
      </c>
    </row>
    <row r="130" spans="1:13">
      <c r="A130">
        <v>558</v>
      </c>
      <c r="B130">
        <v>74</v>
      </c>
      <c r="C130">
        <v>1</v>
      </c>
      <c r="D130">
        <v>0</v>
      </c>
      <c r="E130">
        <v>0</v>
      </c>
      <c r="F130">
        <v>4</v>
      </c>
      <c r="G130">
        <v>0</v>
      </c>
      <c r="H130">
        <v>0</v>
      </c>
      <c r="I130">
        <v>0</v>
      </c>
      <c r="J130">
        <v>1</v>
      </c>
      <c r="K130" t="s">
        <v>6490</v>
      </c>
      <c r="L130" t="s">
        <v>6479</v>
      </c>
    </row>
    <row r="131" spans="1:13">
      <c r="A131">
        <v>558</v>
      </c>
      <c r="B131">
        <v>78</v>
      </c>
      <c r="C131">
        <v>0</v>
      </c>
      <c r="D131">
        <v>1</v>
      </c>
      <c r="E131">
        <v>0</v>
      </c>
      <c r="F131">
        <v>1</v>
      </c>
      <c r="G131">
        <v>3</v>
      </c>
      <c r="H131">
        <v>5</v>
      </c>
      <c r="I131">
        <v>3</v>
      </c>
      <c r="J131">
        <v>0</v>
      </c>
      <c r="K131" t="s">
        <v>6462</v>
      </c>
      <c r="L131" t="s">
        <v>6565</v>
      </c>
    </row>
    <row r="132" spans="1:13">
      <c r="A132">
        <v>558</v>
      </c>
      <c r="B132">
        <v>78</v>
      </c>
      <c r="C132">
        <v>1</v>
      </c>
      <c r="D132">
        <v>1</v>
      </c>
      <c r="E132">
        <v>0</v>
      </c>
      <c r="F132">
        <v>0</v>
      </c>
      <c r="G132">
        <v>2</v>
      </c>
      <c r="H132">
        <v>2</v>
      </c>
      <c r="I132">
        <v>0</v>
      </c>
      <c r="J132">
        <v>0</v>
      </c>
      <c r="L132" t="s">
        <v>6088</v>
      </c>
    </row>
    <row r="133" spans="1:13">
      <c r="A133">
        <v>571</v>
      </c>
      <c r="B133">
        <v>7</v>
      </c>
      <c r="C133">
        <v>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1</v>
      </c>
      <c r="K133" t="s">
        <v>6490</v>
      </c>
      <c r="L133" t="s">
        <v>6088</v>
      </c>
    </row>
    <row r="134" spans="1:13">
      <c r="A134">
        <v>571</v>
      </c>
      <c r="B134">
        <v>7</v>
      </c>
      <c r="C134">
        <v>1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3</v>
      </c>
      <c r="J134">
        <v>0</v>
      </c>
      <c r="K134" t="s">
        <v>6462</v>
      </c>
      <c r="L134" t="s">
        <v>6088</v>
      </c>
    </row>
    <row r="135" spans="1:13">
      <c r="A135">
        <v>571</v>
      </c>
      <c r="B135">
        <v>12</v>
      </c>
      <c r="C135">
        <v>1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1</v>
      </c>
      <c r="K135" t="s">
        <v>12</v>
      </c>
    </row>
    <row r="136" spans="1:13">
      <c r="A136">
        <v>571</v>
      </c>
      <c r="B136">
        <v>16</v>
      </c>
      <c r="C136">
        <v>1</v>
      </c>
      <c r="D136">
        <v>0</v>
      </c>
      <c r="E136">
        <v>1</v>
      </c>
      <c r="F136">
        <v>0</v>
      </c>
      <c r="G136">
        <v>0</v>
      </c>
      <c r="H136">
        <v>2</v>
      </c>
      <c r="I136">
        <v>0</v>
      </c>
      <c r="J136">
        <v>1</v>
      </c>
      <c r="K136" t="s">
        <v>12</v>
      </c>
      <c r="L136" t="s">
        <v>6479</v>
      </c>
    </row>
    <row r="137" spans="1:13">
      <c r="A137">
        <v>571</v>
      </c>
      <c r="B137">
        <v>23</v>
      </c>
      <c r="C137">
        <v>1</v>
      </c>
      <c r="D137">
        <v>0</v>
      </c>
      <c r="E137">
        <v>0</v>
      </c>
      <c r="F137">
        <v>2</v>
      </c>
      <c r="G137">
        <v>3</v>
      </c>
      <c r="H137">
        <v>2</v>
      </c>
      <c r="I137">
        <v>7</v>
      </c>
      <c r="J137">
        <v>0</v>
      </c>
      <c r="K137" t="s">
        <v>6462</v>
      </c>
      <c r="L137" t="s">
        <v>6536</v>
      </c>
    </row>
    <row r="138" spans="1:13">
      <c r="A138">
        <v>571</v>
      </c>
      <c r="B138">
        <v>23</v>
      </c>
      <c r="C138">
        <v>1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4</v>
      </c>
      <c r="J138">
        <v>0</v>
      </c>
      <c r="L138" t="s">
        <v>6479</v>
      </c>
      <c r="M138" t="s">
        <v>6574</v>
      </c>
    </row>
    <row r="139" spans="1:13">
      <c r="A139">
        <v>571</v>
      </c>
      <c r="B139">
        <v>33</v>
      </c>
      <c r="C139">
        <v>1</v>
      </c>
      <c r="D139">
        <v>0</v>
      </c>
      <c r="E139">
        <v>1</v>
      </c>
      <c r="F139">
        <v>5</v>
      </c>
      <c r="G139">
        <v>0</v>
      </c>
      <c r="H139">
        <v>0</v>
      </c>
      <c r="I139">
        <v>0</v>
      </c>
      <c r="J139">
        <v>1</v>
      </c>
      <c r="K139" t="s">
        <v>12</v>
      </c>
      <c r="L139" t="s">
        <v>6088</v>
      </c>
    </row>
    <row r="140" spans="1:13">
      <c r="A140">
        <v>571</v>
      </c>
      <c r="B140">
        <v>36</v>
      </c>
      <c r="C140">
        <v>1</v>
      </c>
      <c r="D140">
        <v>0</v>
      </c>
      <c r="E140">
        <v>0</v>
      </c>
      <c r="F140">
        <v>1</v>
      </c>
      <c r="G140">
        <v>0</v>
      </c>
      <c r="H140">
        <v>1</v>
      </c>
      <c r="I140">
        <v>0</v>
      </c>
      <c r="J140">
        <v>0</v>
      </c>
      <c r="K140" t="s">
        <v>6462</v>
      </c>
      <c r="L140" t="s">
        <v>6478</v>
      </c>
      <c r="M140" t="s">
        <v>6627</v>
      </c>
    </row>
    <row r="141" spans="1:13">
      <c r="A141">
        <v>571</v>
      </c>
      <c r="B141">
        <v>46</v>
      </c>
      <c r="C141">
        <v>1</v>
      </c>
      <c r="D141">
        <v>0</v>
      </c>
      <c r="E141">
        <v>0</v>
      </c>
      <c r="F141">
        <v>0</v>
      </c>
      <c r="G141">
        <v>0</v>
      </c>
      <c r="H141">
        <v>3</v>
      </c>
      <c r="I141">
        <v>0</v>
      </c>
      <c r="J141">
        <v>1</v>
      </c>
      <c r="K141" t="s">
        <v>6088</v>
      </c>
      <c r="L141" t="s">
        <v>6491</v>
      </c>
    </row>
    <row r="142" spans="1:13">
      <c r="A142">
        <v>571</v>
      </c>
      <c r="B142">
        <v>55</v>
      </c>
      <c r="C142">
        <v>1</v>
      </c>
      <c r="D142">
        <v>0</v>
      </c>
      <c r="E142">
        <v>0</v>
      </c>
      <c r="F142">
        <v>1</v>
      </c>
      <c r="G142">
        <v>0</v>
      </c>
      <c r="H142">
        <v>1</v>
      </c>
      <c r="I142">
        <v>0</v>
      </c>
      <c r="J142">
        <v>1</v>
      </c>
      <c r="K142" t="s">
        <v>12</v>
      </c>
      <c r="L142" t="s">
        <v>6525</v>
      </c>
    </row>
    <row r="143" spans="1:13">
      <c r="A143">
        <v>571</v>
      </c>
      <c r="B143">
        <v>58</v>
      </c>
      <c r="C143">
        <v>1</v>
      </c>
      <c r="D143">
        <v>0</v>
      </c>
      <c r="E143">
        <v>1</v>
      </c>
      <c r="F143">
        <v>1</v>
      </c>
      <c r="G143">
        <v>0</v>
      </c>
      <c r="H143">
        <v>1</v>
      </c>
      <c r="I143">
        <v>0</v>
      </c>
      <c r="J143">
        <v>1</v>
      </c>
      <c r="K143" t="s">
        <v>6088</v>
      </c>
      <c r="L143" t="s">
        <v>6088</v>
      </c>
    </row>
    <row r="144" spans="1:13">
      <c r="A144">
        <v>571</v>
      </c>
      <c r="B144">
        <v>73</v>
      </c>
      <c r="C144">
        <v>1</v>
      </c>
      <c r="D144">
        <v>0</v>
      </c>
      <c r="E144">
        <v>1</v>
      </c>
      <c r="F144">
        <v>0</v>
      </c>
      <c r="G144">
        <v>0</v>
      </c>
      <c r="H144">
        <v>4</v>
      </c>
      <c r="I144">
        <v>0</v>
      </c>
      <c r="J144">
        <v>0</v>
      </c>
      <c r="K144" t="s">
        <v>6462</v>
      </c>
      <c r="L144" t="s">
        <v>6491</v>
      </c>
    </row>
    <row r="145" spans="1:13">
      <c r="A145">
        <v>571</v>
      </c>
      <c r="B145">
        <v>76</v>
      </c>
      <c r="C145">
        <v>1</v>
      </c>
      <c r="D145">
        <v>0</v>
      </c>
      <c r="E145">
        <v>0</v>
      </c>
      <c r="F145">
        <v>2</v>
      </c>
      <c r="G145">
        <v>0</v>
      </c>
      <c r="H145">
        <v>0</v>
      </c>
      <c r="I145">
        <v>2</v>
      </c>
      <c r="J145">
        <v>0</v>
      </c>
      <c r="K145" t="s">
        <v>6462</v>
      </c>
      <c r="L145" t="s">
        <v>6088</v>
      </c>
    </row>
    <row r="146" spans="1:13">
      <c r="A146">
        <v>838</v>
      </c>
      <c r="B146">
        <v>62</v>
      </c>
      <c r="C146">
        <v>1</v>
      </c>
      <c r="D146">
        <v>0</v>
      </c>
      <c r="E146">
        <v>0</v>
      </c>
      <c r="F146">
        <v>1</v>
      </c>
      <c r="G146">
        <v>1</v>
      </c>
      <c r="H146">
        <v>4</v>
      </c>
      <c r="I146">
        <v>0</v>
      </c>
      <c r="J146">
        <v>1</v>
      </c>
      <c r="K146" t="s">
        <v>12</v>
      </c>
      <c r="L146" t="s">
        <v>6468</v>
      </c>
    </row>
    <row r="147" spans="1:13">
      <c r="A147">
        <v>839</v>
      </c>
      <c r="B147">
        <v>11</v>
      </c>
      <c r="C147">
        <v>1</v>
      </c>
      <c r="D147">
        <v>0</v>
      </c>
      <c r="E147">
        <v>0</v>
      </c>
      <c r="F147">
        <v>1</v>
      </c>
      <c r="G147">
        <v>0</v>
      </c>
      <c r="H147">
        <v>5</v>
      </c>
      <c r="I147">
        <v>0</v>
      </c>
      <c r="J147">
        <v>1</v>
      </c>
      <c r="K147" t="s">
        <v>12</v>
      </c>
      <c r="L147" t="s">
        <v>6515</v>
      </c>
      <c r="M147" t="s">
        <v>6516</v>
      </c>
    </row>
    <row r="148" spans="1:13">
      <c r="A148">
        <v>839</v>
      </c>
      <c r="B148">
        <v>17</v>
      </c>
      <c r="C148">
        <v>1</v>
      </c>
      <c r="D148">
        <v>0</v>
      </c>
      <c r="E148">
        <v>0</v>
      </c>
      <c r="F148">
        <v>0</v>
      </c>
      <c r="G148">
        <v>0</v>
      </c>
      <c r="H148">
        <v>3</v>
      </c>
      <c r="I148">
        <v>0</v>
      </c>
      <c r="J148">
        <v>1</v>
      </c>
      <c r="K148" t="s">
        <v>12</v>
      </c>
      <c r="L148" t="s">
        <v>6491</v>
      </c>
      <c r="M148" t="s">
        <v>6522</v>
      </c>
    </row>
    <row r="149" spans="1:13">
      <c r="A149">
        <v>839</v>
      </c>
      <c r="B149">
        <v>22</v>
      </c>
      <c r="C149">
        <v>0</v>
      </c>
      <c r="D149">
        <v>0</v>
      </c>
      <c r="E149">
        <v>0</v>
      </c>
      <c r="F149">
        <v>0</v>
      </c>
      <c r="G149">
        <v>3</v>
      </c>
      <c r="H149">
        <v>4</v>
      </c>
      <c r="I149">
        <v>3</v>
      </c>
      <c r="J149">
        <v>1</v>
      </c>
      <c r="K149" t="s">
        <v>12</v>
      </c>
      <c r="L149" t="s">
        <v>6565</v>
      </c>
    </row>
    <row r="150" spans="1:13">
      <c r="A150">
        <v>839</v>
      </c>
      <c r="B150">
        <v>34</v>
      </c>
      <c r="C150">
        <v>1</v>
      </c>
      <c r="D150">
        <v>0</v>
      </c>
      <c r="E150">
        <v>0</v>
      </c>
      <c r="F150">
        <v>0</v>
      </c>
      <c r="G150">
        <v>3</v>
      </c>
      <c r="H150">
        <v>0</v>
      </c>
      <c r="I150">
        <v>0</v>
      </c>
      <c r="J150">
        <v>1</v>
      </c>
      <c r="K150" t="s">
        <v>6088</v>
      </c>
      <c r="L150" t="s">
        <v>6491</v>
      </c>
    </row>
    <row r="151" spans="1:13">
      <c r="A151">
        <v>839</v>
      </c>
      <c r="B151">
        <v>37</v>
      </c>
      <c r="C151">
        <v>0</v>
      </c>
      <c r="D151">
        <v>1</v>
      </c>
      <c r="E151">
        <v>0</v>
      </c>
      <c r="F151">
        <v>3</v>
      </c>
      <c r="G151">
        <v>5</v>
      </c>
      <c r="H151">
        <v>5</v>
      </c>
      <c r="I151">
        <v>4</v>
      </c>
      <c r="J151">
        <v>1</v>
      </c>
      <c r="K151" t="s">
        <v>12</v>
      </c>
      <c r="L151" t="s">
        <v>6479</v>
      </c>
      <c r="M151" t="s">
        <v>6630</v>
      </c>
    </row>
    <row r="152" spans="1:13">
      <c r="A152">
        <v>839</v>
      </c>
      <c r="B152">
        <v>42</v>
      </c>
      <c r="C152">
        <v>1</v>
      </c>
      <c r="D152">
        <v>0</v>
      </c>
      <c r="E152">
        <v>0</v>
      </c>
      <c r="F152">
        <v>0</v>
      </c>
      <c r="G152">
        <v>4</v>
      </c>
      <c r="H152">
        <v>0</v>
      </c>
      <c r="I152">
        <v>0</v>
      </c>
      <c r="J152">
        <v>1</v>
      </c>
      <c r="K152" t="s">
        <v>6088</v>
      </c>
      <c r="L152" t="s">
        <v>6491</v>
      </c>
    </row>
    <row r="153" spans="1:13">
      <c r="A153">
        <v>839</v>
      </c>
      <c r="B153">
        <v>49</v>
      </c>
      <c r="C153">
        <v>1</v>
      </c>
      <c r="D153">
        <v>0</v>
      </c>
      <c r="E153">
        <v>0</v>
      </c>
      <c r="F153">
        <v>6</v>
      </c>
      <c r="G153">
        <v>0</v>
      </c>
      <c r="H153">
        <v>0</v>
      </c>
      <c r="I153">
        <v>0</v>
      </c>
      <c r="J153">
        <v>1</v>
      </c>
      <c r="K153" t="s">
        <v>6088</v>
      </c>
      <c r="L153" t="s">
        <v>6662</v>
      </c>
    </row>
    <row r="154" spans="1:13">
      <c r="A154">
        <v>839</v>
      </c>
      <c r="B154">
        <v>58</v>
      </c>
      <c r="C154">
        <v>1</v>
      </c>
      <c r="D154">
        <v>0</v>
      </c>
      <c r="E154">
        <v>0</v>
      </c>
      <c r="F154">
        <v>0</v>
      </c>
      <c r="G154">
        <v>0</v>
      </c>
      <c r="H154">
        <v>6</v>
      </c>
      <c r="I154">
        <v>0</v>
      </c>
      <c r="J154">
        <v>1</v>
      </c>
      <c r="K154" t="s">
        <v>12</v>
      </c>
      <c r="L154" t="s">
        <v>6640</v>
      </c>
    </row>
    <row r="155" spans="1:13">
      <c r="A155">
        <v>839</v>
      </c>
      <c r="B155">
        <v>70</v>
      </c>
      <c r="C155">
        <v>1</v>
      </c>
      <c r="D155">
        <v>0</v>
      </c>
      <c r="E155">
        <v>0</v>
      </c>
      <c r="F155">
        <v>1</v>
      </c>
      <c r="G155">
        <v>0</v>
      </c>
      <c r="H155">
        <v>3</v>
      </c>
      <c r="I155">
        <v>1</v>
      </c>
      <c r="J155">
        <v>1</v>
      </c>
      <c r="K155" t="s">
        <v>6088</v>
      </c>
      <c r="L155" t="s">
        <v>6468</v>
      </c>
    </row>
    <row r="156" spans="1:13">
      <c r="A156">
        <v>999</v>
      </c>
      <c r="B156">
        <v>2</v>
      </c>
      <c r="C156">
        <v>0</v>
      </c>
      <c r="D156">
        <v>0</v>
      </c>
      <c r="E156">
        <v>0</v>
      </c>
      <c r="F156">
        <v>0</v>
      </c>
      <c r="G156">
        <v>5</v>
      </c>
      <c r="H156">
        <v>0</v>
      </c>
      <c r="I156">
        <v>3</v>
      </c>
      <c r="J156">
        <v>0</v>
      </c>
      <c r="K156" t="s">
        <v>6462</v>
      </c>
    </row>
    <row r="157" spans="1:13">
      <c r="A157">
        <v>999</v>
      </c>
      <c r="B157">
        <v>8</v>
      </c>
      <c r="C157">
        <v>1</v>
      </c>
      <c r="D157">
        <v>0</v>
      </c>
      <c r="E157">
        <v>0</v>
      </c>
      <c r="F157">
        <v>0</v>
      </c>
      <c r="G157">
        <v>5</v>
      </c>
      <c r="H157">
        <v>0</v>
      </c>
      <c r="I157">
        <v>4</v>
      </c>
      <c r="J157">
        <v>1</v>
      </c>
      <c r="K157" t="s">
        <v>6088</v>
      </c>
      <c r="L157" t="s">
        <v>6491</v>
      </c>
    </row>
    <row r="158" spans="1:13">
      <c r="A158">
        <v>999</v>
      </c>
      <c r="B158">
        <v>27</v>
      </c>
      <c r="C158">
        <v>1</v>
      </c>
      <c r="D158">
        <v>1</v>
      </c>
      <c r="E158">
        <v>1</v>
      </c>
      <c r="F158">
        <v>0</v>
      </c>
      <c r="G158">
        <v>6</v>
      </c>
      <c r="H158">
        <v>0</v>
      </c>
      <c r="I158">
        <v>0</v>
      </c>
      <c r="J158">
        <v>1</v>
      </c>
      <c r="K158" t="s">
        <v>6088</v>
      </c>
      <c r="L158" t="s">
        <v>6582</v>
      </c>
    </row>
    <row r="159" spans="1:13">
      <c r="A159">
        <v>999</v>
      </c>
      <c r="B159">
        <v>32</v>
      </c>
      <c r="C159">
        <v>0</v>
      </c>
      <c r="D159">
        <v>1</v>
      </c>
      <c r="E159">
        <v>0</v>
      </c>
      <c r="F159">
        <v>4</v>
      </c>
      <c r="G159">
        <v>3</v>
      </c>
      <c r="H159">
        <v>2</v>
      </c>
      <c r="I159">
        <v>9</v>
      </c>
      <c r="J159">
        <v>0</v>
      </c>
      <c r="K159" t="s">
        <v>6462</v>
      </c>
      <c r="L159" t="s">
        <v>6491</v>
      </c>
    </row>
    <row r="160" spans="1:13">
      <c r="A160">
        <v>999</v>
      </c>
      <c r="B160">
        <v>38</v>
      </c>
      <c r="C160">
        <v>1</v>
      </c>
      <c r="D160">
        <v>0</v>
      </c>
      <c r="E160">
        <v>0</v>
      </c>
      <c r="F160">
        <v>0</v>
      </c>
      <c r="G160">
        <v>5</v>
      </c>
      <c r="H160">
        <v>0</v>
      </c>
      <c r="I160">
        <v>0</v>
      </c>
      <c r="J160">
        <v>0</v>
      </c>
      <c r="L160" t="s">
        <v>6479</v>
      </c>
    </row>
    <row r="161" spans="1:13">
      <c r="A161">
        <v>999</v>
      </c>
      <c r="B161">
        <v>45</v>
      </c>
      <c r="C161">
        <v>0</v>
      </c>
      <c r="D161">
        <v>0</v>
      </c>
      <c r="E161">
        <v>0</v>
      </c>
      <c r="F161">
        <v>1</v>
      </c>
      <c r="G161">
        <v>3</v>
      </c>
      <c r="H161">
        <v>0</v>
      </c>
      <c r="I161">
        <v>4</v>
      </c>
      <c r="J161">
        <v>1</v>
      </c>
      <c r="K161" t="s">
        <v>6088</v>
      </c>
      <c r="L161" t="s">
        <v>6512</v>
      </c>
      <c r="M161" t="s">
        <v>6648</v>
      </c>
    </row>
    <row r="162" spans="1:13">
      <c r="A162">
        <v>999</v>
      </c>
      <c r="B162">
        <v>57</v>
      </c>
      <c r="C162">
        <v>1</v>
      </c>
      <c r="D162">
        <v>0</v>
      </c>
      <c r="E162">
        <v>0</v>
      </c>
      <c r="F162">
        <v>0</v>
      </c>
      <c r="G162">
        <v>6</v>
      </c>
      <c r="H162">
        <v>0</v>
      </c>
      <c r="I162">
        <v>1</v>
      </c>
      <c r="J162">
        <v>0</v>
      </c>
      <c r="K162" t="s">
        <v>6088</v>
      </c>
      <c r="L162" t="s">
        <v>6482</v>
      </c>
    </row>
    <row r="163" spans="1:13">
      <c r="A163">
        <v>999</v>
      </c>
      <c r="B163">
        <v>70</v>
      </c>
      <c r="C163">
        <v>1</v>
      </c>
      <c r="D163">
        <v>0</v>
      </c>
      <c r="E163">
        <v>0</v>
      </c>
      <c r="F163">
        <v>0</v>
      </c>
      <c r="G163">
        <v>5</v>
      </c>
      <c r="H163">
        <v>0</v>
      </c>
      <c r="I163">
        <v>2</v>
      </c>
      <c r="J163">
        <v>0</v>
      </c>
      <c r="K163" t="s">
        <v>6462</v>
      </c>
      <c r="L163" t="s">
        <v>6491</v>
      </c>
    </row>
    <row r="164" spans="1:13">
      <c r="A164">
        <v>999</v>
      </c>
      <c r="B164">
        <v>79</v>
      </c>
      <c r="C164">
        <v>1</v>
      </c>
      <c r="D164">
        <v>0</v>
      </c>
      <c r="E164">
        <v>0</v>
      </c>
      <c r="F164">
        <v>0</v>
      </c>
      <c r="G164">
        <v>5</v>
      </c>
      <c r="H164">
        <v>0</v>
      </c>
      <c r="I164">
        <v>0</v>
      </c>
      <c r="J164">
        <v>0</v>
      </c>
      <c r="K164" t="s">
        <v>6462</v>
      </c>
      <c r="L164" t="s">
        <v>6473</v>
      </c>
    </row>
    <row r="165" spans="1:13">
      <c r="A165">
        <v>1027</v>
      </c>
      <c r="B165">
        <v>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 t="s">
        <v>6462</v>
      </c>
      <c r="L165" t="s">
        <v>6463</v>
      </c>
      <c r="M165" t="s">
        <v>6489</v>
      </c>
    </row>
    <row r="166" spans="1:13">
      <c r="A166">
        <v>1027</v>
      </c>
      <c r="B166">
        <v>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 t="s">
        <v>6462</v>
      </c>
      <c r="L166" t="s">
        <v>6491</v>
      </c>
      <c r="M166" t="s">
        <v>6501</v>
      </c>
    </row>
    <row r="167" spans="1:13">
      <c r="A167">
        <v>1027</v>
      </c>
      <c r="B167">
        <v>20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 t="s">
        <v>6462</v>
      </c>
      <c r="M167" t="s">
        <v>6541</v>
      </c>
    </row>
    <row r="168" spans="1:13">
      <c r="A168">
        <v>1027</v>
      </c>
      <c r="B168">
        <v>23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 t="s">
        <v>6462</v>
      </c>
      <c r="M168" t="s">
        <v>6571</v>
      </c>
    </row>
    <row r="169" spans="1:13">
      <c r="A169">
        <v>1027</v>
      </c>
      <c r="B169">
        <v>28</v>
      </c>
      <c r="C169">
        <v>0</v>
      </c>
      <c r="D169">
        <v>0</v>
      </c>
      <c r="E169">
        <v>0</v>
      </c>
      <c r="F169">
        <v>0</v>
      </c>
      <c r="G169">
        <v>3</v>
      </c>
      <c r="H169">
        <v>0</v>
      </c>
      <c r="I169">
        <v>3</v>
      </c>
      <c r="J169">
        <v>0</v>
      </c>
      <c r="K169" t="s">
        <v>6462</v>
      </c>
      <c r="L169" t="s">
        <v>6476</v>
      </c>
      <c r="M169" t="s">
        <v>6586</v>
      </c>
    </row>
    <row r="170" spans="1:13">
      <c r="A170">
        <v>1027</v>
      </c>
      <c r="B170">
        <v>38</v>
      </c>
      <c r="C170">
        <v>1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0</v>
      </c>
      <c r="J170">
        <v>1</v>
      </c>
      <c r="K170" t="s">
        <v>6088</v>
      </c>
      <c r="L170" t="s">
        <v>6479</v>
      </c>
      <c r="M170" t="s">
        <v>6632</v>
      </c>
    </row>
    <row r="171" spans="1:13">
      <c r="A171">
        <v>1027</v>
      </c>
      <c r="B171">
        <v>45</v>
      </c>
      <c r="C171">
        <v>1</v>
      </c>
      <c r="D171">
        <v>0</v>
      </c>
      <c r="E171">
        <v>0</v>
      </c>
      <c r="F171">
        <v>2</v>
      </c>
      <c r="G171">
        <v>0</v>
      </c>
      <c r="H171">
        <v>0</v>
      </c>
      <c r="I171">
        <v>4</v>
      </c>
      <c r="J171">
        <v>1</v>
      </c>
      <c r="K171" t="s">
        <v>12</v>
      </c>
      <c r="L171" t="s">
        <v>6525</v>
      </c>
    </row>
    <row r="172" spans="1:13">
      <c r="A172">
        <v>1027</v>
      </c>
      <c r="B172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 t="s">
        <v>6462</v>
      </c>
      <c r="L172" t="s">
        <v>6476</v>
      </c>
    </row>
    <row r="173" spans="1:13">
      <c r="A173">
        <v>1027</v>
      </c>
      <c r="B173">
        <v>51</v>
      </c>
      <c r="C173">
        <v>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</row>
    <row r="174" spans="1:13">
      <c r="A174">
        <v>1027</v>
      </c>
      <c r="B174">
        <v>58</v>
      </c>
      <c r="C174">
        <v>1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8</v>
      </c>
      <c r="J174">
        <v>0</v>
      </c>
      <c r="K174" t="s">
        <v>6462</v>
      </c>
      <c r="L174" t="s">
        <v>6491</v>
      </c>
    </row>
    <row r="175" spans="1:13">
      <c r="A175">
        <v>1027</v>
      </c>
      <c r="B175">
        <v>68</v>
      </c>
      <c r="C175">
        <v>1</v>
      </c>
      <c r="D175">
        <v>0</v>
      </c>
      <c r="E175">
        <v>0</v>
      </c>
      <c r="F175">
        <v>1</v>
      </c>
      <c r="G175">
        <v>0</v>
      </c>
      <c r="H175">
        <v>0</v>
      </c>
      <c r="I175">
        <v>9</v>
      </c>
      <c r="J175">
        <v>1</v>
      </c>
      <c r="K175" t="s">
        <v>6088</v>
      </c>
      <c r="L175" t="s">
        <v>6491</v>
      </c>
    </row>
    <row r="176" spans="1:13">
      <c r="A176">
        <v>1027</v>
      </c>
      <c r="B176">
        <v>73</v>
      </c>
      <c r="C176">
        <v>1</v>
      </c>
      <c r="D176">
        <v>1</v>
      </c>
      <c r="E176">
        <v>0</v>
      </c>
      <c r="F176">
        <v>0</v>
      </c>
      <c r="G176">
        <v>0</v>
      </c>
      <c r="H176">
        <v>0</v>
      </c>
      <c r="I176">
        <v>9</v>
      </c>
      <c r="J176">
        <v>1</v>
      </c>
      <c r="K176" t="s">
        <v>6088</v>
      </c>
      <c r="L176" t="s">
        <v>6491</v>
      </c>
      <c r="M176" t="s">
        <v>6875</v>
      </c>
    </row>
    <row r="177" spans="1:13">
      <c r="A177">
        <v>1027</v>
      </c>
      <c r="B177">
        <v>82</v>
      </c>
      <c r="C177">
        <v>1</v>
      </c>
      <c r="D177">
        <v>1</v>
      </c>
      <c r="E177">
        <v>0</v>
      </c>
      <c r="F177">
        <v>1</v>
      </c>
      <c r="G177">
        <v>3</v>
      </c>
      <c r="H177">
        <v>0</v>
      </c>
      <c r="I177">
        <v>0</v>
      </c>
      <c r="J177">
        <v>0</v>
      </c>
      <c r="L177" t="s">
        <v>6491</v>
      </c>
    </row>
    <row r="178" spans="1:13">
      <c r="A178">
        <v>1085</v>
      </c>
      <c r="B178">
        <v>2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 t="s">
        <v>6462</v>
      </c>
      <c r="M178" t="s">
        <v>6471</v>
      </c>
    </row>
    <row r="179" spans="1:13">
      <c r="A179">
        <v>1085</v>
      </c>
      <c r="B179">
        <v>11</v>
      </c>
      <c r="C179">
        <v>1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1</v>
      </c>
      <c r="K179" t="s">
        <v>6490</v>
      </c>
      <c r="L179" t="s">
        <v>6088</v>
      </c>
      <c r="M179" t="s">
        <v>6513</v>
      </c>
    </row>
    <row r="180" spans="1:13">
      <c r="A180">
        <v>1085</v>
      </c>
      <c r="B180">
        <v>11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 t="s">
        <v>6088</v>
      </c>
      <c r="L180" t="s">
        <v>6088</v>
      </c>
    </row>
    <row r="181" spans="1:13">
      <c r="A181">
        <v>1085</v>
      </c>
      <c r="B181">
        <v>18</v>
      </c>
      <c r="C181">
        <v>1</v>
      </c>
      <c r="D181">
        <v>0</v>
      </c>
      <c r="E181">
        <v>0</v>
      </c>
      <c r="F181">
        <v>1</v>
      </c>
      <c r="G181">
        <v>0</v>
      </c>
      <c r="H181">
        <v>0</v>
      </c>
      <c r="I181">
        <v>0</v>
      </c>
      <c r="J181">
        <v>1</v>
      </c>
      <c r="K181" t="s">
        <v>6088</v>
      </c>
      <c r="L181" t="s">
        <v>6536</v>
      </c>
      <c r="M181" t="s">
        <v>6537</v>
      </c>
    </row>
    <row r="182" spans="1:13">
      <c r="A182">
        <v>1085</v>
      </c>
      <c r="B182">
        <v>22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 t="s">
        <v>6462</v>
      </c>
      <c r="L182" t="s">
        <v>6088</v>
      </c>
    </row>
    <row r="183" spans="1:13">
      <c r="A183">
        <v>1085</v>
      </c>
      <c r="B183">
        <v>31</v>
      </c>
      <c r="C183">
        <v>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</v>
      </c>
      <c r="K183" t="s">
        <v>6088</v>
      </c>
      <c r="L183" t="s">
        <v>6088</v>
      </c>
      <c r="M183" t="s">
        <v>6595</v>
      </c>
    </row>
    <row r="184" spans="1:13">
      <c r="A184">
        <v>1085</v>
      </c>
      <c r="B184">
        <v>40</v>
      </c>
      <c r="C184">
        <v>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 t="s">
        <v>6462</v>
      </c>
      <c r="L184" t="s">
        <v>6479</v>
      </c>
    </row>
    <row r="185" spans="1:13">
      <c r="A185">
        <v>1085</v>
      </c>
      <c r="B185">
        <v>45</v>
      </c>
      <c r="C185">
        <v>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2</v>
      </c>
      <c r="J185">
        <v>0</v>
      </c>
      <c r="K185" t="s">
        <v>6462</v>
      </c>
      <c r="L185" t="s">
        <v>6088</v>
      </c>
    </row>
    <row r="186" spans="1:13">
      <c r="A186">
        <v>1085</v>
      </c>
      <c r="B186">
        <v>54</v>
      </c>
      <c r="C186">
        <v>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</v>
      </c>
      <c r="K186" t="s">
        <v>6088</v>
      </c>
      <c r="L186" t="s">
        <v>6625</v>
      </c>
      <c r="M186" t="s">
        <v>6692</v>
      </c>
    </row>
    <row r="187" spans="1:13">
      <c r="A187">
        <v>1085</v>
      </c>
      <c r="B187">
        <v>59</v>
      </c>
      <c r="C187">
        <v>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</v>
      </c>
      <c r="K187" t="s">
        <v>6088</v>
      </c>
      <c r="L187" t="s">
        <v>6088</v>
      </c>
      <c r="M187" t="s">
        <v>6719</v>
      </c>
    </row>
    <row r="188" spans="1:13">
      <c r="A188">
        <v>1085</v>
      </c>
      <c r="B188">
        <v>68</v>
      </c>
      <c r="C188">
        <v>1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 t="s">
        <v>6462</v>
      </c>
      <c r="L188" t="s">
        <v>6491</v>
      </c>
    </row>
    <row r="189" spans="1:13">
      <c r="A189">
        <v>1085</v>
      </c>
      <c r="B189">
        <v>71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 t="s">
        <v>6462</v>
      </c>
      <c r="L189" t="s">
        <v>6481</v>
      </c>
      <c r="M189" t="s">
        <v>6768</v>
      </c>
    </row>
    <row r="190" spans="1:13">
      <c r="A190">
        <v>1085</v>
      </c>
      <c r="B190">
        <v>76</v>
      </c>
      <c r="C190">
        <v>1</v>
      </c>
      <c r="D190">
        <v>0</v>
      </c>
      <c r="E190">
        <v>0</v>
      </c>
      <c r="F190">
        <v>2</v>
      </c>
      <c r="G190">
        <v>3</v>
      </c>
      <c r="H190">
        <v>0</v>
      </c>
      <c r="I190">
        <v>3</v>
      </c>
      <c r="J190">
        <v>0</v>
      </c>
      <c r="K190" t="s">
        <v>6462</v>
      </c>
      <c r="L190" t="s">
        <v>6565</v>
      </c>
    </row>
    <row r="191" spans="1:13">
      <c r="A191">
        <v>1085</v>
      </c>
      <c r="B191">
        <v>76</v>
      </c>
      <c r="C191">
        <v>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</v>
      </c>
      <c r="K191" t="s">
        <v>6088</v>
      </c>
    </row>
    <row r="192" spans="1:13">
      <c r="A192">
        <v>1740</v>
      </c>
      <c r="B192">
        <v>2</v>
      </c>
      <c r="C192">
        <v>1</v>
      </c>
      <c r="D192">
        <v>0</v>
      </c>
      <c r="E192">
        <v>0</v>
      </c>
      <c r="F192">
        <v>3</v>
      </c>
      <c r="G192">
        <v>0</v>
      </c>
      <c r="H192">
        <v>0</v>
      </c>
      <c r="I192">
        <v>3</v>
      </c>
      <c r="J192">
        <v>1</v>
      </c>
      <c r="K192" t="s">
        <v>6088</v>
      </c>
      <c r="L192" t="s">
        <v>6088</v>
      </c>
    </row>
    <row r="193" spans="1:13">
      <c r="A193">
        <v>1740</v>
      </c>
      <c r="B193">
        <v>19</v>
      </c>
      <c r="C193">
        <v>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6</v>
      </c>
      <c r="J193">
        <v>0</v>
      </c>
      <c r="K193" t="s">
        <v>12</v>
      </c>
      <c r="L193" t="s">
        <v>6479</v>
      </c>
      <c r="M193" t="s">
        <v>6539</v>
      </c>
    </row>
    <row r="194" spans="1:13">
      <c r="A194">
        <v>1740</v>
      </c>
      <c r="B194">
        <v>25</v>
      </c>
      <c r="C194">
        <v>0</v>
      </c>
      <c r="D194">
        <v>0</v>
      </c>
      <c r="E194">
        <v>0</v>
      </c>
      <c r="F194">
        <v>3</v>
      </c>
      <c r="G194">
        <v>1</v>
      </c>
      <c r="H194">
        <v>0</v>
      </c>
      <c r="I194">
        <v>0</v>
      </c>
      <c r="J194">
        <v>1</v>
      </c>
      <c r="K194" t="s">
        <v>12</v>
      </c>
      <c r="L194" t="s">
        <v>6463</v>
      </c>
    </row>
    <row r="195" spans="1:13">
      <c r="A195">
        <v>1740</v>
      </c>
      <c r="B195">
        <v>35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</v>
      </c>
      <c r="I195">
        <v>0</v>
      </c>
      <c r="J195">
        <v>1</v>
      </c>
      <c r="K195" t="s">
        <v>12</v>
      </c>
      <c r="L195" t="s">
        <v>6623</v>
      </c>
    </row>
    <row r="196" spans="1:13">
      <c r="A196">
        <v>1740</v>
      </c>
      <c r="B196">
        <v>40</v>
      </c>
      <c r="C196">
        <v>1</v>
      </c>
      <c r="D196">
        <v>0</v>
      </c>
      <c r="E196">
        <v>0</v>
      </c>
      <c r="F196">
        <v>2</v>
      </c>
      <c r="G196">
        <v>0</v>
      </c>
      <c r="H196">
        <v>1</v>
      </c>
      <c r="I196">
        <v>1</v>
      </c>
      <c r="J196">
        <v>1</v>
      </c>
      <c r="K196" t="s">
        <v>12</v>
      </c>
      <c r="L196" t="s">
        <v>6088</v>
      </c>
    </row>
    <row r="197" spans="1:13">
      <c r="A197">
        <v>1740</v>
      </c>
      <c r="B197">
        <v>47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 t="s">
        <v>6462</v>
      </c>
      <c r="L197" t="s">
        <v>6655</v>
      </c>
      <c r="M197" t="s">
        <v>6656</v>
      </c>
    </row>
    <row r="198" spans="1:13">
      <c r="A198">
        <v>1740</v>
      </c>
      <c r="B198">
        <v>47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 t="s">
        <v>6462</v>
      </c>
      <c r="L198" t="s">
        <v>6655</v>
      </c>
      <c r="M198" t="s">
        <v>6656</v>
      </c>
    </row>
    <row r="199" spans="1:13">
      <c r="A199">
        <v>1740</v>
      </c>
      <c r="B199">
        <v>53</v>
      </c>
      <c r="C199">
        <v>1</v>
      </c>
      <c r="D199">
        <v>0</v>
      </c>
      <c r="E199">
        <v>0</v>
      </c>
      <c r="F199">
        <v>0</v>
      </c>
      <c r="G199">
        <v>0</v>
      </c>
      <c r="H199">
        <v>3</v>
      </c>
      <c r="I199">
        <v>0</v>
      </c>
      <c r="J199">
        <v>1</v>
      </c>
      <c r="K199" t="s">
        <v>12</v>
      </c>
      <c r="L199" t="s">
        <v>6088</v>
      </c>
    </row>
    <row r="200" spans="1:13">
      <c r="A200">
        <v>1740</v>
      </c>
      <c r="B200">
        <v>56</v>
      </c>
      <c r="C200">
        <v>1</v>
      </c>
      <c r="D200">
        <v>0</v>
      </c>
      <c r="E200">
        <v>0</v>
      </c>
      <c r="F200">
        <v>0</v>
      </c>
      <c r="G200">
        <v>0</v>
      </c>
      <c r="H200">
        <v>4</v>
      </c>
      <c r="I200" s="2">
        <v>0</v>
      </c>
      <c r="J200" s="2">
        <v>1</v>
      </c>
      <c r="K200" s="2" t="s">
        <v>12</v>
      </c>
      <c r="L200" t="s">
        <v>6088</v>
      </c>
      <c r="M200" t="s">
        <v>6715</v>
      </c>
    </row>
    <row r="201" spans="1:13">
      <c r="A201">
        <v>1740</v>
      </c>
      <c r="B201">
        <v>65</v>
      </c>
      <c r="C201">
        <v>1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L201" t="s">
        <v>6463</v>
      </c>
    </row>
    <row r="202" spans="1:13">
      <c r="A202">
        <v>1740</v>
      </c>
      <c r="B202">
        <v>82</v>
      </c>
      <c r="C202">
        <v>1</v>
      </c>
      <c r="D202">
        <v>0</v>
      </c>
      <c r="E202">
        <v>0</v>
      </c>
      <c r="F202">
        <v>1</v>
      </c>
      <c r="G202">
        <v>0</v>
      </c>
      <c r="H202">
        <v>0</v>
      </c>
      <c r="I202">
        <v>8</v>
      </c>
      <c r="J202">
        <v>1</v>
      </c>
      <c r="K202" t="s">
        <v>12</v>
      </c>
      <c r="L202" t="s">
        <v>6491</v>
      </c>
    </row>
    <row r="203" spans="1:13">
      <c r="A203">
        <v>1973</v>
      </c>
      <c r="B203">
        <v>5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M203" t="s">
        <v>6483</v>
      </c>
    </row>
    <row r="204" spans="1:13">
      <c r="A204">
        <v>1973</v>
      </c>
      <c r="B204">
        <v>13</v>
      </c>
      <c r="C204">
        <v>1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</v>
      </c>
      <c r="K204" t="s">
        <v>6088</v>
      </c>
      <c r="L204" t="s">
        <v>6481</v>
      </c>
    </row>
    <row r="205" spans="1:13">
      <c r="A205">
        <v>1973</v>
      </c>
      <c r="B205">
        <v>21</v>
      </c>
      <c r="C205">
        <v>1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1</v>
      </c>
      <c r="J205">
        <v>0</v>
      </c>
      <c r="K205" t="s">
        <v>6462</v>
      </c>
    </row>
    <row r="206" spans="1:13">
      <c r="A206">
        <v>1973</v>
      </c>
      <c r="B206">
        <v>28</v>
      </c>
      <c r="C206">
        <v>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0</v>
      </c>
      <c r="K206" t="s">
        <v>6462</v>
      </c>
      <c r="L206" t="s">
        <v>6088</v>
      </c>
    </row>
    <row r="207" spans="1:13">
      <c r="A207">
        <v>1973</v>
      </c>
      <c r="B207">
        <v>32</v>
      </c>
      <c r="C207">
        <v>1</v>
      </c>
      <c r="D207">
        <v>0</v>
      </c>
      <c r="E207">
        <v>0</v>
      </c>
      <c r="F207">
        <v>3</v>
      </c>
      <c r="G207">
        <v>0</v>
      </c>
      <c r="H207">
        <v>0</v>
      </c>
      <c r="I207">
        <v>0</v>
      </c>
      <c r="J207">
        <v>1</v>
      </c>
      <c r="K207" t="s">
        <v>6088</v>
      </c>
      <c r="L207" t="s">
        <v>6468</v>
      </c>
    </row>
    <row r="208" spans="1:13">
      <c r="A208">
        <v>1973</v>
      </c>
      <c r="B208">
        <v>40</v>
      </c>
      <c r="C208">
        <v>1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1</v>
      </c>
      <c r="K208" t="s">
        <v>6088</v>
      </c>
      <c r="L208" t="s">
        <v>6536</v>
      </c>
      <c r="M208" t="s">
        <v>6635</v>
      </c>
    </row>
    <row r="209" spans="1:13">
      <c r="A209">
        <v>1973</v>
      </c>
      <c r="B209">
        <v>52</v>
      </c>
      <c r="C209">
        <v>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1</v>
      </c>
      <c r="J209">
        <v>0</v>
      </c>
      <c r="K209" t="s">
        <v>6462</v>
      </c>
      <c r="L209" t="s">
        <v>6088</v>
      </c>
    </row>
    <row r="210" spans="1:13">
      <c r="A210">
        <v>1973</v>
      </c>
      <c r="B210">
        <v>52</v>
      </c>
      <c r="C210">
        <v>1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1</v>
      </c>
      <c r="J210">
        <v>0</v>
      </c>
      <c r="L210" t="s">
        <v>6088</v>
      </c>
    </row>
    <row r="211" spans="1:13">
      <c r="A211">
        <v>1973</v>
      </c>
      <c r="B211">
        <v>56</v>
      </c>
      <c r="C211">
        <v>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1</v>
      </c>
      <c r="J211">
        <v>1</v>
      </c>
      <c r="K211" t="s">
        <v>6088</v>
      </c>
      <c r="L211" t="s">
        <v>6625</v>
      </c>
      <c r="M211" t="s">
        <v>6714</v>
      </c>
    </row>
    <row r="212" spans="1:13">
      <c r="A212">
        <v>1973</v>
      </c>
      <c r="B212">
        <v>69</v>
      </c>
      <c r="C212">
        <v>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3</v>
      </c>
      <c r="J212">
        <v>1</v>
      </c>
      <c r="K212" t="s">
        <v>6088</v>
      </c>
      <c r="L212" t="s">
        <v>6088</v>
      </c>
      <c r="M212" t="s">
        <v>6767</v>
      </c>
    </row>
    <row r="213" spans="1:13">
      <c r="A213">
        <v>1991</v>
      </c>
      <c r="B213">
        <v>5</v>
      </c>
      <c r="C213">
        <v>1</v>
      </c>
      <c r="D213">
        <v>0</v>
      </c>
      <c r="E213">
        <v>0</v>
      </c>
      <c r="F213">
        <v>0</v>
      </c>
      <c r="G213">
        <v>0</v>
      </c>
      <c r="H213">
        <v>2</v>
      </c>
      <c r="I213">
        <v>0</v>
      </c>
      <c r="J213">
        <v>0</v>
      </c>
      <c r="K213" t="s">
        <v>6462</v>
      </c>
      <c r="M213" t="s">
        <v>6484</v>
      </c>
    </row>
    <row r="214" spans="1:13">
      <c r="A214">
        <v>1991</v>
      </c>
      <c r="B214">
        <v>12</v>
      </c>
      <c r="C214">
        <v>1</v>
      </c>
      <c r="D214">
        <v>0</v>
      </c>
      <c r="E214">
        <v>0</v>
      </c>
      <c r="F214">
        <v>2</v>
      </c>
      <c r="G214">
        <v>0</v>
      </c>
      <c r="H214">
        <v>2</v>
      </c>
      <c r="I214">
        <v>0</v>
      </c>
      <c r="J214">
        <v>1</v>
      </c>
      <c r="K214" t="s">
        <v>6088</v>
      </c>
      <c r="L214" t="s">
        <v>6491</v>
      </c>
    </row>
    <row r="215" spans="1:13">
      <c r="A215">
        <v>1991</v>
      </c>
      <c r="B215">
        <v>19</v>
      </c>
      <c r="C215">
        <v>1</v>
      </c>
      <c r="D215">
        <v>0</v>
      </c>
      <c r="E215">
        <v>1</v>
      </c>
      <c r="F215">
        <v>0</v>
      </c>
      <c r="G215">
        <v>0</v>
      </c>
      <c r="H215">
        <v>5</v>
      </c>
      <c r="I215">
        <v>0</v>
      </c>
      <c r="J215">
        <v>1</v>
      </c>
      <c r="K215" t="s">
        <v>6490</v>
      </c>
      <c r="L215" t="s">
        <v>6525</v>
      </c>
    </row>
    <row r="216" spans="1:13">
      <c r="A216">
        <v>1991</v>
      </c>
      <c r="B216">
        <v>19</v>
      </c>
      <c r="C216">
        <v>1</v>
      </c>
      <c r="D216">
        <v>0</v>
      </c>
      <c r="E216">
        <v>1</v>
      </c>
      <c r="F216">
        <v>0</v>
      </c>
      <c r="G216">
        <v>0</v>
      </c>
      <c r="H216">
        <v>5</v>
      </c>
      <c r="I216">
        <v>0</v>
      </c>
      <c r="J216">
        <v>1</v>
      </c>
      <c r="K216" t="s">
        <v>6088</v>
      </c>
      <c r="L216" t="s">
        <v>6525</v>
      </c>
      <c r="M216" t="s">
        <v>6540</v>
      </c>
    </row>
    <row r="217" spans="1:13">
      <c r="A217">
        <v>1991</v>
      </c>
      <c r="B217">
        <v>26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1</v>
      </c>
      <c r="K217" t="s">
        <v>6088</v>
      </c>
      <c r="L217" t="s">
        <v>6491</v>
      </c>
      <c r="M217" t="s">
        <v>6579</v>
      </c>
    </row>
    <row r="218" spans="1:13">
      <c r="A218">
        <v>1991</v>
      </c>
      <c r="B218">
        <v>32</v>
      </c>
      <c r="C218">
        <v>1</v>
      </c>
      <c r="D218">
        <v>0</v>
      </c>
      <c r="E218">
        <v>0</v>
      </c>
      <c r="F218">
        <v>3</v>
      </c>
      <c r="G218">
        <v>0</v>
      </c>
      <c r="H218">
        <v>0</v>
      </c>
      <c r="I218">
        <v>0</v>
      </c>
      <c r="J218">
        <v>1</v>
      </c>
      <c r="K218" t="s">
        <v>6088</v>
      </c>
      <c r="L218" t="s">
        <v>6491</v>
      </c>
    </row>
    <row r="219" spans="1:13">
      <c r="A219">
        <v>1991</v>
      </c>
      <c r="B219">
        <v>37</v>
      </c>
      <c r="C219">
        <v>1</v>
      </c>
      <c r="D219">
        <v>1</v>
      </c>
      <c r="E219">
        <v>0</v>
      </c>
      <c r="F219">
        <v>1</v>
      </c>
      <c r="G219">
        <v>0</v>
      </c>
      <c r="H219">
        <v>3</v>
      </c>
      <c r="I219">
        <v>0</v>
      </c>
      <c r="J219">
        <v>0</v>
      </c>
      <c r="L219" t="s">
        <v>6467</v>
      </c>
      <c r="M219" t="s">
        <v>6629</v>
      </c>
    </row>
    <row r="220" spans="1:13">
      <c r="A220">
        <v>1991</v>
      </c>
      <c r="B220">
        <v>43</v>
      </c>
      <c r="C220">
        <v>1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1</v>
      </c>
      <c r="K220" t="s">
        <v>6088</v>
      </c>
      <c r="L220" t="s">
        <v>6491</v>
      </c>
      <c r="M220" t="s">
        <v>6644</v>
      </c>
    </row>
    <row r="221" spans="1:13">
      <c r="A221">
        <v>1991</v>
      </c>
      <c r="B221">
        <v>53</v>
      </c>
      <c r="C221">
        <v>1</v>
      </c>
      <c r="D221">
        <v>0</v>
      </c>
      <c r="E221">
        <v>0</v>
      </c>
      <c r="F221">
        <v>1</v>
      </c>
      <c r="G221">
        <v>2</v>
      </c>
      <c r="H221">
        <v>1</v>
      </c>
      <c r="I221">
        <v>0</v>
      </c>
      <c r="J221">
        <v>1</v>
      </c>
      <c r="K221" t="s">
        <v>6088</v>
      </c>
      <c r="L221" t="s">
        <v>6467</v>
      </c>
    </row>
    <row r="222" spans="1:13">
      <c r="A222">
        <v>1991</v>
      </c>
      <c r="B222">
        <v>64</v>
      </c>
      <c r="C222">
        <v>1</v>
      </c>
      <c r="D222">
        <v>0</v>
      </c>
      <c r="E222">
        <v>0</v>
      </c>
      <c r="F222">
        <v>0</v>
      </c>
      <c r="G222">
        <v>0</v>
      </c>
      <c r="H222">
        <v>1</v>
      </c>
      <c r="I222">
        <v>0</v>
      </c>
      <c r="J222">
        <v>0</v>
      </c>
      <c r="K222" t="s">
        <v>6462</v>
      </c>
      <c r="L222" t="s">
        <v>6623</v>
      </c>
    </row>
    <row r="223" spans="1:13">
      <c r="A223">
        <v>1991</v>
      </c>
      <c r="B223">
        <v>71</v>
      </c>
      <c r="C223">
        <v>1</v>
      </c>
      <c r="D223">
        <v>0</v>
      </c>
      <c r="E223">
        <v>1</v>
      </c>
      <c r="F223">
        <v>0</v>
      </c>
      <c r="G223">
        <v>0</v>
      </c>
      <c r="H223">
        <v>1</v>
      </c>
      <c r="I223">
        <v>0</v>
      </c>
      <c r="J223">
        <v>0</v>
      </c>
      <c r="K223" t="s">
        <v>6462</v>
      </c>
      <c r="L223" t="s">
        <v>6646</v>
      </c>
    </row>
    <row r="224" spans="1:13">
      <c r="A224">
        <v>1991</v>
      </c>
      <c r="B224">
        <v>82</v>
      </c>
      <c r="C224">
        <v>1</v>
      </c>
      <c r="D224">
        <v>0</v>
      </c>
      <c r="E224">
        <v>0</v>
      </c>
      <c r="F224">
        <v>4</v>
      </c>
      <c r="G224">
        <v>0</v>
      </c>
      <c r="H224">
        <v>0</v>
      </c>
      <c r="I224">
        <v>0</v>
      </c>
      <c r="J224">
        <v>1</v>
      </c>
      <c r="K224" t="s">
        <v>6088</v>
      </c>
      <c r="L224" t="s">
        <v>6491</v>
      </c>
    </row>
    <row r="225" spans="1:13">
      <c r="A225">
        <v>2064</v>
      </c>
      <c r="B225">
        <v>2</v>
      </c>
      <c r="C225">
        <v>1</v>
      </c>
      <c r="D225">
        <v>0</v>
      </c>
      <c r="E225">
        <v>0</v>
      </c>
      <c r="F225">
        <v>0</v>
      </c>
      <c r="G225">
        <v>0</v>
      </c>
      <c r="H225">
        <v>0</v>
      </c>
      <c r="I225" s="2">
        <v>3</v>
      </c>
      <c r="J225" s="2">
        <v>1</v>
      </c>
      <c r="K225" s="2" t="s">
        <v>6088</v>
      </c>
      <c r="L225" t="s">
        <v>6088</v>
      </c>
    </row>
    <row r="226" spans="1:13">
      <c r="A226">
        <v>2064</v>
      </c>
      <c r="B226">
        <v>2</v>
      </c>
      <c r="C226">
        <v>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4</v>
      </c>
      <c r="J226">
        <v>1</v>
      </c>
      <c r="K226" t="s">
        <v>6462</v>
      </c>
      <c r="L226" t="s">
        <v>6468</v>
      </c>
      <c r="M226" t="s">
        <v>6469</v>
      </c>
    </row>
    <row r="227" spans="1:13">
      <c r="A227">
        <v>2064</v>
      </c>
      <c r="B227">
        <v>2</v>
      </c>
      <c r="C227">
        <v>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3</v>
      </c>
      <c r="J227">
        <v>1</v>
      </c>
      <c r="K227" t="s">
        <v>6088</v>
      </c>
      <c r="L227" t="s">
        <v>6088</v>
      </c>
    </row>
    <row r="228" spans="1:13">
      <c r="A228">
        <v>2064</v>
      </c>
      <c r="B228">
        <v>9</v>
      </c>
      <c r="C228">
        <v>1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9</v>
      </c>
      <c r="J228">
        <v>0</v>
      </c>
      <c r="K228" t="s">
        <v>12</v>
      </c>
      <c r="L228" t="s">
        <v>6491</v>
      </c>
      <c r="M228" t="s">
        <v>6499</v>
      </c>
    </row>
    <row r="229" spans="1:13">
      <c r="A229">
        <v>2064</v>
      </c>
      <c r="B229">
        <v>16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6</v>
      </c>
      <c r="J229">
        <v>0</v>
      </c>
      <c r="K229" t="s">
        <v>6462</v>
      </c>
      <c r="L229" t="s">
        <v>6482</v>
      </c>
    </row>
    <row r="230" spans="1:13">
      <c r="A230">
        <v>2064</v>
      </c>
      <c r="B230">
        <v>21</v>
      </c>
      <c r="C230">
        <v>1</v>
      </c>
      <c r="D230">
        <v>1</v>
      </c>
      <c r="E230">
        <v>0</v>
      </c>
      <c r="F230">
        <v>0</v>
      </c>
      <c r="G230">
        <v>0</v>
      </c>
      <c r="H230">
        <v>0</v>
      </c>
      <c r="I230">
        <v>8</v>
      </c>
      <c r="J230">
        <v>1</v>
      </c>
      <c r="K230" t="s">
        <v>6088</v>
      </c>
      <c r="L230" t="s">
        <v>6491</v>
      </c>
    </row>
    <row r="231" spans="1:13">
      <c r="A231">
        <v>2064</v>
      </c>
      <c r="B231">
        <v>34</v>
      </c>
      <c r="C231">
        <v>1</v>
      </c>
      <c r="D231">
        <v>1</v>
      </c>
      <c r="E231">
        <v>0</v>
      </c>
      <c r="F231">
        <v>0</v>
      </c>
      <c r="G231">
        <v>0</v>
      </c>
      <c r="H231">
        <v>0</v>
      </c>
      <c r="I231">
        <v>9</v>
      </c>
      <c r="J231">
        <v>1</v>
      </c>
      <c r="K231" t="s">
        <v>6088</v>
      </c>
      <c r="L231" t="s">
        <v>6491</v>
      </c>
      <c r="M231" t="s">
        <v>6601</v>
      </c>
    </row>
    <row r="232" spans="1:13">
      <c r="A232">
        <v>2064</v>
      </c>
      <c r="B232">
        <v>37</v>
      </c>
      <c r="C232">
        <v>1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4</v>
      </c>
      <c r="J232">
        <v>0</v>
      </c>
      <c r="K232" t="s">
        <v>6462</v>
      </c>
      <c r="L232" t="s">
        <v>6491</v>
      </c>
    </row>
    <row r="233" spans="1:13">
      <c r="A233">
        <v>2064</v>
      </c>
      <c r="B233">
        <v>48</v>
      </c>
      <c r="C233">
        <v>1</v>
      </c>
      <c r="D233">
        <v>1</v>
      </c>
      <c r="E233">
        <v>0</v>
      </c>
      <c r="F233">
        <v>1</v>
      </c>
      <c r="G233">
        <v>0</v>
      </c>
      <c r="H233">
        <v>4</v>
      </c>
      <c r="I233">
        <v>1</v>
      </c>
      <c r="J233">
        <v>1</v>
      </c>
      <c r="K233" t="s">
        <v>6088</v>
      </c>
      <c r="L233" t="s">
        <v>6582</v>
      </c>
    </row>
    <row r="234" spans="1:13">
      <c r="A234">
        <v>2064</v>
      </c>
      <c r="B234">
        <v>48</v>
      </c>
      <c r="C234">
        <v>1</v>
      </c>
      <c r="D234">
        <v>1</v>
      </c>
      <c r="E234">
        <v>0</v>
      </c>
      <c r="F234">
        <v>0</v>
      </c>
      <c r="G234">
        <v>0</v>
      </c>
      <c r="H234">
        <v>5</v>
      </c>
      <c r="I234">
        <v>0</v>
      </c>
      <c r="J234">
        <v>0</v>
      </c>
      <c r="L234" t="s">
        <v>6582</v>
      </c>
    </row>
    <row r="235" spans="1:13">
      <c r="A235">
        <v>2064</v>
      </c>
      <c r="B235">
        <v>53</v>
      </c>
      <c r="C235">
        <v>1</v>
      </c>
      <c r="D235">
        <v>1</v>
      </c>
      <c r="E235">
        <v>0</v>
      </c>
      <c r="F235">
        <v>1</v>
      </c>
      <c r="G235">
        <v>0</v>
      </c>
      <c r="H235">
        <v>4</v>
      </c>
      <c r="I235">
        <v>0</v>
      </c>
      <c r="J235">
        <v>1</v>
      </c>
      <c r="K235" t="s">
        <v>6088</v>
      </c>
      <c r="L235" t="s">
        <v>6688</v>
      </c>
    </row>
    <row r="236" spans="1:13">
      <c r="A236">
        <v>2064</v>
      </c>
      <c r="B236">
        <v>61</v>
      </c>
      <c r="C236">
        <v>0</v>
      </c>
      <c r="D236">
        <v>1</v>
      </c>
      <c r="E236">
        <v>0</v>
      </c>
      <c r="F236">
        <v>2</v>
      </c>
      <c r="G236">
        <v>4</v>
      </c>
      <c r="H236">
        <v>1</v>
      </c>
      <c r="I236">
        <v>6</v>
      </c>
      <c r="J236">
        <v>0</v>
      </c>
      <c r="K236" t="s">
        <v>6462</v>
      </c>
      <c r="L236" t="s">
        <v>6478</v>
      </c>
      <c r="M236" t="s">
        <v>6754</v>
      </c>
    </row>
    <row r="237" spans="1:13">
      <c r="A237">
        <v>2064</v>
      </c>
      <c r="B237">
        <v>64</v>
      </c>
      <c r="C237">
        <v>1</v>
      </c>
      <c r="D237">
        <v>0</v>
      </c>
      <c r="E237">
        <v>0</v>
      </c>
      <c r="F237">
        <v>2</v>
      </c>
      <c r="G237">
        <v>0</v>
      </c>
      <c r="H237">
        <v>0</v>
      </c>
      <c r="I237">
        <v>6</v>
      </c>
      <c r="J237">
        <v>1</v>
      </c>
      <c r="K237" t="s">
        <v>6088</v>
      </c>
      <c r="L237" t="s">
        <v>6623</v>
      </c>
      <c r="M237" t="s">
        <v>6758</v>
      </c>
    </row>
    <row r="238" spans="1:13">
      <c r="A238">
        <v>2064</v>
      </c>
      <c r="B238">
        <v>81</v>
      </c>
      <c r="C238">
        <v>1</v>
      </c>
      <c r="D238">
        <v>0</v>
      </c>
      <c r="E238">
        <v>0</v>
      </c>
      <c r="F238">
        <v>3</v>
      </c>
      <c r="G238">
        <v>0</v>
      </c>
      <c r="H238">
        <v>0</v>
      </c>
      <c r="I238">
        <v>8</v>
      </c>
      <c r="J238">
        <v>0</v>
      </c>
      <c r="L238" t="s">
        <v>6512</v>
      </c>
    </row>
    <row r="239" spans="1:13">
      <c r="A239">
        <v>2067</v>
      </c>
      <c r="B239">
        <v>1</v>
      </c>
      <c r="C239">
        <v>1</v>
      </c>
      <c r="D239">
        <v>0</v>
      </c>
      <c r="E239">
        <v>1</v>
      </c>
      <c r="F239">
        <v>0</v>
      </c>
      <c r="G239">
        <v>3</v>
      </c>
      <c r="H239">
        <v>5</v>
      </c>
      <c r="I239" s="2">
        <v>0</v>
      </c>
      <c r="J239" s="2">
        <v>1</v>
      </c>
      <c r="K239" s="2" t="s">
        <v>12</v>
      </c>
      <c r="L239" t="s">
        <v>6088</v>
      </c>
      <c r="M239" t="s">
        <v>6466</v>
      </c>
    </row>
    <row r="240" spans="1:13">
      <c r="A240">
        <v>2067</v>
      </c>
      <c r="B240">
        <v>9</v>
      </c>
      <c r="C240">
        <v>1</v>
      </c>
      <c r="D240">
        <v>0</v>
      </c>
      <c r="E240">
        <v>0</v>
      </c>
      <c r="F240">
        <v>0</v>
      </c>
      <c r="G240">
        <v>0</v>
      </c>
      <c r="H240">
        <v>2</v>
      </c>
      <c r="I240" s="2">
        <v>1</v>
      </c>
      <c r="J240" s="2">
        <v>1</v>
      </c>
      <c r="K240" s="2" t="s">
        <v>6088</v>
      </c>
      <c r="L240" t="s">
        <v>6491</v>
      </c>
      <c r="M240" t="s">
        <v>6500</v>
      </c>
    </row>
    <row r="241" spans="1:13">
      <c r="A241">
        <v>2067</v>
      </c>
      <c r="B241">
        <v>27</v>
      </c>
      <c r="C241">
        <v>1</v>
      </c>
      <c r="D241">
        <v>0</v>
      </c>
      <c r="E241">
        <v>0</v>
      </c>
      <c r="F241">
        <v>1</v>
      </c>
      <c r="G241">
        <v>1</v>
      </c>
      <c r="H241">
        <v>3</v>
      </c>
      <c r="I241">
        <v>0</v>
      </c>
      <c r="J241">
        <v>0</v>
      </c>
      <c r="K241" t="s">
        <v>12</v>
      </c>
      <c r="L241" t="s">
        <v>6479</v>
      </c>
      <c r="M241" t="s">
        <v>6583</v>
      </c>
    </row>
    <row r="242" spans="1:13">
      <c r="A242">
        <v>2067</v>
      </c>
      <c r="B242">
        <v>33</v>
      </c>
      <c r="C242">
        <v>1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</v>
      </c>
      <c r="K242" t="s">
        <v>12</v>
      </c>
      <c r="M242" t="s">
        <v>6542</v>
      </c>
    </row>
    <row r="243" spans="1:13">
      <c r="A243">
        <v>2067</v>
      </c>
      <c r="B243">
        <v>39</v>
      </c>
      <c r="C243">
        <v>0</v>
      </c>
      <c r="D243">
        <v>1</v>
      </c>
      <c r="E243">
        <v>0</v>
      </c>
      <c r="F243">
        <v>2</v>
      </c>
      <c r="G243">
        <v>3</v>
      </c>
      <c r="H243">
        <v>3</v>
      </c>
      <c r="I243">
        <v>9</v>
      </c>
      <c r="J243">
        <v>0</v>
      </c>
      <c r="K243" t="s">
        <v>6462</v>
      </c>
      <c r="L243" t="s">
        <v>6491</v>
      </c>
    </row>
    <row r="244" spans="1:13">
      <c r="A244">
        <v>2067</v>
      </c>
      <c r="B244">
        <v>54</v>
      </c>
      <c r="C244">
        <v>1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1</v>
      </c>
      <c r="K244" t="s">
        <v>6088</v>
      </c>
      <c r="L244" t="s">
        <v>6467</v>
      </c>
      <c r="M244" t="s">
        <v>6693</v>
      </c>
    </row>
    <row r="245" spans="1:13">
      <c r="A245">
        <v>2067</v>
      </c>
      <c r="B245">
        <v>62</v>
      </c>
      <c r="C245">
        <v>0</v>
      </c>
      <c r="D245">
        <v>0</v>
      </c>
      <c r="E245">
        <v>0</v>
      </c>
      <c r="F245">
        <v>0</v>
      </c>
      <c r="G245">
        <v>4</v>
      </c>
      <c r="H245">
        <v>2</v>
      </c>
      <c r="I245">
        <v>0</v>
      </c>
      <c r="J245">
        <v>1</v>
      </c>
      <c r="K245" t="s">
        <v>6088</v>
      </c>
      <c r="L245" t="s">
        <v>6468</v>
      </c>
    </row>
    <row r="246" spans="1:13">
      <c r="A246">
        <v>2067</v>
      </c>
      <c r="B246">
        <v>65</v>
      </c>
      <c r="C246">
        <v>0</v>
      </c>
      <c r="D246">
        <v>1</v>
      </c>
      <c r="E246">
        <v>0</v>
      </c>
      <c r="F246">
        <v>4</v>
      </c>
      <c r="G246">
        <v>4</v>
      </c>
      <c r="H246">
        <v>3</v>
      </c>
      <c r="I246">
        <v>8</v>
      </c>
      <c r="J246">
        <v>0</v>
      </c>
      <c r="K246" t="s">
        <v>6462</v>
      </c>
      <c r="L246" t="s">
        <v>6479</v>
      </c>
    </row>
    <row r="247" spans="1:13">
      <c r="A247">
        <v>2067</v>
      </c>
      <c r="B247">
        <v>69</v>
      </c>
      <c r="C247">
        <v>1</v>
      </c>
      <c r="D247">
        <v>1</v>
      </c>
      <c r="E247">
        <v>0</v>
      </c>
      <c r="F247">
        <v>0</v>
      </c>
      <c r="G247">
        <v>1</v>
      </c>
      <c r="H247">
        <v>2</v>
      </c>
      <c r="I247">
        <v>0</v>
      </c>
      <c r="J247">
        <v>1</v>
      </c>
      <c r="K247" t="s">
        <v>6088</v>
      </c>
      <c r="L247" t="s">
        <v>6088</v>
      </c>
    </row>
    <row r="248" spans="1:13">
      <c r="A248">
        <v>2067</v>
      </c>
      <c r="B248">
        <v>80</v>
      </c>
      <c r="C248">
        <v>1</v>
      </c>
      <c r="D248">
        <v>0</v>
      </c>
      <c r="E248">
        <v>0</v>
      </c>
      <c r="F248">
        <v>0</v>
      </c>
      <c r="G248">
        <v>0</v>
      </c>
      <c r="H248">
        <v>5</v>
      </c>
      <c r="I248">
        <v>0</v>
      </c>
      <c r="J248">
        <v>1</v>
      </c>
      <c r="K248" t="s">
        <v>12</v>
      </c>
      <c r="L248" t="s">
        <v>6088</v>
      </c>
    </row>
    <row r="249" spans="1:13">
      <c r="A249">
        <v>2084</v>
      </c>
      <c r="B249">
        <v>81</v>
      </c>
      <c r="C249">
        <v>0</v>
      </c>
      <c r="D249">
        <v>0</v>
      </c>
      <c r="E249">
        <v>0</v>
      </c>
      <c r="F249">
        <v>4</v>
      </c>
      <c r="G249">
        <v>2</v>
      </c>
      <c r="H249">
        <v>5</v>
      </c>
      <c r="I249">
        <v>8</v>
      </c>
      <c r="J249">
        <v>0</v>
      </c>
      <c r="K249" t="s">
        <v>6462</v>
      </c>
      <c r="L249" t="s">
        <v>6536</v>
      </c>
    </row>
    <row r="250" spans="1:13">
      <c r="A250">
        <v>2170</v>
      </c>
      <c r="B250">
        <v>7</v>
      </c>
      <c r="C250">
        <v>1</v>
      </c>
      <c r="D250">
        <v>1</v>
      </c>
      <c r="E250">
        <v>0</v>
      </c>
      <c r="F250">
        <v>0</v>
      </c>
      <c r="G250">
        <v>2</v>
      </c>
      <c r="H250">
        <v>0</v>
      </c>
      <c r="I250">
        <v>9</v>
      </c>
      <c r="J250">
        <v>0</v>
      </c>
      <c r="K250" t="s">
        <v>6462</v>
      </c>
      <c r="L250" t="s">
        <v>6491</v>
      </c>
    </row>
    <row r="251" spans="1:13">
      <c r="A251">
        <v>2170</v>
      </c>
      <c r="B251">
        <v>27</v>
      </c>
      <c r="C251">
        <v>1</v>
      </c>
      <c r="D251">
        <v>1</v>
      </c>
      <c r="E251">
        <v>0</v>
      </c>
      <c r="F251">
        <v>7</v>
      </c>
      <c r="G251">
        <v>0</v>
      </c>
      <c r="H251">
        <v>0</v>
      </c>
      <c r="I251">
        <v>4</v>
      </c>
      <c r="J251">
        <v>0</v>
      </c>
      <c r="K251" t="s">
        <v>6462</v>
      </c>
      <c r="L251" t="s">
        <v>6467</v>
      </c>
    </row>
    <row r="252" spans="1:13">
      <c r="A252">
        <v>2170</v>
      </c>
      <c r="B252">
        <v>31</v>
      </c>
      <c r="C252">
        <v>1</v>
      </c>
      <c r="D252">
        <v>1</v>
      </c>
      <c r="E252">
        <v>0</v>
      </c>
      <c r="F252">
        <v>4</v>
      </c>
      <c r="G252">
        <v>5</v>
      </c>
      <c r="H252">
        <v>3</v>
      </c>
      <c r="I252">
        <v>7</v>
      </c>
      <c r="J252">
        <v>0</v>
      </c>
      <c r="K252" t="s">
        <v>6462</v>
      </c>
      <c r="L252" t="s">
        <v>6512</v>
      </c>
    </row>
    <row r="253" spans="1:13">
      <c r="A253">
        <v>2170</v>
      </c>
      <c r="B253">
        <v>40</v>
      </c>
      <c r="C253">
        <v>1</v>
      </c>
      <c r="D253">
        <v>1</v>
      </c>
      <c r="E253">
        <v>0</v>
      </c>
      <c r="F253">
        <v>2</v>
      </c>
      <c r="G253">
        <v>0</v>
      </c>
      <c r="H253">
        <v>0</v>
      </c>
      <c r="I253">
        <v>8</v>
      </c>
      <c r="J253">
        <v>0</v>
      </c>
      <c r="K253" t="s">
        <v>6462</v>
      </c>
      <c r="L253" t="s">
        <v>6512</v>
      </c>
    </row>
    <row r="254" spans="1:13">
      <c r="A254">
        <v>2170</v>
      </c>
      <c r="B254">
        <v>51</v>
      </c>
      <c r="C254">
        <v>1</v>
      </c>
      <c r="D254">
        <v>1</v>
      </c>
      <c r="E254">
        <v>0</v>
      </c>
      <c r="F254">
        <v>0</v>
      </c>
      <c r="G254">
        <v>3</v>
      </c>
      <c r="H254">
        <v>0</v>
      </c>
      <c r="I254">
        <v>7</v>
      </c>
      <c r="J254">
        <v>1</v>
      </c>
      <c r="K254" t="s">
        <v>6088</v>
      </c>
      <c r="L254" t="s">
        <v>6640</v>
      </c>
      <c r="M254" t="s">
        <v>6685</v>
      </c>
    </row>
    <row r="255" spans="1:13">
      <c r="A255">
        <v>2170</v>
      </c>
      <c r="B255">
        <v>63</v>
      </c>
      <c r="C255">
        <v>1</v>
      </c>
      <c r="D255">
        <v>1</v>
      </c>
      <c r="E255">
        <v>0</v>
      </c>
      <c r="F255">
        <v>0</v>
      </c>
      <c r="G255">
        <v>1</v>
      </c>
      <c r="H255">
        <v>0</v>
      </c>
      <c r="I255">
        <v>7</v>
      </c>
      <c r="J255">
        <v>1</v>
      </c>
      <c r="K255" t="s">
        <v>6088</v>
      </c>
      <c r="L255" t="s">
        <v>6491</v>
      </c>
      <c r="M255" t="s">
        <v>6756</v>
      </c>
    </row>
    <row r="256" spans="1:13">
      <c r="A256">
        <v>2170</v>
      </c>
      <c r="B256">
        <v>74</v>
      </c>
      <c r="C256">
        <v>0</v>
      </c>
      <c r="D256">
        <v>1</v>
      </c>
      <c r="E256">
        <v>0</v>
      </c>
      <c r="F256">
        <v>5</v>
      </c>
      <c r="G256">
        <v>0</v>
      </c>
      <c r="H256">
        <v>0</v>
      </c>
      <c r="I256">
        <v>5</v>
      </c>
      <c r="J256">
        <v>1</v>
      </c>
      <c r="K256" t="s">
        <v>6088</v>
      </c>
      <c r="L256" t="s">
        <v>6525</v>
      </c>
    </row>
    <row r="257" spans="1:13">
      <c r="A257">
        <v>2170</v>
      </c>
      <c r="B257">
        <v>77</v>
      </c>
      <c r="C257">
        <v>0</v>
      </c>
      <c r="D257">
        <v>1</v>
      </c>
      <c r="E257">
        <v>0</v>
      </c>
      <c r="F257">
        <v>2</v>
      </c>
      <c r="G257">
        <v>3</v>
      </c>
      <c r="H257">
        <v>3</v>
      </c>
      <c r="I257">
        <v>7</v>
      </c>
      <c r="J257">
        <v>0</v>
      </c>
      <c r="K257" t="s">
        <v>6462</v>
      </c>
      <c r="L257" t="s">
        <v>6536</v>
      </c>
      <c r="M257" t="s">
        <v>6879</v>
      </c>
    </row>
    <row r="258" spans="1:13">
      <c r="A258">
        <v>2785</v>
      </c>
      <c r="B258">
        <v>7</v>
      </c>
      <c r="C258">
        <v>1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 t="s">
        <v>6462</v>
      </c>
      <c r="L258" t="s">
        <v>6491</v>
      </c>
      <c r="M258" t="s">
        <v>6494</v>
      </c>
    </row>
    <row r="259" spans="1:13">
      <c r="A259">
        <v>2785</v>
      </c>
      <c r="B259">
        <v>11</v>
      </c>
      <c r="C259">
        <v>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5</v>
      </c>
      <c r="J259">
        <v>1</v>
      </c>
      <c r="K259" t="s">
        <v>6088</v>
      </c>
      <c r="L259" t="s">
        <v>6468</v>
      </c>
    </row>
    <row r="260" spans="1:13">
      <c r="A260">
        <v>2785</v>
      </c>
      <c r="B260">
        <v>18</v>
      </c>
      <c r="C260">
        <v>1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2</v>
      </c>
      <c r="J260">
        <v>1</v>
      </c>
      <c r="K260" t="s">
        <v>6490</v>
      </c>
      <c r="L260" t="s">
        <v>6479</v>
      </c>
      <c r="M260" t="s">
        <v>6534</v>
      </c>
    </row>
    <row r="261" spans="1:13">
      <c r="A261">
        <v>2785</v>
      </c>
      <c r="B261">
        <v>21</v>
      </c>
      <c r="C261">
        <v>1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 t="s">
        <v>6462</v>
      </c>
      <c r="M261" t="s">
        <v>6564</v>
      </c>
    </row>
    <row r="262" spans="1:13">
      <c r="A262">
        <v>2785</v>
      </c>
      <c r="B262">
        <v>29</v>
      </c>
      <c r="C262">
        <v>1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3</v>
      </c>
      <c r="J262">
        <v>0</v>
      </c>
      <c r="K262" t="s">
        <v>6462</v>
      </c>
      <c r="L262" t="s">
        <v>6088</v>
      </c>
      <c r="M262" t="s">
        <v>6589</v>
      </c>
    </row>
    <row r="263" spans="1:13">
      <c r="A263">
        <v>2785</v>
      </c>
      <c r="B263">
        <v>36</v>
      </c>
      <c r="C263">
        <v>1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2</v>
      </c>
      <c r="J263">
        <v>0</v>
      </c>
      <c r="K263" t="s">
        <v>6462</v>
      </c>
    </row>
    <row r="264" spans="1:13">
      <c r="A264">
        <v>2785</v>
      </c>
      <c r="B264">
        <v>45</v>
      </c>
      <c r="C264">
        <v>1</v>
      </c>
      <c r="D264">
        <v>0</v>
      </c>
      <c r="E264">
        <v>0</v>
      </c>
      <c r="F264">
        <v>0</v>
      </c>
      <c r="G264">
        <v>1</v>
      </c>
      <c r="H264">
        <v>0</v>
      </c>
      <c r="I264">
        <v>2</v>
      </c>
      <c r="J264">
        <v>1</v>
      </c>
      <c r="K264" t="s">
        <v>6088</v>
      </c>
      <c r="L264" t="s">
        <v>6649</v>
      </c>
      <c r="M264" t="s">
        <v>6650</v>
      </c>
    </row>
    <row r="265" spans="1:13">
      <c r="A265">
        <v>2785</v>
      </c>
      <c r="B265">
        <v>49</v>
      </c>
      <c r="C265">
        <v>1</v>
      </c>
      <c r="D265">
        <v>0</v>
      </c>
      <c r="E265">
        <v>0</v>
      </c>
      <c r="F265">
        <v>2</v>
      </c>
      <c r="G265">
        <v>0</v>
      </c>
      <c r="H265">
        <v>0</v>
      </c>
      <c r="I265">
        <v>1</v>
      </c>
      <c r="J265">
        <v>1</v>
      </c>
      <c r="K265" t="s">
        <v>6088</v>
      </c>
      <c r="L265" t="s">
        <v>6231</v>
      </c>
      <c r="M265" t="s">
        <v>6661</v>
      </c>
    </row>
    <row r="266" spans="1:13">
      <c r="A266">
        <v>2785</v>
      </c>
      <c r="B266">
        <v>67</v>
      </c>
      <c r="C266">
        <v>1</v>
      </c>
      <c r="D266">
        <v>0</v>
      </c>
      <c r="E266">
        <v>0</v>
      </c>
      <c r="F266">
        <v>2</v>
      </c>
      <c r="G266">
        <v>0</v>
      </c>
      <c r="H266">
        <v>0</v>
      </c>
      <c r="I266">
        <v>3</v>
      </c>
      <c r="J266">
        <v>0</v>
      </c>
      <c r="K266" t="s">
        <v>6462</v>
      </c>
      <c r="L266" t="s">
        <v>6088</v>
      </c>
    </row>
    <row r="267" spans="1:13">
      <c r="A267">
        <v>2836</v>
      </c>
      <c r="B267">
        <v>6</v>
      </c>
      <c r="C267">
        <v>1</v>
      </c>
      <c r="D267">
        <v>1</v>
      </c>
      <c r="E267">
        <v>0</v>
      </c>
      <c r="F267">
        <v>5</v>
      </c>
      <c r="G267">
        <v>0</v>
      </c>
      <c r="H267">
        <v>0</v>
      </c>
      <c r="I267">
        <v>3</v>
      </c>
      <c r="J267">
        <v>1</v>
      </c>
      <c r="K267" t="s">
        <v>12</v>
      </c>
      <c r="L267" t="s">
        <v>6487</v>
      </c>
    </row>
    <row r="268" spans="1:13">
      <c r="A268">
        <v>2836</v>
      </c>
      <c r="B268">
        <v>14</v>
      </c>
      <c r="C268">
        <v>1</v>
      </c>
      <c r="D268">
        <v>0</v>
      </c>
      <c r="E268">
        <v>0</v>
      </c>
      <c r="F268">
        <v>1</v>
      </c>
      <c r="G268">
        <v>0</v>
      </c>
      <c r="H268">
        <v>0</v>
      </c>
      <c r="I268">
        <v>0</v>
      </c>
      <c r="J268">
        <v>1</v>
      </c>
      <c r="K268" t="s">
        <v>12</v>
      </c>
      <c r="L268" t="s">
        <v>6491</v>
      </c>
      <c r="M268" t="s">
        <v>6524</v>
      </c>
    </row>
    <row r="269" spans="1:13">
      <c r="A269">
        <v>2836</v>
      </c>
      <c r="B269">
        <v>19</v>
      </c>
      <c r="C269">
        <v>1</v>
      </c>
      <c r="D269">
        <v>0</v>
      </c>
      <c r="E269">
        <v>0</v>
      </c>
      <c r="F269">
        <v>3</v>
      </c>
      <c r="G269">
        <v>0</v>
      </c>
      <c r="H269">
        <v>3</v>
      </c>
      <c r="I269">
        <v>0</v>
      </c>
      <c r="J269">
        <v>1</v>
      </c>
      <c r="K269" t="s">
        <v>6088</v>
      </c>
      <c r="L269" t="s">
        <v>6479</v>
      </c>
    </row>
    <row r="270" spans="1:13">
      <c r="A270">
        <v>2836</v>
      </c>
      <c r="B270">
        <v>22</v>
      </c>
      <c r="C270">
        <v>1</v>
      </c>
      <c r="D270">
        <v>0</v>
      </c>
      <c r="E270">
        <v>0</v>
      </c>
      <c r="F270">
        <v>1</v>
      </c>
      <c r="G270">
        <v>0</v>
      </c>
      <c r="H270">
        <v>2</v>
      </c>
      <c r="I270">
        <v>0</v>
      </c>
      <c r="J270">
        <v>0</v>
      </c>
      <c r="K270" t="s">
        <v>12</v>
      </c>
      <c r="L270" t="s">
        <v>6088</v>
      </c>
      <c r="M270" t="s">
        <v>6567</v>
      </c>
    </row>
    <row r="271" spans="1:13">
      <c r="A271">
        <v>2836</v>
      </c>
      <c r="B271">
        <v>33</v>
      </c>
      <c r="C271">
        <v>1</v>
      </c>
      <c r="D271">
        <v>0</v>
      </c>
      <c r="E271">
        <v>0</v>
      </c>
      <c r="F271">
        <v>0</v>
      </c>
      <c r="G271">
        <v>4</v>
      </c>
      <c r="H271">
        <v>0</v>
      </c>
      <c r="I271">
        <v>0</v>
      </c>
      <c r="J271">
        <v>0</v>
      </c>
      <c r="K271" t="s">
        <v>6462</v>
      </c>
      <c r="L271" t="s">
        <v>6479</v>
      </c>
      <c r="M271" t="s">
        <v>6599</v>
      </c>
    </row>
    <row r="272" spans="1:13">
      <c r="A272">
        <v>2836</v>
      </c>
      <c r="B272">
        <v>60</v>
      </c>
      <c r="C272">
        <v>1</v>
      </c>
      <c r="D272">
        <v>1</v>
      </c>
      <c r="E272">
        <v>0</v>
      </c>
      <c r="F272">
        <v>3</v>
      </c>
      <c r="G272">
        <v>0</v>
      </c>
      <c r="H272">
        <v>0</v>
      </c>
      <c r="I272">
        <v>2</v>
      </c>
      <c r="J272">
        <v>1</v>
      </c>
      <c r="K272" t="s">
        <v>12</v>
      </c>
      <c r="L272" t="s">
        <v>6088</v>
      </c>
    </row>
    <row r="273" spans="1:13">
      <c r="A273">
        <v>2836</v>
      </c>
      <c r="B273">
        <v>60</v>
      </c>
      <c r="C273">
        <v>1</v>
      </c>
      <c r="D273">
        <v>1</v>
      </c>
      <c r="E273">
        <v>0</v>
      </c>
      <c r="F273">
        <v>3</v>
      </c>
      <c r="G273">
        <v>0</v>
      </c>
      <c r="H273">
        <v>0</v>
      </c>
      <c r="I273">
        <v>2</v>
      </c>
      <c r="J273">
        <v>1</v>
      </c>
      <c r="K273" t="s">
        <v>12</v>
      </c>
      <c r="L273" t="s">
        <v>6088</v>
      </c>
    </row>
    <row r="274" spans="1:13">
      <c r="A274">
        <v>2836</v>
      </c>
      <c r="B274">
        <v>63</v>
      </c>
      <c r="C274">
        <v>1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0</v>
      </c>
      <c r="J274">
        <v>1</v>
      </c>
      <c r="K274" t="s">
        <v>6088</v>
      </c>
      <c r="L274" t="s">
        <v>6491</v>
      </c>
      <c r="M274" t="s">
        <v>6757</v>
      </c>
    </row>
    <row r="275" spans="1:13">
      <c r="A275">
        <v>2836</v>
      </c>
      <c r="B275">
        <v>70</v>
      </c>
      <c r="C275">
        <v>1</v>
      </c>
      <c r="D275">
        <v>1</v>
      </c>
      <c r="E275">
        <v>0</v>
      </c>
      <c r="F275">
        <v>0</v>
      </c>
      <c r="G275">
        <v>0</v>
      </c>
      <c r="H275">
        <v>4</v>
      </c>
      <c r="I275">
        <v>1</v>
      </c>
      <c r="J275">
        <v>1</v>
      </c>
      <c r="K275" t="s">
        <v>12</v>
      </c>
      <c r="L275" t="s">
        <v>6491</v>
      </c>
    </row>
    <row r="276" spans="1:13">
      <c r="A276">
        <v>2836</v>
      </c>
      <c r="B276">
        <v>80</v>
      </c>
      <c r="C276">
        <v>0</v>
      </c>
      <c r="D276">
        <v>1</v>
      </c>
      <c r="E276">
        <v>0</v>
      </c>
      <c r="F276">
        <v>3</v>
      </c>
      <c r="G276">
        <v>4</v>
      </c>
      <c r="H276">
        <v>8</v>
      </c>
      <c r="I276">
        <v>3</v>
      </c>
      <c r="J276">
        <v>1</v>
      </c>
      <c r="K276" t="s">
        <v>12</v>
      </c>
      <c r="L276" t="s">
        <v>6565</v>
      </c>
      <c r="M276" t="s">
        <v>6885</v>
      </c>
    </row>
    <row r="277" spans="1:13">
      <c r="A277">
        <v>2838</v>
      </c>
      <c r="B277">
        <v>53</v>
      </c>
      <c r="C277">
        <v>1</v>
      </c>
      <c r="D277">
        <v>1</v>
      </c>
      <c r="E277">
        <v>0</v>
      </c>
      <c r="F277">
        <v>0</v>
      </c>
      <c r="G277">
        <v>0</v>
      </c>
      <c r="H277">
        <v>3</v>
      </c>
      <c r="I277">
        <v>0</v>
      </c>
      <c r="J277">
        <v>1</v>
      </c>
      <c r="K277" t="s">
        <v>6088</v>
      </c>
      <c r="L277" t="s">
        <v>6689</v>
      </c>
      <c r="M277" t="s">
        <v>6690</v>
      </c>
    </row>
    <row r="278" spans="1:13">
      <c r="A278">
        <v>3146</v>
      </c>
      <c r="B278">
        <v>4</v>
      </c>
      <c r="C278">
        <v>1</v>
      </c>
      <c r="D278">
        <v>1</v>
      </c>
      <c r="E278">
        <v>0</v>
      </c>
      <c r="F278">
        <v>2</v>
      </c>
      <c r="G278">
        <v>2</v>
      </c>
      <c r="H278">
        <v>0</v>
      </c>
      <c r="I278">
        <v>2</v>
      </c>
      <c r="J278">
        <v>1</v>
      </c>
      <c r="K278" t="s">
        <v>12</v>
      </c>
      <c r="L278" t="s">
        <v>6478</v>
      </c>
    </row>
    <row r="279" spans="1:13">
      <c r="A279">
        <v>3146</v>
      </c>
      <c r="B279">
        <v>25</v>
      </c>
      <c r="C279">
        <v>1</v>
      </c>
      <c r="D279">
        <v>0</v>
      </c>
      <c r="E279">
        <v>0</v>
      </c>
      <c r="F279">
        <v>2</v>
      </c>
      <c r="G279">
        <v>1</v>
      </c>
      <c r="H279">
        <v>0</v>
      </c>
      <c r="I279">
        <v>3</v>
      </c>
      <c r="J279">
        <v>0</v>
      </c>
      <c r="K279" t="s">
        <v>6462</v>
      </c>
      <c r="L279" t="s">
        <v>6231</v>
      </c>
    </row>
    <row r="280" spans="1:13">
      <c r="A280">
        <v>3146</v>
      </c>
      <c r="B280">
        <v>32</v>
      </c>
      <c r="C280">
        <v>1</v>
      </c>
      <c r="D280">
        <v>0</v>
      </c>
      <c r="E280">
        <v>0</v>
      </c>
      <c r="F280">
        <v>3</v>
      </c>
      <c r="G280">
        <v>0</v>
      </c>
      <c r="H280">
        <v>0</v>
      </c>
      <c r="I280">
        <v>8</v>
      </c>
      <c r="J280">
        <v>1</v>
      </c>
      <c r="K280" t="s">
        <v>12</v>
      </c>
      <c r="L280" t="s">
        <v>6231</v>
      </c>
    </row>
    <row r="281" spans="1:13">
      <c r="A281">
        <v>3146</v>
      </c>
      <c r="B281">
        <v>36</v>
      </c>
      <c r="C281">
        <v>1</v>
      </c>
      <c r="D281">
        <v>1</v>
      </c>
      <c r="E281">
        <v>0</v>
      </c>
      <c r="F281">
        <v>1</v>
      </c>
      <c r="G281">
        <v>1</v>
      </c>
      <c r="H281">
        <v>0</v>
      </c>
      <c r="I281">
        <v>0</v>
      </c>
      <c r="J281">
        <v>1</v>
      </c>
      <c r="K281" t="s">
        <v>6490</v>
      </c>
      <c r="L281" t="s">
        <v>6491</v>
      </c>
    </row>
    <row r="282" spans="1:13">
      <c r="A282">
        <v>3146</v>
      </c>
      <c r="B282">
        <v>49</v>
      </c>
      <c r="C282">
        <v>0</v>
      </c>
      <c r="D282">
        <v>0</v>
      </c>
      <c r="E282">
        <v>0</v>
      </c>
      <c r="F282">
        <v>1</v>
      </c>
      <c r="G282">
        <v>0</v>
      </c>
      <c r="H282">
        <v>0</v>
      </c>
      <c r="I282">
        <v>8</v>
      </c>
      <c r="J282">
        <v>1</v>
      </c>
      <c r="K282" t="s">
        <v>12</v>
      </c>
      <c r="L282" t="s">
        <v>6491</v>
      </c>
    </row>
    <row r="283" spans="1:13">
      <c r="A283">
        <v>3146</v>
      </c>
      <c r="B283">
        <v>63</v>
      </c>
      <c r="C283">
        <v>1</v>
      </c>
      <c r="D283">
        <v>1</v>
      </c>
      <c r="E283">
        <v>0</v>
      </c>
      <c r="F283">
        <v>0</v>
      </c>
      <c r="G283">
        <v>6</v>
      </c>
      <c r="H283">
        <v>0</v>
      </c>
      <c r="I283">
        <v>0</v>
      </c>
      <c r="J283">
        <v>1</v>
      </c>
      <c r="K283" t="s">
        <v>12</v>
      </c>
      <c r="L283" t="s">
        <v>6491</v>
      </c>
    </row>
    <row r="284" spans="1:13">
      <c r="A284">
        <v>3146</v>
      </c>
      <c r="B284">
        <v>75</v>
      </c>
      <c r="C284">
        <v>1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5</v>
      </c>
      <c r="J284">
        <v>1</v>
      </c>
      <c r="K284" t="s">
        <v>6088</v>
      </c>
      <c r="L284" t="s">
        <v>6646</v>
      </c>
    </row>
    <row r="285" spans="1:13">
      <c r="A285">
        <v>3146</v>
      </c>
      <c r="B285">
        <v>81</v>
      </c>
      <c r="C285">
        <v>1</v>
      </c>
      <c r="D285">
        <v>1</v>
      </c>
      <c r="E285">
        <v>0</v>
      </c>
      <c r="F285">
        <v>1</v>
      </c>
      <c r="G285">
        <v>2</v>
      </c>
      <c r="H285">
        <v>0</v>
      </c>
      <c r="I285">
        <v>7</v>
      </c>
      <c r="J285">
        <v>1</v>
      </c>
      <c r="K285" t="s">
        <v>6088</v>
      </c>
      <c r="L285" t="s">
        <v>6646</v>
      </c>
      <c r="M285" t="s">
        <v>6887</v>
      </c>
    </row>
    <row r="286" spans="1:13">
      <c r="A286">
        <v>3147</v>
      </c>
      <c r="B286">
        <v>9</v>
      </c>
      <c r="C286">
        <v>1</v>
      </c>
      <c r="D286">
        <v>0</v>
      </c>
      <c r="E286">
        <v>0</v>
      </c>
      <c r="F286">
        <v>2</v>
      </c>
      <c r="G286">
        <v>3</v>
      </c>
      <c r="H286">
        <v>0</v>
      </c>
      <c r="I286">
        <v>4</v>
      </c>
      <c r="J286">
        <v>1</v>
      </c>
      <c r="K286" t="s">
        <v>12</v>
      </c>
      <c r="L286" t="s">
        <v>6491</v>
      </c>
    </row>
    <row r="287" spans="1:13">
      <c r="A287">
        <v>3182</v>
      </c>
      <c r="B287">
        <v>4</v>
      </c>
      <c r="C287">
        <v>1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1</v>
      </c>
      <c r="K287" t="s">
        <v>6088</v>
      </c>
      <c r="L287" t="s">
        <v>6476</v>
      </c>
      <c r="M287" t="s">
        <v>6477</v>
      </c>
    </row>
    <row r="288" spans="1:13">
      <c r="A288">
        <v>3182</v>
      </c>
      <c r="B288">
        <v>8</v>
      </c>
      <c r="C288">
        <v>1</v>
      </c>
      <c r="D288">
        <v>0</v>
      </c>
      <c r="E288">
        <v>0</v>
      </c>
      <c r="F288">
        <v>2</v>
      </c>
      <c r="G288">
        <v>0</v>
      </c>
      <c r="H288">
        <v>0</v>
      </c>
      <c r="I288">
        <v>2</v>
      </c>
      <c r="J288">
        <v>0</v>
      </c>
      <c r="K288" t="s">
        <v>6462</v>
      </c>
      <c r="L288" t="s">
        <v>6463</v>
      </c>
      <c r="M288" t="s">
        <v>6495</v>
      </c>
    </row>
    <row r="289" spans="1:13">
      <c r="A289">
        <v>3182</v>
      </c>
      <c r="B289">
        <v>17</v>
      </c>
      <c r="C289">
        <v>1</v>
      </c>
      <c r="D289">
        <v>0</v>
      </c>
      <c r="E289">
        <v>0</v>
      </c>
      <c r="F289">
        <v>3</v>
      </c>
      <c r="G289">
        <v>0</v>
      </c>
      <c r="H289">
        <v>0</v>
      </c>
      <c r="I289">
        <v>0</v>
      </c>
      <c r="J289">
        <v>0</v>
      </c>
      <c r="L289" t="s">
        <v>6491</v>
      </c>
      <c r="M289" t="s">
        <v>6531</v>
      </c>
    </row>
    <row r="290" spans="1:13">
      <c r="A290">
        <v>3182</v>
      </c>
      <c r="B290">
        <v>23</v>
      </c>
      <c r="C290">
        <v>1</v>
      </c>
      <c r="D290">
        <v>0</v>
      </c>
      <c r="E290">
        <v>0</v>
      </c>
      <c r="F290">
        <v>4</v>
      </c>
      <c r="G290">
        <v>0</v>
      </c>
      <c r="H290">
        <v>0</v>
      </c>
      <c r="I290">
        <v>0</v>
      </c>
      <c r="J290">
        <v>0</v>
      </c>
      <c r="K290" t="s">
        <v>6462</v>
      </c>
      <c r="M290" t="s">
        <v>6572</v>
      </c>
    </row>
    <row r="291" spans="1:13">
      <c r="A291">
        <v>3182</v>
      </c>
      <c r="B291">
        <v>28</v>
      </c>
      <c r="C291">
        <v>1</v>
      </c>
      <c r="D291">
        <v>0</v>
      </c>
      <c r="E291">
        <v>0</v>
      </c>
      <c r="F291">
        <v>3</v>
      </c>
      <c r="G291">
        <v>0</v>
      </c>
      <c r="H291">
        <v>0</v>
      </c>
      <c r="I291">
        <v>0</v>
      </c>
      <c r="J291">
        <v>1</v>
      </c>
      <c r="K291" t="s">
        <v>6088</v>
      </c>
      <c r="L291" t="s">
        <v>6088</v>
      </c>
    </row>
    <row r="292" spans="1:13">
      <c r="A292">
        <v>3182</v>
      </c>
      <c r="B292">
        <v>35</v>
      </c>
      <c r="C292">
        <v>1</v>
      </c>
      <c r="D292">
        <v>0</v>
      </c>
      <c r="E292">
        <v>0</v>
      </c>
      <c r="F292">
        <v>2</v>
      </c>
      <c r="G292">
        <v>0</v>
      </c>
      <c r="H292">
        <v>0</v>
      </c>
      <c r="I292">
        <v>1</v>
      </c>
      <c r="J292">
        <v>1</v>
      </c>
      <c r="K292" t="s">
        <v>6088</v>
      </c>
      <c r="L292" t="s">
        <v>6623</v>
      </c>
      <c r="M292" t="s">
        <v>6624</v>
      </c>
    </row>
    <row r="293" spans="1:13">
      <c r="A293">
        <v>3182</v>
      </c>
      <c r="B293">
        <v>47</v>
      </c>
      <c r="C293">
        <v>1</v>
      </c>
      <c r="D293">
        <v>0</v>
      </c>
      <c r="E293">
        <v>0</v>
      </c>
      <c r="F293">
        <v>3</v>
      </c>
      <c r="G293">
        <v>0</v>
      </c>
      <c r="H293">
        <v>0</v>
      </c>
      <c r="I293">
        <v>1</v>
      </c>
      <c r="J293">
        <v>1</v>
      </c>
      <c r="K293" t="s">
        <v>6088</v>
      </c>
      <c r="L293" t="s">
        <v>6637</v>
      </c>
      <c r="M293" t="s">
        <v>6658</v>
      </c>
    </row>
    <row r="294" spans="1:13">
      <c r="A294">
        <v>3182</v>
      </c>
      <c r="B294">
        <v>54</v>
      </c>
      <c r="C294">
        <v>1</v>
      </c>
      <c r="D294">
        <v>1</v>
      </c>
      <c r="E294">
        <v>0</v>
      </c>
      <c r="F294">
        <v>0</v>
      </c>
      <c r="G294">
        <v>0</v>
      </c>
      <c r="H294">
        <v>0</v>
      </c>
      <c r="I294">
        <v>4</v>
      </c>
      <c r="J294">
        <v>1</v>
      </c>
      <c r="K294" t="s">
        <v>12</v>
      </c>
      <c r="L294" t="s">
        <v>6625</v>
      </c>
      <c r="M294" t="s">
        <v>6691</v>
      </c>
    </row>
    <row r="295" spans="1:13">
      <c r="A295">
        <v>3182</v>
      </c>
      <c r="B295">
        <v>59</v>
      </c>
      <c r="C295">
        <v>1</v>
      </c>
      <c r="D295">
        <v>1</v>
      </c>
      <c r="E295">
        <v>0</v>
      </c>
      <c r="F295">
        <v>2</v>
      </c>
      <c r="G295">
        <v>0</v>
      </c>
      <c r="H295">
        <v>0</v>
      </c>
      <c r="I295">
        <v>3</v>
      </c>
      <c r="J295">
        <v>1</v>
      </c>
      <c r="K295" t="s">
        <v>12</v>
      </c>
      <c r="L295" t="s">
        <v>6088</v>
      </c>
    </row>
    <row r="296" spans="1:13">
      <c r="A296">
        <v>3464</v>
      </c>
      <c r="B296">
        <v>1</v>
      </c>
      <c r="C296">
        <v>1</v>
      </c>
      <c r="D296">
        <v>1</v>
      </c>
      <c r="E296">
        <v>0</v>
      </c>
      <c r="F296">
        <v>3</v>
      </c>
      <c r="G296">
        <v>0</v>
      </c>
      <c r="H296">
        <v>0</v>
      </c>
      <c r="I296">
        <v>0</v>
      </c>
      <c r="J296">
        <v>0</v>
      </c>
      <c r="K296" t="s">
        <v>6462</v>
      </c>
      <c r="L296" t="s">
        <v>6088</v>
      </c>
    </row>
    <row r="297" spans="1:13">
      <c r="A297">
        <v>3464</v>
      </c>
      <c r="B297">
        <v>8</v>
      </c>
      <c r="C297">
        <v>0</v>
      </c>
      <c r="D297">
        <v>0</v>
      </c>
      <c r="E297">
        <v>0</v>
      </c>
      <c r="F297">
        <v>2</v>
      </c>
      <c r="G297">
        <v>0</v>
      </c>
      <c r="H297">
        <v>0</v>
      </c>
      <c r="I297">
        <v>2</v>
      </c>
      <c r="J297">
        <v>1</v>
      </c>
      <c r="K297" t="s">
        <v>6490</v>
      </c>
      <c r="L297" t="s">
        <v>6463</v>
      </c>
    </row>
    <row r="298" spans="1:13">
      <c r="A298">
        <v>3464</v>
      </c>
      <c r="B298">
        <v>18</v>
      </c>
      <c r="C298">
        <v>1</v>
      </c>
      <c r="D298">
        <v>1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 t="s">
        <v>12</v>
      </c>
      <c r="L298" t="s">
        <v>6525</v>
      </c>
      <c r="M298" t="s">
        <v>6535</v>
      </c>
    </row>
    <row r="299" spans="1:13">
      <c r="A299">
        <v>3464</v>
      </c>
      <c r="B299">
        <v>18</v>
      </c>
      <c r="C299">
        <v>1</v>
      </c>
      <c r="D299">
        <v>1</v>
      </c>
      <c r="E299">
        <v>0</v>
      </c>
      <c r="F299">
        <v>0</v>
      </c>
      <c r="G299">
        <v>0</v>
      </c>
      <c r="H299">
        <v>0</v>
      </c>
      <c r="I299" s="2">
        <v>0</v>
      </c>
      <c r="J299" s="2">
        <v>0</v>
      </c>
      <c r="K299" s="2"/>
      <c r="L299" t="s">
        <v>6525</v>
      </c>
      <c r="M299" t="s">
        <v>6538</v>
      </c>
    </row>
    <row r="300" spans="1:13">
      <c r="A300">
        <v>3464</v>
      </c>
      <c r="B300">
        <v>26</v>
      </c>
      <c r="C300">
        <v>0</v>
      </c>
      <c r="D300">
        <v>1</v>
      </c>
      <c r="E300">
        <v>0</v>
      </c>
      <c r="F300">
        <v>3</v>
      </c>
      <c r="G300">
        <v>5</v>
      </c>
      <c r="H300">
        <v>2</v>
      </c>
      <c r="I300">
        <v>9</v>
      </c>
      <c r="J300">
        <v>1</v>
      </c>
      <c r="K300" t="s">
        <v>12</v>
      </c>
      <c r="L300" t="s">
        <v>6491</v>
      </c>
    </row>
    <row r="301" spans="1:13">
      <c r="A301">
        <v>3464</v>
      </c>
      <c r="B301">
        <v>29</v>
      </c>
      <c r="C301">
        <v>0</v>
      </c>
      <c r="D301">
        <v>1</v>
      </c>
      <c r="E301">
        <v>0</v>
      </c>
      <c r="F301">
        <v>2</v>
      </c>
      <c r="G301">
        <v>4</v>
      </c>
      <c r="H301">
        <v>5</v>
      </c>
      <c r="I301">
        <v>3</v>
      </c>
      <c r="J301">
        <v>1</v>
      </c>
      <c r="K301" t="s">
        <v>12</v>
      </c>
      <c r="L301" t="s">
        <v>6565</v>
      </c>
    </row>
    <row r="302" spans="1:13">
      <c r="A302">
        <v>3464</v>
      </c>
      <c r="B302">
        <v>36</v>
      </c>
      <c r="C302">
        <v>1</v>
      </c>
      <c r="D302">
        <v>0</v>
      </c>
      <c r="E302">
        <v>0</v>
      </c>
      <c r="F302">
        <v>1</v>
      </c>
      <c r="G302">
        <v>4</v>
      </c>
      <c r="H302">
        <v>0</v>
      </c>
      <c r="I302">
        <v>0</v>
      </c>
      <c r="J302">
        <v>1</v>
      </c>
      <c r="K302" t="s">
        <v>12</v>
      </c>
      <c r="L302" t="s">
        <v>6491</v>
      </c>
    </row>
    <row r="303" spans="1:13">
      <c r="A303">
        <v>3464</v>
      </c>
      <c r="B303">
        <v>48</v>
      </c>
      <c r="C303">
        <v>1</v>
      </c>
      <c r="D303">
        <v>1</v>
      </c>
      <c r="E303">
        <v>0</v>
      </c>
      <c r="F303">
        <v>2</v>
      </c>
      <c r="G303">
        <v>3</v>
      </c>
      <c r="H303">
        <v>0</v>
      </c>
      <c r="I303">
        <v>0</v>
      </c>
      <c r="J303">
        <v>1</v>
      </c>
      <c r="K303" t="s">
        <v>6088</v>
      </c>
      <c r="L303" t="s">
        <v>6640</v>
      </c>
    </row>
    <row r="304" spans="1:13">
      <c r="A304">
        <v>3464</v>
      </c>
      <c r="B304">
        <v>55</v>
      </c>
      <c r="C304">
        <v>1</v>
      </c>
      <c r="D304">
        <v>1</v>
      </c>
      <c r="E304">
        <v>0</v>
      </c>
      <c r="F304">
        <v>2</v>
      </c>
      <c r="G304">
        <v>0</v>
      </c>
      <c r="H304">
        <v>0</v>
      </c>
      <c r="I304">
        <v>3</v>
      </c>
      <c r="J304">
        <v>1</v>
      </c>
      <c r="K304" t="s">
        <v>6088</v>
      </c>
      <c r="L304" t="s">
        <v>6699</v>
      </c>
    </row>
    <row r="305" spans="1:13">
      <c r="A305">
        <v>3464</v>
      </c>
      <c r="B305">
        <v>65</v>
      </c>
      <c r="C305">
        <v>1</v>
      </c>
      <c r="D305">
        <v>1</v>
      </c>
      <c r="E305">
        <v>0</v>
      </c>
      <c r="F305">
        <v>2</v>
      </c>
      <c r="G305">
        <v>0</v>
      </c>
      <c r="H305">
        <v>0</v>
      </c>
      <c r="I305">
        <v>0</v>
      </c>
      <c r="J305">
        <v>1</v>
      </c>
      <c r="K305" t="s">
        <v>6088</v>
      </c>
      <c r="L305" t="s">
        <v>6088</v>
      </c>
    </row>
    <row r="306" spans="1:13">
      <c r="A306">
        <v>3464</v>
      </c>
      <c r="B306">
        <v>75</v>
      </c>
      <c r="C306">
        <v>0</v>
      </c>
      <c r="D306">
        <v>1</v>
      </c>
      <c r="E306">
        <v>0</v>
      </c>
      <c r="F306">
        <v>2</v>
      </c>
      <c r="G306">
        <v>2</v>
      </c>
      <c r="H306">
        <v>7</v>
      </c>
      <c r="I306">
        <v>8</v>
      </c>
      <c r="J306">
        <v>1</v>
      </c>
      <c r="K306" t="s">
        <v>12</v>
      </c>
      <c r="L306" t="s">
        <v>6491</v>
      </c>
    </row>
    <row r="307" spans="1:13">
      <c r="A307">
        <v>3464</v>
      </c>
      <c r="B307">
        <v>75</v>
      </c>
      <c r="C307">
        <v>1</v>
      </c>
      <c r="D307">
        <v>1</v>
      </c>
      <c r="E307">
        <v>0</v>
      </c>
      <c r="F307">
        <v>0</v>
      </c>
      <c r="G307">
        <v>0</v>
      </c>
      <c r="H307">
        <v>0</v>
      </c>
      <c r="I307">
        <v>6</v>
      </c>
      <c r="J307">
        <v>1</v>
      </c>
      <c r="K307" t="s">
        <v>12</v>
      </c>
      <c r="L307" t="s">
        <v>6646</v>
      </c>
    </row>
    <row r="308" spans="1:13">
      <c r="A308">
        <v>3464</v>
      </c>
      <c r="B308">
        <v>79</v>
      </c>
      <c r="C308">
        <v>1</v>
      </c>
      <c r="D308">
        <v>1</v>
      </c>
      <c r="E308">
        <v>0</v>
      </c>
      <c r="F308">
        <v>3</v>
      </c>
      <c r="G308">
        <v>0</v>
      </c>
      <c r="H308">
        <v>0</v>
      </c>
      <c r="I308">
        <v>1</v>
      </c>
      <c r="J308">
        <v>0</v>
      </c>
      <c r="K308" t="s">
        <v>6462</v>
      </c>
      <c r="L308" t="s">
        <v>6473</v>
      </c>
      <c r="M308" t="s">
        <v>6883</v>
      </c>
    </row>
    <row r="309" spans="1:13">
      <c r="A309">
        <v>3634</v>
      </c>
      <c r="B309">
        <v>4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2</v>
      </c>
      <c r="J309">
        <v>0</v>
      </c>
      <c r="K309" t="s">
        <v>6462</v>
      </c>
      <c r="L309" t="s">
        <v>6482</v>
      </c>
    </row>
    <row r="310" spans="1:13">
      <c r="A310">
        <v>3634</v>
      </c>
      <c r="B310">
        <v>15</v>
      </c>
      <c r="C310">
        <v>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L310" t="s">
        <v>6512</v>
      </c>
    </row>
    <row r="311" spans="1:13">
      <c r="A311">
        <v>3634</v>
      </c>
      <c r="B311">
        <v>22</v>
      </c>
      <c r="C311">
        <v>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2</v>
      </c>
      <c r="J311">
        <v>1</v>
      </c>
      <c r="K311" t="s">
        <v>6088</v>
      </c>
      <c r="L311" t="s">
        <v>6536</v>
      </c>
      <c r="M311" t="s">
        <v>6569</v>
      </c>
    </row>
    <row r="312" spans="1:13">
      <c r="A312">
        <v>3634</v>
      </c>
      <c r="B312">
        <v>29</v>
      </c>
      <c r="C312">
        <v>1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1</v>
      </c>
      <c r="K312" t="s">
        <v>6088</v>
      </c>
      <c r="L312" t="s">
        <v>6536</v>
      </c>
      <c r="M312" t="s">
        <v>6590</v>
      </c>
    </row>
    <row r="313" spans="1:13">
      <c r="A313">
        <v>3634</v>
      </c>
      <c r="B313">
        <v>41</v>
      </c>
      <c r="C313">
        <v>1</v>
      </c>
      <c r="D313">
        <v>0</v>
      </c>
      <c r="E313">
        <v>0</v>
      </c>
      <c r="F313">
        <v>0</v>
      </c>
      <c r="G313">
        <v>0</v>
      </c>
      <c r="H313">
        <v>3</v>
      </c>
      <c r="I313">
        <v>0</v>
      </c>
      <c r="J313">
        <v>0</v>
      </c>
      <c r="K313" t="s">
        <v>6462</v>
      </c>
    </row>
    <row r="314" spans="1:13">
      <c r="A314">
        <v>3634</v>
      </c>
      <c r="B314">
        <v>46</v>
      </c>
      <c r="C314">
        <v>1</v>
      </c>
      <c r="D314">
        <v>0</v>
      </c>
      <c r="E314">
        <v>0</v>
      </c>
      <c r="F314">
        <v>2</v>
      </c>
      <c r="G314">
        <v>0</v>
      </c>
      <c r="H314">
        <v>0</v>
      </c>
      <c r="I314">
        <v>0</v>
      </c>
      <c r="J314">
        <v>0</v>
      </c>
      <c r="K314" t="s">
        <v>6462</v>
      </c>
      <c r="M314" t="s">
        <v>6653</v>
      </c>
    </row>
    <row r="315" spans="1:13">
      <c r="A315">
        <v>3634</v>
      </c>
      <c r="B315">
        <v>51</v>
      </c>
      <c r="C315">
        <v>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3</v>
      </c>
      <c r="J315">
        <v>0</v>
      </c>
      <c r="K315" t="s">
        <v>6462</v>
      </c>
      <c r="L315" t="s">
        <v>6491</v>
      </c>
    </row>
    <row r="316" spans="1:13">
      <c r="A316">
        <v>3634</v>
      </c>
      <c r="B316">
        <v>56</v>
      </c>
      <c r="C316">
        <v>1</v>
      </c>
      <c r="D316">
        <v>0</v>
      </c>
      <c r="E316">
        <v>0</v>
      </c>
      <c r="F316">
        <v>1</v>
      </c>
      <c r="G316">
        <v>0</v>
      </c>
      <c r="H316">
        <v>0</v>
      </c>
      <c r="I316">
        <v>0</v>
      </c>
      <c r="J316">
        <v>1</v>
      </c>
      <c r="K316" t="s">
        <v>6088</v>
      </c>
      <c r="L316" t="s">
        <v>6479</v>
      </c>
      <c r="M316" t="s">
        <v>6713</v>
      </c>
    </row>
    <row r="317" spans="1:13">
      <c r="A317">
        <v>3634</v>
      </c>
      <c r="B317">
        <v>67</v>
      </c>
      <c r="C317">
        <v>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 t="s">
        <v>6088</v>
      </c>
      <c r="L317" t="s">
        <v>6625</v>
      </c>
      <c r="M317" t="s">
        <v>6764</v>
      </c>
    </row>
    <row r="318" spans="1:13">
      <c r="A318">
        <v>3634</v>
      </c>
      <c r="B318">
        <v>72</v>
      </c>
      <c r="C318">
        <v>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5</v>
      </c>
      <c r="J318">
        <v>1</v>
      </c>
      <c r="K318" t="s">
        <v>6088</v>
      </c>
      <c r="L318" t="s">
        <v>6463</v>
      </c>
    </row>
    <row r="319" spans="1:13">
      <c r="A319">
        <v>3654</v>
      </c>
      <c r="B319">
        <v>6</v>
      </c>
      <c r="C319">
        <v>1</v>
      </c>
      <c r="D319">
        <v>0</v>
      </c>
      <c r="E319">
        <v>0</v>
      </c>
      <c r="F319">
        <v>0</v>
      </c>
      <c r="G319">
        <v>3</v>
      </c>
      <c r="H319">
        <v>0</v>
      </c>
      <c r="I319">
        <v>0</v>
      </c>
      <c r="J319">
        <v>0</v>
      </c>
      <c r="K319" t="s">
        <v>6462</v>
      </c>
      <c r="L319" t="s">
        <v>6487</v>
      </c>
      <c r="M319" t="s">
        <v>6488</v>
      </c>
    </row>
    <row r="320" spans="1:13">
      <c r="A320">
        <v>3654</v>
      </c>
      <c r="B320">
        <v>13</v>
      </c>
      <c r="C320">
        <v>1</v>
      </c>
      <c r="D320">
        <v>0</v>
      </c>
      <c r="E320">
        <v>0</v>
      </c>
      <c r="F320">
        <v>2</v>
      </c>
      <c r="G320">
        <v>2</v>
      </c>
      <c r="H320">
        <v>1</v>
      </c>
      <c r="I320">
        <v>0</v>
      </c>
      <c r="J320">
        <v>1</v>
      </c>
      <c r="K320" t="s">
        <v>6088</v>
      </c>
      <c r="L320" t="s">
        <v>6491</v>
      </c>
      <c r="M320" t="s">
        <v>6522</v>
      </c>
    </row>
    <row r="321" spans="1:13">
      <c r="A321">
        <v>3654</v>
      </c>
      <c r="B321">
        <v>16</v>
      </c>
      <c r="C321">
        <v>1</v>
      </c>
      <c r="D321">
        <v>0</v>
      </c>
      <c r="E321">
        <v>0</v>
      </c>
      <c r="F321">
        <v>0</v>
      </c>
      <c r="G321">
        <v>0</v>
      </c>
      <c r="H321">
        <v>3</v>
      </c>
      <c r="I321">
        <v>0</v>
      </c>
      <c r="J321">
        <v>0</v>
      </c>
      <c r="K321" t="s">
        <v>6462</v>
      </c>
      <c r="L321" t="s">
        <v>6482</v>
      </c>
      <c r="M321" t="s">
        <v>6529</v>
      </c>
    </row>
    <row r="322" spans="1:13">
      <c r="A322">
        <v>3654</v>
      </c>
      <c r="B322">
        <v>26</v>
      </c>
      <c r="C322">
        <v>1</v>
      </c>
      <c r="D322">
        <v>0</v>
      </c>
      <c r="E322">
        <v>0</v>
      </c>
      <c r="F322">
        <v>1</v>
      </c>
      <c r="G322">
        <v>0</v>
      </c>
      <c r="H322">
        <v>2</v>
      </c>
      <c r="I322">
        <v>0</v>
      </c>
      <c r="J322">
        <v>1</v>
      </c>
      <c r="K322" t="s">
        <v>6088</v>
      </c>
      <c r="L322" t="s">
        <v>6491</v>
      </c>
    </row>
    <row r="323" spans="1:13">
      <c r="A323">
        <v>3654</v>
      </c>
      <c r="B323">
        <v>31</v>
      </c>
      <c r="C323">
        <v>1</v>
      </c>
      <c r="D323">
        <v>0</v>
      </c>
      <c r="E323">
        <v>0</v>
      </c>
      <c r="F323">
        <v>3</v>
      </c>
      <c r="G323">
        <v>0</v>
      </c>
      <c r="H323">
        <v>1</v>
      </c>
      <c r="I323">
        <v>0</v>
      </c>
      <c r="J323">
        <v>1</v>
      </c>
      <c r="K323" t="s">
        <v>6088</v>
      </c>
      <c r="L323" t="s">
        <v>6088</v>
      </c>
      <c r="M323" t="s">
        <v>6596</v>
      </c>
    </row>
    <row r="324" spans="1:13">
      <c r="A324">
        <v>3654</v>
      </c>
      <c r="B324">
        <v>38</v>
      </c>
      <c r="C324">
        <v>1</v>
      </c>
      <c r="D324">
        <v>0</v>
      </c>
      <c r="E324">
        <v>0</v>
      </c>
      <c r="F324">
        <v>2</v>
      </c>
      <c r="G324">
        <v>0</v>
      </c>
      <c r="H324">
        <v>3</v>
      </c>
      <c r="I324">
        <v>0</v>
      </c>
      <c r="J324">
        <v>1</v>
      </c>
      <c r="K324" t="s">
        <v>6088</v>
      </c>
      <c r="L324" t="s">
        <v>6479</v>
      </c>
    </row>
    <row r="325" spans="1:13">
      <c r="A325">
        <v>3654</v>
      </c>
      <c r="B325">
        <v>43</v>
      </c>
      <c r="C325">
        <v>1</v>
      </c>
      <c r="D325">
        <v>0</v>
      </c>
      <c r="E325">
        <v>0</v>
      </c>
      <c r="F325">
        <v>2</v>
      </c>
      <c r="G325">
        <v>0</v>
      </c>
      <c r="H325">
        <v>1</v>
      </c>
      <c r="I325">
        <v>0</v>
      </c>
      <c r="J325">
        <v>1</v>
      </c>
      <c r="K325" t="s">
        <v>6088</v>
      </c>
      <c r="L325" t="s">
        <v>6491</v>
      </c>
    </row>
    <row r="326" spans="1:13">
      <c r="A326">
        <v>3654</v>
      </c>
      <c r="B326">
        <v>48</v>
      </c>
      <c r="C326">
        <v>1</v>
      </c>
      <c r="D326">
        <v>0</v>
      </c>
      <c r="E326">
        <v>0</v>
      </c>
      <c r="F326">
        <v>3</v>
      </c>
      <c r="G326">
        <v>0</v>
      </c>
      <c r="H326">
        <v>2</v>
      </c>
      <c r="I326">
        <v>0</v>
      </c>
      <c r="J326">
        <v>1</v>
      </c>
      <c r="K326" t="s">
        <v>6088</v>
      </c>
      <c r="L326" t="s">
        <v>6468</v>
      </c>
      <c r="M326" t="s">
        <v>6660</v>
      </c>
    </row>
    <row r="327" spans="1:13">
      <c r="A327">
        <v>3654</v>
      </c>
      <c r="B327">
        <v>49</v>
      </c>
      <c r="C327">
        <v>1</v>
      </c>
      <c r="D327">
        <v>0</v>
      </c>
      <c r="E327">
        <v>0</v>
      </c>
      <c r="F327">
        <v>3</v>
      </c>
      <c r="G327">
        <v>0</v>
      </c>
      <c r="H327">
        <v>2</v>
      </c>
      <c r="I327">
        <v>0</v>
      </c>
      <c r="J327">
        <v>0</v>
      </c>
      <c r="K327" t="s">
        <v>6462</v>
      </c>
      <c r="L327" t="s">
        <v>6468</v>
      </c>
    </row>
    <row r="328" spans="1:13">
      <c r="A328">
        <v>3654</v>
      </c>
      <c r="B328">
        <v>60</v>
      </c>
      <c r="C328">
        <v>1</v>
      </c>
      <c r="D328">
        <v>0</v>
      </c>
      <c r="E328">
        <v>0</v>
      </c>
      <c r="F328">
        <v>1</v>
      </c>
      <c r="G328">
        <v>0</v>
      </c>
      <c r="H328">
        <v>2</v>
      </c>
      <c r="I328">
        <v>0</v>
      </c>
      <c r="J328">
        <v>1</v>
      </c>
      <c r="K328" t="s">
        <v>6088</v>
      </c>
      <c r="L328" t="s">
        <v>6468</v>
      </c>
    </row>
    <row r="329" spans="1:13">
      <c r="A329">
        <v>3654</v>
      </c>
      <c r="B329">
        <v>60</v>
      </c>
      <c r="C329">
        <v>1</v>
      </c>
      <c r="D329">
        <v>0</v>
      </c>
      <c r="E329">
        <v>0</v>
      </c>
      <c r="F329">
        <v>0</v>
      </c>
      <c r="G329">
        <v>0</v>
      </c>
      <c r="H329">
        <v>2</v>
      </c>
      <c r="I329">
        <v>0</v>
      </c>
      <c r="J329">
        <v>1</v>
      </c>
      <c r="K329" t="s">
        <v>6490</v>
      </c>
      <c r="L329" t="s">
        <v>6646</v>
      </c>
    </row>
    <row r="330" spans="1:13">
      <c r="A330">
        <v>3654</v>
      </c>
      <c r="B330">
        <v>72</v>
      </c>
      <c r="C330">
        <v>1</v>
      </c>
      <c r="D330">
        <v>0</v>
      </c>
      <c r="E330">
        <v>0</v>
      </c>
      <c r="F330">
        <v>0</v>
      </c>
      <c r="G330">
        <v>0</v>
      </c>
      <c r="H330">
        <v>4</v>
      </c>
      <c r="I330">
        <v>0</v>
      </c>
      <c r="J330">
        <v>0</v>
      </c>
      <c r="K330" t="s">
        <v>6462</v>
      </c>
      <c r="L330" t="s">
        <v>6463</v>
      </c>
    </row>
    <row r="331" spans="1:13">
      <c r="A331">
        <v>4987</v>
      </c>
      <c r="B331">
        <v>5</v>
      </c>
      <c r="C331">
        <v>1</v>
      </c>
      <c r="D331">
        <v>0</v>
      </c>
      <c r="E331">
        <v>0</v>
      </c>
      <c r="F331">
        <v>0</v>
      </c>
      <c r="G331">
        <v>0</v>
      </c>
      <c r="H331">
        <v>0</v>
      </c>
      <c r="I331" s="2">
        <v>2</v>
      </c>
      <c r="J331" s="2">
        <v>0</v>
      </c>
      <c r="K331" s="2" t="s">
        <v>6462</v>
      </c>
      <c r="L331" t="s">
        <v>6479</v>
      </c>
      <c r="M331" t="s">
        <v>6486</v>
      </c>
    </row>
    <row r="332" spans="1:13">
      <c r="A332">
        <v>4987</v>
      </c>
      <c r="B332">
        <v>5</v>
      </c>
      <c r="C332">
        <v>1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 t="s">
        <v>6088</v>
      </c>
      <c r="L332" t="s">
        <v>6482</v>
      </c>
    </row>
    <row r="333" spans="1:13">
      <c r="A333">
        <v>4987</v>
      </c>
      <c r="B333">
        <v>10</v>
      </c>
      <c r="C333">
        <v>1</v>
      </c>
      <c r="D333">
        <v>0</v>
      </c>
      <c r="E333">
        <v>0</v>
      </c>
      <c r="F333">
        <v>3</v>
      </c>
      <c r="G333">
        <v>0</v>
      </c>
      <c r="H333">
        <v>0</v>
      </c>
      <c r="I333">
        <v>0</v>
      </c>
      <c r="J333">
        <v>0</v>
      </c>
    </row>
    <row r="334" spans="1:13">
      <c r="A334">
        <v>4987</v>
      </c>
      <c r="B334">
        <v>17</v>
      </c>
      <c r="C334">
        <v>1</v>
      </c>
      <c r="D334">
        <v>0</v>
      </c>
      <c r="E334">
        <v>0</v>
      </c>
      <c r="F334">
        <v>2</v>
      </c>
      <c r="G334">
        <v>1</v>
      </c>
      <c r="H334">
        <v>0</v>
      </c>
      <c r="I334">
        <v>0</v>
      </c>
      <c r="J334">
        <v>1</v>
      </c>
      <c r="K334" t="s">
        <v>6088</v>
      </c>
      <c r="L334" t="s">
        <v>6491</v>
      </c>
      <c r="M334" t="s">
        <v>6532</v>
      </c>
    </row>
    <row r="335" spans="1:13">
      <c r="A335">
        <v>4987</v>
      </c>
      <c r="B335">
        <v>24</v>
      </c>
      <c r="C335">
        <v>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4</v>
      </c>
      <c r="J335">
        <v>0</v>
      </c>
      <c r="K335" t="s">
        <v>6462</v>
      </c>
      <c r="L335" t="s">
        <v>6088</v>
      </c>
      <c r="M335" t="s">
        <v>6576</v>
      </c>
    </row>
    <row r="336" spans="1:13">
      <c r="A336">
        <v>4987</v>
      </c>
      <c r="B336">
        <v>28</v>
      </c>
      <c r="C336">
        <v>1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2</v>
      </c>
      <c r="J336">
        <v>0</v>
      </c>
      <c r="K336" t="s">
        <v>6462</v>
      </c>
      <c r="L336" t="s">
        <v>6088</v>
      </c>
      <c r="M336" t="s">
        <v>6587</v>
      </c>
    </row>
    <row r="337" spans="1:13">
      <c r="A337">
        <v>4987</v>
      </c>
      <c r="B337">
        <v>41</v>
      </c>
      <c r="C337">
        <v>1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4</v>
      </c>
      <c r="J337">
        <v>1</v>
      </c>
      <c r="K337" t="s">
        <v>6088</v>
      </c>
      <c r="L337" t="s">
        <v>6479</v>
      </c>
    </row>
    <row r="338" spans="1:13">
      <c r="A338">
        <v>4987</v>
      </c>
      <c r="B338">
        <v>44</v>
      </c>
      <c r="C338">
        <v>1</v>
      </c>
      <c r="D338">
        <v>0</v>
      </c>
      <c r="E338">
        <v>0</v>
      </c>
      <c r="F338">
        <v>1</v>
      </c>
      <c r="G338">
        <v>0</v>
      </c>
      <c r="H338">
        <v>0</v>
      </c>
      <c r="I338" s="2">
        <v>1</v>
      </c>
      <c r="J338" s="2">
        <v>0</v>
      </c>
      <c r="K338" s="2" t="s">
        <v>6462</v>
      </c>
    </row>
    <row r="339" spans="1:13">
      <c r="A339">
        <v>4987</v>
      </c>
      <c r="B339">
        <v>53</v>
      </c>
      <c r="C339">
        <v>1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5</v>
      </c>
      <c r="J339">
        <v>1</v>
      </c>
      <c r="K339" t="s">
        <v>6088</v>
      </c>
      <c r="L339" t="s">
        <v>6482</v>
      </c>
    </row>
    <row r="340" spans="1:13">
      <c r="A340">
        <v>4987</v>
      </c>
      <c r="B340">
        <v>61</v>
      </c>
      <c r="C340">
        <v>1</v>
      </c>
      <c r="D340">
        <v>0</v>
      </c>
      <c r="E340">
        <v>0</v>
      </c>
      <c r="F340">
        <v>2</v>
      </c>
      <c r="G340">
        <v>0</v>
      </c>
      <c r="H340">
        <v>0</v>
      </c>
      <c r="I340">
        <v>0</v>
      </c>
      <c r="J340">
        <v>0</v>
      </c>
      <c r="L340" t="s">
        <v>6482</v>
      </c>
    </row>
    <row r="341" spans="1:13">
      <c r="A341">
        <v>4987</v>
      </c>
      <c r="B341">
        <v>65</v>
      </c>
      <c r="C341">
        <v>1</v>
      </c>
      <c r="D341">
        <v>0</v>
      </c>
      <c r="E341">
        <v>0</v>
      </c>
      <c r="F341">
        <v>0</v>
      </c>
      <c r="G341">
        <v>3</v>
      </c>
      <c r="H341">
        <v>0</v>
      </c>
      <c r="I341">
        <v>0</v>
      </c>
      <c r="J341">
        <v>1</v>
      </c>
      <c r="K341" t="s">
        <v>6462</v>
      </c>
      <c r="L341" t="s">
        <v>6088</v>
      </c>
    </row>
    <row r="342" spans="1:13">
      <c r="A342">
        <v>4987</v>
      </c>
      <c r="B342">
        <v>73</v>
      </c>
      <c r="C342">
        <v>1</v>
      </c>
      <c r="D342">
        <v>0</v>
      </c>
      <c r="E342">
        <v>0</v>
      </c>
      <c r="F342">
        <v>2</v>
      </c>
      <c r="G342">
        <v>0</v>
      </c>
      <c r="H342">
        <v>0</v>
      </c>
      <c r="I342">
        <v>0</v>
      </c>
      <c r="J342">
        <v>0</v>
      </c>
      <c r="L342" t="s">
        <v>6593</v>
      </c>
    </row>
    <row r="343" spans="1:13">
      <c r="A343">
        <v>4987</v>
      </c>
      <c r="B343">
        <v>79</v>
      </c>
      <c r="C343">
        <v>1</v>
      </c>
      <c r="D343">
        <v>0</v>
      </c>
      <c r="E343">
        <v>0</v>
      </c>
      <c r="F343">
        <v>2</v>
      </c>
      <c r="G343">
        <v>0</v>
      </c>
      <c r="H343">
        <v>0</v>
      </c>
      <c r="I343">
        <v>0</v>
      </c>
      <c r="J343">
        <v>1</v>
      </c>
      <c r="K343" t="s">
        <v>6088</v>
      </c>
      <c r="L343" t="s">
        <v>6088</v>
      </c>
    </row>
    <row r="344" spans="1:13">
      <c r="A344">
        <v>5129</v>
      </c>
      <c r="B344">
        <v>1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5</v>
      </c>
      <c r="J344">
        <v>1</v>
      </c>
      <c r="K344" t="s">
        <v>6088</v>
      </c>
      <c r="L344" t="s">
        <v>6467</v>
      </c>
    </row>
    <row r="345" spans="1:13">
      <c r="A345">
        <v>5129</v>
      </c>
      <c r="B345">
        <v>8</v>
      </c>
      <c r="C345">
        <v>1</v>
      </c>
      <c r="D345">
        <v>0</v>
      </c>
      <c r="E345">
        <v>0</v>
      </c>
      <c r="F345">
        <v>1</v>
      </c>
      <c r="G345">
        <v>0</v>
      </c>
      <c r="H345">
        <v>0</v>
      </c>
      <c r="I345">
        <v>6</v>
      </c>
      <c r="J345">
        <v>0</v>
      </c>
      <c r="K345" t="s">
        <v>12</v>
      </c>
      <c r="L345" t="s">
        <v>6491</v>
      </c>
    </row>
    <row r="346" spans="1:13">
      <c r="A346">
        <v>5129</v>
      </c>
      <c r="B346">
        <v>20</v>
      </c>
      <c r="C346">
        <v>1</v>
      </c>
      <c r="D346">
        <v>0</v>
      </c>
      <c r="E346">
        <v>0</v>
      </c>
      <c r="F346">
        <v>1</v>
      </c>
      <c r="G346">
        <v>0</v>
      </c>
      <c r="H346">
        <v>0</v>
      </c>
      <c r="I346">
        <v>5</v>
      </c>
      <c r="J346">
        <v>0</v>
      </c>
      <c r="K346" t="s">
        <v>6462</v>
      </c>
      <c r="L346" t="s">
        <v>6525</v>
      </c>
    </row>
    <row r="347" spans="1:13">
      <c r="A347">
        <v>5129</v>
      </c>
      <c r="B347">
        <v>24</v>
      </c>
      <c r="C347">
        <v>1</v>
      </c>
      <c r="D347">
        <v>0</v>
      </c>
      <c r="E347">
        <v>0</v>
      </c>
      <c r="F347">
        <v>1</v>
      </c>
      <c r="G347">
        <v>0</v>
      </c>
      <c r="H347">
        <v>0</v>
      </c>
      <c r="I347">
        <v>3</v>
      </c>
      <c r="J347">
        <v>0</v>
      </c>
      <c r="K347" t="s">
        <v>6462</v>
      </c>
      <c r="L347" t="s">
        <v>6088</v>
      </c>
    </row>
    <row r="348" spans="1:13">
      <c r="A348">
        <v>5129</v>
      </c>
      <c r="B348">
        <v>34</v>
      </c>
      <c r="C348">
        <v>0</v>
      </c>
      <c r="D348">
        <v>0</v>
      </c>
      <c r="E348">
        <v>0</v>
      </c>
      <c r="F348">
        <v>3</v>
      </c>
      <c r="G348">
        <v>0</v>
      </c>
      <c r="H348">
        <v>0</v>
      </c>
      <c r="I348">
        <v>0</v>
      </c>
      <c r="J348">
        <v>1</v>
      </c>
      <c r="K348" t="s">
        <v>12</v>
      </c>
      <c r="M348" t="s">
        <v>6602</v>
      </c>
    </row>
    <row r="349" spans="1:13">
      <c r="A349">
        <v>5129</v>
      </c>
      <c r="B349">
        <v>41</v>
      </c>
      <c r="C349">
        <v>1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6</v>
      </c>
      <c r="J349">
        <v>1</v>
      </c>
      <c r="K349" t="s">
        <v>6088</v>
      </c>
      <c r="L349" t="s">
        <v>6479</v>
      </c>
    </row>
    <row r="350" spans="1:13">
      <c r="A350">
        <v>5129</v>
      </c>
      <c r="B350">
        <v>44</v>
      </c>
      <c r="C350">
        <v>1</v>
      </c>
      <c r="D350">
        <v>0</v>
      </c>
      <c r="E350">
        <v>0</v>
      </c>
      <c r="F350">
        <v>1</v>
      </c>
      <c r="G350">
        <v>0</v>
      </c>
      <c r="H350">
        <v>0</v>
      </c>
      <c r="I350">
        <v>0</v>
      </c>
      <c r="J350">
        <v>0</v>
      </c>
      <c r="K350" t="s">
        <v>6088</v>
      </c>
      <c r="L350" t="s">
        <v>6491</v>
      </c>
      <c r="M350" t="s">
        <v>6645</v>
      </c>
    </row>
    <row r="351" spans="1:13">
      <c r="A351">
        <v>5129</v>
      </c>
      <c r="B351">
        <v>49</v>
      </c>
      <c r="C351">
        <v>1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3</v>
      </c>
      <c r="J351">
        <v>0</v>
      </c>
      <c r="K351" t="s">
        <v>6462</v>
      </c>
      <c r="L351" t="s">
        <v>6536</v>
      </c>
    </row>
    <row r="352" spans="1:13">
      <c r="A352">
        <v>5129</v>
      </c>
      <c r="B352">
        <v>56</v>
      </c>
      <c r="C352">
        <v>1</v>
      </c>
      <c r="D352">
        <v>0</v>
      </c>
      <c r="E352">
        <v>0</v>
      </c>
      <c r="F352">
        <v>2</v>
      </c>
      <c r="G352">
        <v>0</v>
      </c>
      <c r="H352">
        <v>0</v>
      </c>
      <c r="I352">
        <v>3</v>
      </c>
      <c r="J352">
        <v>1</v>
      </c>
      <c r="K352" t="s">
        <v>6088</v>
      </c>
      <c r="L352" t="s">
        <v>6625</v>
      </c>
    </row>
    <row r="353" spans="1:13">
      <c r="A353">
        <v>5129</v>
      </c>
      <c r="B353">
        <v>62</v>
      </c>
      <c r="C353">
        <v>1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4</v>
      </c>
      <c r="J353">
        <v>0</v>
      </c>
      <c r="L353" t="s">
        <v>6479</v>
      </c>
    </row>
    <row r="354" spans="1:13">
      <c r="A354">
        <v>5129</v>
      </c>
      <c r="B354">
        <v>71</v>
      </c>
      <c r="C354">
        <v>1</v>
      </c>
      <c r="D354">
        <v>0</v>
      </c>
      <c r="E354">
        <v>0</v>
      </c>
      <c r="F354">
        <v>1</v>
      </c>
      <c r="G354">
        <v>0</v>
      </c>
      <c r="H354">
        <v>0</v>
      </c>
      <c r="I354">
        <v>9</v>
      </c>
      <c r="J354">
        <v>1</v>
      </c>
      <c r="K354" t="s">
        <v>6088</v>
      </c>
      <c r="L354" t="s">
        <v>6491</v>
      </c>
    </row>
    <row r="355" spans="1:13">
      <c r="A355">
        <v>5132</v>
      </c>
      <c r="B355">
        <v>52</v>
      </c>
      <c r="C355">
        <v>1</v>
      </c>
      <c r="D355">
        <v>0</v>
      </c>
      <c r="E355">
        <v>0</v>
      </c>
      <c r="F355">
        <v>3</v>
      </c>
      <c r="G355">
        <v>4</v>
      </c>
      <c r="H355">
        <v>4</v>
      </c>
      <c r="I355">
        <v>3</v>
      </c>
      <c r="J355">
        <v>0</v>
      </c>
      <c r="K355" t="s">
        <v>6462</v>
      </c>
      <c r="L355" t="s">
        <v>6565</v>
      </c>
    </row>
    <row r="356" spans="1:13">
      <c r="A356">
        <v>5142</v>
      </c>
      <c r="B356">
        <v>1</v>
      </c>
      <c r="C356">
        <v>1</v>
      </c>
      <c r="D356">
        <v>1</v>
      </c>
      <c r="E356">
        <v>0</v>
      </c>
      <c r="F356">
        <v>1</v>
      </c>
      <c r="G356">
        <v>0</v>
      </c>
      <c r="H356">
        <v>0</v>
      </c>
      <c r="I356">
        <v>3</v>
      </c>
      <c r="J356">
        <v>1</v>
      </c>
      <c r="K356" t="s">
        <v>12</v>
      </c>
    </row>
    <row r="357" spans="1:13">
      <c r="A357">
        <v>5142</v>
      </c>
      <c r="B357">
        <v>11</v>
      </c>
      <c r="C357">
        <v>1</v>
      </c>
      <c r="D357">
        <v>0</v>
      </c>
      <c r="E357">
        <v>0</v>
      </c>
      <c r="F357">
        <v>2</v>
      </c>
      <c r="G357">
        <v>0</v>
      </c>
      <c r="H357">
        <v>0</v>
      </c>
      <c r="I357">
        <v>4</v>
      </c>
      <c r="J357">
        <v>0</v>
      </c>
      <c r="K357" t="s">
        <v>6462</v>
      </c>
      <c r="L357" t="s">
        <v>6468</v>
      </c>
      <c r="M357" t="s">
        <v>6517</v>
      </c>
    </row>
    <row r="358" spans="1:13">
      <c r="A358">
        <v>5142</v>
      </c>
      <c r="B358">
        <v>16</v>
      </c>
      <c r="C358">
        <v>1</v>
      </c>
      <c r="D358">
        <v>0</v>
      </c>
      <c r="E358">
        <v>0</v>
      </c>
      <c r="F358">
        <v>4</v>
      </c>
      <c r="G358">
        <v>0</v>
      </c>
      <c r="H358">
        <v>0</v>
      </c>
      <c r="I358">
        <v>0</v>
      </c>
      <c r="J358">
        <v>1</v>
      </c>
      <c r="K358" t="s">
        <v>6462</v>
      </c>
      <c r="M358" t="s">
        <v>6530</v>
      </c>
    </row>
    <row r="359" spans="1:13">
      <c r="A359">
        <v>5142</v>
      </c>
      <c r="B359">
        <v>23</v>
      </c>
      <c r="C359">
        <v>1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4</v>
      </c>
      <c r="J359">
        <v>0</v>
      </c>
      <c r="K359" t="s">
        <v>6462</v>
      </c>
      <c r="L359" t="s">
        <v>6479</v>
      </c>
    </row>
    <row r="360" spans="1:13">
      <c r="A360">
        <v>5142</v>
      </c>
      <c r="B360">
        <v>30</v>
      </c>
      <c r="C360">
        <v>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0</v>
      </c>
      <c r="J360">
        <v>0</v>
      </c>
      <c r="L360" t="s">
        <v>6565</v>
      </c>
      <c r="M360" t="s">
        <v>6592</v>
      </c>
    </row>
    <row r="361" spans="1:13">
      <c r="A361">
        <v>5142</v>
      </c>
      <c r="B361">
        <v>41</v>
      </c>
      <c r="C361">
        <v>1</v>
      </c>
      <c r="D361">
        <v>0</v>
      </c>
      <c r="E361">
        <v>0</v>
      </c>
      <c r="F361">
        <v>1</v>
      </c>
      <c r="G361">
        <v>0</v>
      </c>
      <c r="H361">
        <v>0</v>
      </c>
      <c r="I361">
        <v>3</v>
      </c>
      <c r="J361">
        <v>1</v>
      </c>
      <c r="K361" t="s">
        <v>6088</v>
      </c>
      <c r="L361" t="s">
        <v>6637</v>
      </c>
      <c r="M361" t="s">
        <v>6638</v>
      </c>
    </row>
    <row r="362" spans="1:13">
      <c r="A362">
        <v>5142</v>
      </c>
      <c r="B362">
        <v>45</v>
      </c>
      <c r="C362">
        <v>1</v>
      </c>
      <c r="D362">
        <v>0</v>
      </c>
      <c r="E362">
        <v>0</v>
      </c>
      <c r="F362">
        <v>1</v>
      </c>
      <c r="G362">
        <v>0</v>
      </c>
      <c r="H362">
        <v>0</v>
      </c>
      <c r="I362">
        <v>0</v>
      </c>
      <c r="J362">
        <v>0</v>
      </c>
      <c r="L362" t="s">
        <v>6525</v>
      </c>
    </row>
    <row r="363" spans="1:13">
      <c r="A363">
        <v>5142</v>
      </c>
      <c r="B363">
        <v>45</v>
      </c>
      <c r="C363">
        <v>1</v>
      </c>
      <c r="D363">
        <v>0</v>
      </c>
      <c r="E363">
        <v>0</v>
      </c>
      <c r="F363">
        <v>2</v>
      </c>
      <c r="G363">
        <v>0</v>
      </c>
      <c r="H363">
        <v>0</v>
      </c>
      <c r="I363">
        <v>0</v>
      </c>
      <c r="J363">
        <v>0</v>
      </c>
      <c r="K363" t="s">
        <v>6462</v>
      </c>
      <c r="L363" t="s">
        <v>6525</v>
      </c>
      <c r="M363" t="s">
        <v>6651</v>
      </c>
    </row>
    <row r="364" spans="1:13">
      <c r="A364">
        <v>5142</v>
      </c>
      <c r="B364">
        <v>63</v>
      </c>
      <c r="C364">
        <v>0</v>
      </c>
      <c r="D364">
        <v>0</v>
      </c>
      <c r="E364">
        <v>0</v>
      </c>
      <c r="F364">
        <v>2</v>
      </c>
      <c r="G364">
        <v>3</v>
      </c>
      <c r="H364">
        <v>4</v>
      </c>
      <c r="I364">
        <v>3</v>
      </c>
      <c r="J364">
        <v>0</v>
      </c>
      <c r="K364" t="s">
        <v>6462</v>
      </c>
      <c r="L364" t="s">
        <v>6565</v>
      </c>
    </row>
    <row r="365" spans="1:13">
      <c r="A365">
        <v>5142</v>
      </c>
      <c r="B365">
        <v>69</v>
      </c>
      <c r="C365">
        <v>0</v>
      </c>
      <c r="D365">
        <v>1</v>
      </c>
      <c r="E365">
        <v>0</v>
      </c>
      <c r="F365">
        <v>1</v>
      </c>
      <c r="G365">
        <v>3</v>
      </c>
      <c r="H365">
        <v>3</v>
      </c>
      <c r="I365">
        <v>2</v>
      </c>
      <c r="J365">
        <v>0</v>
      </c>
      <c r="K365" t="s">
        <v>6462</v>
      </c>
      <c r="L365" t="s">
        <v>6536</v>
      </c>
    </row>
    <row r="366" spans="1:13">
      <c r="A366">
        <v>5142</v>
      </c>
      <c r="B366">
        <v>69</v>
      </c>
      <c r="C366">
        <v>1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2</v>
      </c>
      <c r="J366">
        <v>0</v>
      </c>
      <c r="L366" t="s">
        <v>6688</v>
      </c>
    </row>
    <row r="367" spans="1:13">
      <c r="A367">
        <v>5142</v>
      </c>
      <c r="B367">
        <v>77</v>
      </c>
      <c r="C367">
        <v>1</v>
      </c>
      <c r="D367">
        <v>0</v>
      </c>
      <c r="E367">
        <v>0</v>
      </c>
      <c r="F367">
        <v>0</v>
      </c>
      <c r="G367">
        <v>2</v>
      </c>
      <c r="H367">
        <v>0</v>
      </c>
      <c r="I367">
        <v>0</v>
      </c>
      <c r="J367">
        <v>0</v>
      </c>
      <c r="K367" t="s">
        <v>6462</v>
      </c>
      <c r="M367" t="s">
        <v>6880</v>
      </c>
    </row>
    <row r="368" spans="1:13">
      <c r="A368">
        <v>5152</v>
      </c>
      <c r="B368">
        <v>57</v>
      </c>
      <c r="C368">
        <v>1</v>
      </c>
      <c r="D368">
        <v>0</v>
      </c>
      <c r="E368">
        <v>0</v>
      </c>
      <c r="F368">
        <v>0</v>
      </c>
      <c r="G368">
        <v>0</v>
      </c>
      <c r="H368">
        <v>2</v>
      </c>
      <c r="I368">
        <v>3</v>
      </c>
      <c r="J368">
        <v>1</v>
      </c>
      <c r="K368" t="s">
        <v>6088</v>
      </c>
      <c r="L368" t="s">
        <v>6491</v>
      </c>
    </row>
    <row r="369" spans="1:13">
      <c r="A369">
        <v>5686</v>
      </c>
      <c r="B369">
        <v>6</v>
      </c>
      <c r="C369">
        <v>1</v>
      </c>
      <c r="D369">
        <v>0</v>
      </c>
      <c r="E369">
        <v>0</v>
      </c>
      <c r="F369">
        <v>5</v>
      </c>
      <c r="G369">
        <v>1</v>
      </c>
      <c r="H369">
        <v>0</v>
      </c>
      <c r="I369">
        <v>4</v>
      </c>
      <c r="J369">
        <v>0</v>
      </c>
      <c r="K369" t="s">
        <v>6462</v>
      </c>
      <c r="L369" t="s">
        <v>6481</v>
      </c>
    </row>
    <row r="370" spans="1:13">
      <c r="A370">
        <v>5686</v>
      </c>
      <c r="B370">
        <v>12</v>
      </c>
      <c r="C370">
        <v>1</v>
      </c>
      <c r="D370">
        <v>1</v>
      </c>
      <c r="E370">
        <v>0</v>
      </c>
      <c r="F370">
        <v>0</v>
      </c>
      <c r="G370">
        <v>1</v>
      </c>
      <c r="H370">
        <v>0</v>
      </c>
      <c r="I370">
        <v>9</v>
      </c>
      <c r="J370">
        <v>0</v>
      </c>
      <c r="K370" t="s">
        <v>6462</v>
      </c>
      <c r="L370" t="s">
        <v>6491</v>
      </c>
      <c r="M370" t="s">
        <v>6520</v>
      </c>
    </row>
    <row r="371" spans="1:13">
      <c r="A371">
        <v>5686</v>
      </c>
      <c r="B371">
        <v>15</v>
      </c>
      <c r="C371">
        <v>1</v>
      </c>
      <c r="D371">
        <v>1</v>
      </c>
      <c r="E371">
        <v>0</v>
      </c>
      <c r="F371">
        <v>3</v>
      </c>
      <c r="G371">
        <v>1</v>
      </c>
      <c r="H371">
        <v>0</v>
      </c>
      <c r="I371">
        <v>7</v>
      </c>
      <c r="J371">
        <v>0</v>
      </c>
      <c r="K371" t="s">
        <v>6462</v>
      </c>
      <c r="L371" t="s">
        <v>6512</v>
      </c>
    </row>
    <row r="372" spans="1:13">
      <c r="A372">
        <v>5686</v>
      </c>
      <c r="B372">
        <v>27</v>
      </c>
      <c r="C372">
        <v>0</v>
      </c>
      <c r="D372">
        <v>1</v>
      </c>
      <c r="E372">
        <v>0</v>
      </c>
      <c r="F372">
        <v>4</v>
      </c>
      <c r="G372">
        <v>5</v>
      </c>
      <c r="H372">
        <v>3</v>
      </c>
      <c r="I372">
        <v>6</v>
      </c>
      <c r="J372">
        <v>0</v>
      </c>
      <c r="K372" t="s">
        <v>6462</v>
      </c>
      <c r="L372" t="s">
        <v>6478</v>
      </c>
    </row>
    <row r="373" spans="1:13">
      <c r="A373">
        <v>5686</v>
      </c>
      <c r="B373">
        <v>30</v>
      </c>
      <c r="C373">
        <v>0</v>
      </c>
      <c r="D373">
        <v>1</v>
      </c>
      <c r="E373">
        <v>0</v>
      </c>
      <c r="F373">
        <v>3</v>
      </c>
      <c r="G373">
        <v>1</v>
      </c>
      <c r="H373">
        <v>6</v>
      </c>
      <c r="I373">
        <v>5</v>
      </c>
      <c r="J373">
        <v>0</v>
      </c>
      <c r="K373" t="s">
        <v>6462</v>
      </c>
      <c r="L373" t="s">
        <v>6464</v>
      </c>
    </row>
    <row r="374" spans="1:13">
      <c r="A374">
        <v>5686</v>
      </c>
      <c r="B374">
        <v>36</v>
      </c>
      <c r="C374">
        <v>0</v>
      </c>
      <c r="D374">
        <v>0</v>
      </c>
      <c r="E374">
        <v>0</v>
      </c>
      <c r="F374">
        <v>3</v>
      </c>
      <c r="G374">
        <v>2</v>
      </c>
      <c r="H374">
        <v>0</v>
      </c>
      <c r="I374">
        <v>9</v>
      </c>
      <c r="J374">
        <v>0</v>
      </c>
      <c r="K374" t="s">
        <v>6462</v>
      </c>
      <c r="L374" t="s">
        <v>6491</v>
      </c>
      <c r="M374" t="s">
        <v>6626</v>
      </c>
    </row>
    <row r="375" spans="1:13">
      <c r="A375">
        <v>5686</v>
      </c>
      <c r="B375">
        <v>42</v>
      </c>
      <c r="C375">
        <v>1</v>
      </c>
      <c r="D375">
        <v>1</v>
      </c>
      <c r="E375">
        <v>0</v>
      </c>
      <c r="F375">
        <v>1</v>
      </c>
      <c r="G375">
        <v>0</v>
      </c>
      <c r="H375">
        <v>0</v>
      </c>
      <c r="I375">
        <v>9</v>
      </c>
      <c r="J375">
        <v>0</v>
      </c>
      <c r="K375" t="s">
        <v>6462</v>
      </c>
      <c r="L375" t="s">
        <v>6491</v>
      </c>
      <c r="M375" t="s">
        <v>6639</v>
      </c>
    </row>
    <row r="376" spans="1:13">
      <c r="A376">
        <v>5686</v>
      </c>
      <c r="B376">
        <v>49</v>
      </c>
      <c r="C376">
        <v>1</v>
      </c>
      <c r="D376">
        <v>0</v>
      </c>
      <c r="E376">
        <v>0</v>
      </c>
      <c r="F376">
        <v>0</v>
      </c>
      <c r="G376">
        <v>1</v>
      </c>
      <c r="H376">
        <v>0</v>
      </c>
      <c r="I376">
        <v>3</v>
      </c>
      <c r="J376">
        <v>1</v>
      </c>
      <c r="K376" t="s">
        <v>6490</v>
      </c>
      <c r="L376" t="s">
        <v>6491</v>
      </c>
    </row>
    <row r="377" spans="1:13">
      <c r="A377">
        <v>5686</v>
      </c>
      <c r="B377">
        <v>66</v>
      </c>
      <c r="C377">
        <v>1</v>
      </c>
      <c r="D377">
        <v>1</v>
      </c>
      <c r="E377">
        <v>0</v>
      </c>
      <c r="F377">
        <v>0</v>
      </c>
      <c r="G377">
        <v>8</v>
      </c>
      <c r="H377">
        <v>0</v>
      </c>
      <c r="I377">
        <v>0</v>
      </c>
      <c r="J377">
        <v>1</v>
      </c>
      <c r="K377" t="s">
        <v>6088</v>
      </c>
      <c r="L377" t="s">
        <v>6491</v>
      </c>
      <c r="M377" t="s">
        <v>6762</v>
      </c>
    </row>
    <row r="378" spans="1:13">
      <c r="A378">
        <v>5686</v>
      </c>
      <c r="B378">
        <v>74</v>
      </c>
      <c r="C378">
        <v>0</v>
      </c>
      <c r="D378">
        <v>1</v>
      </c>
      <c r="E378">
        <v>0</v>
      </c>
      <c r="F378">
        <v>0</v>
      </c>
      <c r="G378">
        <v>7</v>
      </c>
      <c r="H378">
        <v>0</v>
      </c>
      <c r="I378">
        <v>0</v>
      </c>
      <c r="J378">
        <v>1</v>
      </c>
      <c r="K378" t="s">
        <v>6088</v>
      </c>
      <c r="L378" t="s">
        <v>6525</v>
      </c>
    </row>
    <row r="379" spans="1:13">
      <c r="A379">
        <v>5686</v>
      </c>
      <c r="B379">
        <v>79</v>
      </c>
      <c r="C379">
        <v>0</v>
      </c>
      <c r="D379">
        <v>1</v>
      </c>
      <c r="E379">
        <v>0</v>
      </c>
      <c r="F379">
        <v>5</v>
      </c>
      <c r="G379">
        <v>4</v>
      </c>
      <c r="H379">
        <v>0</v>
      </c>
      <c r="I379">
        <v>6</v>
      </c>
      <c r="J379">
        <v>0</v>
      </c>
      <c r="K379" t="s">
        <v>6462</v>
      </c>
      <c r="L379" t="s">
        <v>6479</v>
      </c>
    </row>
    <row r="380" spans="1:13">
      <c r="A380">
        <v>5746</v>
      </c>
      <c r="B380">
        <v>5</v>
      </c>
      <c r="C380">
        <v>1</v>
      </c>
      <c r="D380">
        <v>0</v>
      </c>
      <c r="E380">
        <v>0</v>
      </c>
      <c r="F380">
        <v>2</v>
      </c>
      <c r="G380">
        <v>0</v>
      </c>
      <c r="H380">
        <v>1</v>
      </c>
      <c r="I380">
        <v>0</v>
      </c>
      <c r="J380">
        <v>0</v>
      </c>
      <c r="K380" t="s">
        <v>6462</v>
      </c>
      <c r="M380" t="s">
        <v>6485</v>
      </c>
    </row>
    <row r="381" spans="1:13">
      <c r="A381">
        <v>5746</v>
      </c>
      <c r="B381">
        <v>9</v>
      </c>
      <c r="C381">
        <v>1</v>
      </c>
      <c r="D381">
        <v>1</v>
      </c>
      <c r="E381">
        <v>0</v>
      </c>
      <c r="F381">
        <v>2</v>
      </c>
      <c r="G381">
        <v>0</v>
      </c>
      <c r="H381">
        <v>0</v>
      </c>
      <c r="I381">
        <v>0</v>
      </c>
      <c r="J381">
        <v>0</v>
      </c>
      <c r="K381" t="s">
        <v>6462</v>
      </c>
      <c r="M381" t="s">
        <v>6498</v>
      </c>
    </row>
    <row r="382" spans="1:13">
      <c r="A382">
        <v>5746</v>
      </c>
      <c r="B382">
        <v>15</v>
      </c>
      <c r="C382">
        <v>1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5</v>
      </c>
      <c r="J382">
        <v>1</v>
      </c>
      <c r="K382" t="s">
        <v>6088</v>
      </c>
      <c r="L382" t="s">
        <v>6525</v>
      </c>
      <c r="M382" t="s">
        <v>6526</v>
      </c>
    </row>
    <row r="383" spans="1:13">
      <c r="A383">
        <v>5746</v>
      </c>
      <c r="B383">
        <v>25</v>
      </c>
      <c r="C383">
        <v>1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 t="s">
        <v>6462</v>
      </c>
      <c r="L383" t="s">
        <v>6231</v>
      </c>
      <c r="M383" t="s">
        <v>6578</v>
      </c>
    </row>
    <row r="384" spans="1:13">
      <c r="A384">
        <v>5746</v>
      </c>
      <c r="B384">
        <v>29</v>
      </c>
      <c r="C384">
        <v>1</v>
      </c>
      <c r="D384">
        <v>0</v>
      </c>
      <c r="E384">
        <v>0</v>
      </c>
      <c r="F384">
        <v>0</v>
      </c>
      <c r="G384">
        <v>0</v>
      </c>
      <c r="H384">
        <v>1</v>
      </c>
      <c r="I384">
        <v>6</v>
      </c>
      <c r="J384">
        <v>1</v>
      </c>
      <c r="K384" t="s">
        <v>6088</v>
      </c>
      <c r="L384" t="s">
        <v>6536</v>
      </c>
    </row>
    <row r="385" spans="1:13">
      <c r="A385">
        <v>5746</v>
      </c>
      <c r="B385">
        <v>38</v>
      </c>
      <c r="C385">
        <v>1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3</v>
      </c>
      <c r="J385">
        <v>0</v>
      </c>
      <c r="K385" t="s">
        <v>6462</v>
      </c>
      <c r="L385" t="s">
        <v>6476</v>
      </c>
    </row>
    <row r="386" spans="1:13">
      <c r="A386">
        <v>5746</v>
      </c>
      <c r="B386">
        <v>50</v>
      </c>
      <c r="C386">
        <v>1</v>
      </c>
      <c r="D386">
        <v>0</v>
      </c>
      <c r="E386">
        <v>0</v>
      </c>
      <c r="F386">
        <v>1</v>
      </c>
      <c r="G386">
        <v>0</v>
      </c>
      <c r="H386">
        <v>0</v>
      </c>
      <c r="I386">
        <v>3</v>
      </c>
      <c r="J386">
        <v>0</v>
      </c>
      <c r="K386" t="s">
        <v>6462</v>
      </c>
      <c r="L386" t="s">
        <v>6491</v>
      </c>
    </row>
    <row r="387" spans="1:13">
      <c r="A387">
        <v>5746</v>
      </c>
      <c r="B387">
        <v>55</v>
      </c>
      <c r="C387">
        <v>1</v>
      </c>
      <c r="D387">
        <v>0</v>
      </c>
      <c r="E387">
        <v>0</v>
      </c>
      <c r="F387">
        <v>0</v>
      </c>
      <c r="G387">
        <v>2</v>
      </c>
      <c r="H387">
        <v>1</v>
      </c>
      <c r="I387">
        <v>3</v>
      </c>
      <c r="J387">
        <v>0</v>
      </c>
      <c r="K387" t="s">
        <v>6088</v>
      </c>
      <c r="L387" t="s">
        <v>6463</v>
      </c>
    </row>
    <row r="388" spans="1:13">
      <c r="A388">
        <v>5746</v>
      </c>
      <c r="B388">
        <v>68</v>
      </c>
      <c r="C388">
        <v>0</v>
      </c>
      <c r="D388">
        <v>1</v>
      </c>
      <c r="E388">
        <v>0</v>
      </c>
      <c r="F388">
        <v>3</v>
      </c>
      <c r="G388">
        <v>2</v>
      </c>
      <c r="H388">
        <v>4</v>
      </c>
      <c r="I388">
        <v>5</v>
      </c>
      <c r="J388">
        <v>0</v>
      </c>
      <c r="K388" t="s">
        <v>6462</v>
      </c>
      <c r="L388" t="s">
        <v>6479</v>
      </c>
      <c r="M388" t="s">
        <v>6766</v>
      </c>
    </row>
    <row r="389" spans="1:13">
      <c r="A389">
        <v>5746</v>
      </c>
      <c r="B389">
        <v>77</v>
      </c>
      <c r="C389">
        <v>1</v>
      </c>
      <c r="D389">
        <v>0</v>
      </c>
      <c r="E389">
        <v>0</v>
      </c>
      <c r="F389">
        <v>0</v>
      </c>
      <c r="G389">
        <v>0</v>
      </c>
      <c r="H389">
        <v>1</v>
      </c>
      <c r="I389">
        <v>0</v>
      </c>
      <c r="J389">
        <v>0</v>
      </c>
      <c r="L389" t="s">
        <v>6536</v>
      </c>
    </row>
    <row r="390" spans="1:13">
      <c r="A390">
        <v>5748</v>
      </c>
      <c r="B390">
        <v>42</v>
      </c>
      <c r="C390">
        <v>0</v>
      </c>
      <c r="D390">
        <v>0</v>
      </c>
      <c r="E390">
        <v>0</v>
      </c>
      <c r="F390">
        <v>2</v>
      </c>
      <c r="G390">
        <v>0</v>
      </c>
      <c r="H390">
        <v>1</v>
      </c>
      <c r="I390">
        <v>0</v>
      </c>
      <c r="J390">
        <v>1</v>
      </c>
      <c r="K390" t="s">
        <v>6088</v>
      </c>
      <c r="L390" t="s">
        <v>6491</v>
      </c>
    </row>
    <row r="391" spans="1:13">
      <c r="A391">
        <v>5812</v>
      </c>
      <c r="B391">
        <v>54</v>
      </c>
      <c r="C391">
        <v>1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2</v>
      </c>
      <c r="J391">
        <v>0</v>
      </c>
      <c r="K391" t="s">
        <v>6462</v>
      </c>
    </row>
    <row r="392" spans="1:13">
      <c r="A392">
        <v>6333</v>
      </c>
      <c r="B392">
        <v>7</v>
      </c>
      <c r="C392">
        <v>1</v>
      </c>
      <c r="D392">
        <v>0</v>
      </c>
      <c r="E392">
        <v>0</v>
      </c>
      <c r="F392">
        <v>0</v>
      </c>
      <c r="G392">
        <v>0</v>
      </c>
      <c r="H392">
        <v>1</v>
      </c>
      <c r="I392">
        <v>0</v>
      </c>
      <c r="J392">
        <v>1</v>
      </c>
      <c r="K392" t="s">
        <v>6088</v>
      </c>
      <c r="L392" t="s">
        <v>6088</v>
      </c>
      <c r="M392" t="s">
        <v>6492</v>
      </c>
    </row>
    <row r="393" spans="1:13">
      <c r="A393">
        <v>6333</v>
      </c>
      <c r="B393">
        <v>10</v>
      </c>
      <c r="C393">
        <v>1</v>
      </c>
      <c r="D393">
        <v>0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 t="s">
        <v>6462</v>
      </c>
    </row>
    <row r="394" spans="1:13">
      <c r="A394">
        <v>6333</v>
      </c>
      <c r="B394">
        <v>27</v>
      </c>
      <c r="C394">
        <v>0</v>
      </c>
      <c r="D394">
        <v>1</v>
      </c>
      <c r="E394">
        <v>0</v>
      </c>
      <c r="F394">
        <v>0</v>
      </c>
      <c r="G394">
        <v>1</v>
      </c>
      <c r="H394">
        <v>0</v>
      </c>
      <c r="I394">
        <v>2</v>
      </c>
      <c r="J394">
        <v>1</v>
      </c>
      <c r="K394" t="s">
        <v>6088</v>
      </c>
      <c r="L394" t="s">
        <v>6584</v>
      </c>
      <c r="M394" t="s">
        <v>6585</v>
      </c>
    </row>
    <row r="395" spans="1:13">
      <c r="A395">
        <v>6333</v>
      </c>
      <c r="B395">
        <v>32</v>
      </c>
      <c r="C395">
        <v>1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 t="s">
        <v>6088</v>
      </c>
      <c r="L395" t="s">
        <v>6468</v>
      </c>
      <c r="M395" t="s">
        <v>6597</v>
      </c>
    </row>
    <row r="396" spans="1:13">
      <c r="A396">
        <v>6333</v>
      </c>
      <c r="B396">
        <v>35</v>
      </c>
      <c r="C396">
        <v>1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4</v>
      </c>
      <c r="J396">
        <v>1</v>
      </c>
      <c r="K396" t="s">
        <v>6088</v>
      </c>
      <c r="L396" t="s">
        <v>6625</v>
      </c>
    </row>
    <row r="397" spans="1:13">
      <c r="A397">
        <v>6333</v>
      </c>
      <c r="B397">
        <v>42</v>
      </c>
      <c r="C397">
        <v>1</v>
      </c>
      <c r="D397">
        <v>0</v>
      </c>
      <c r="E397">
        <v>0</v>
      </c>
      <c r="F397">
        <v>3</v>
      </c>
      <c r="G397">
        <v>0</v>
      </c>
      <c r="H397">
        <v>0</v>
      </c>
      <c r="I397">
        <v>0</v>
      </c>
      <c r="J397">
        <v>0</v>
      </c>
      <c r="K397" t="s">
        <v>6462</v>
      </c>
      <c r="L397" t="s">
        <v>6625</v>
      </c>
    </row>
    <row r="398" spans="1:13">
      <c r="A398">
        <v>6333</v>
      </c>
      <c r="B398">
        <v>42</v>
      </c>
      <c r="C398">
        <v>1</v>
      </c>
      <c r="D398">
        <v>0</v>
      </c>
      <c r="E398">
        <v>0</v>
      </c>
      <c r="F398">
        <v>1</v>
      </c>
      <c r="G398">
        <v>0</v>
      </c>
      <c r="H398">
        <v>0</v>
      </c>
      <c r="I398">
        <v>1</v>
      </c>
      <c r="J398">
        <v>0</v>
      </c>
      <c r="L398" t="s">
        <v>6525</v>
      </c>
    </row>
    <row r="399" spans="1:13">
      <c r="A399">
        <v>6333</v>
      </c>
      <c r="B399">
        <v>55</v>
      </c>
      <c r="C399">
        <v>1</v>
      </c>
      <c r="D399">
        <v>0</v>
      </c>
      <c r="E399">
        <v>0</v>
      </c>
      <c r="F399">
        <v>0</v>
      </c>
      <c r="G399">
        <v>1</v>
      </c>
      <c r="H399">
        <v>0</v>
      </c>
      <c r="I399" s="2">
        <v>0</v>
      </c>
      <c r="J399" s="2">
        <v>0</v>
      </c>
      <c r="K399" s="2" t="s">
        <v>6462</v>
      </c>
      <c r="L399" t="s">
        <v>6491</v>
      </c>
    </row>
    <row r="400" spans="1:13">
      <c r="A400">
        <v>6333</v>
      </c>
      <c r="B400">
        <v>55</v>
      </c>
      <c r="C400">
        <v>1</v>
      </c>
      <c r="D400">
        <v>0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 t="s">
        <v>6462</v>
      </c>
      <c r="L400" t="s">
        <v>6491</v>
      </c>
    </row>
    <row r="401" spans="1:13">
      <c r="A401">
        <v>6333</v>
      </c>
      <c r="B401">
        <v>60</v>
      </c>
      <c r="C401">
        <v>1</v>
      </c>
      <c r="D401">
        <v>0</v>
      </c>
      <c r="E401">
        <v>0</v>
      </c>
      <c r="F401">
        <v>1</v>
      </c>
      <c r="G401">
        <v>0</v>
      </c>
      <c r="H401">
        <v>0</v>
      </c>
      <c r="I401">
        <v>2</v>
      </c>
      <c r="J401">
        <v>1</v>
      </c>
      <c r="K401" t="s">
        <v>6088</v>
      </c>
      <c r="L401" t="s">
        <v>6088</v>
      </c>
    </row>
    <row r="402" spans="1:13">
      <c r="A402">
        <v>6333</v>
      </c>
      <c r="B402">
        <v>72</v>
      </c>
      <c r="C402">
        <v>1</v>
      </c>
      <c r="D402">
        <v>0</v>
      </c>
      <c r="E402">
        <v>0</v>
      </c>
      <c r="F402">
        <v>2</v>
      </c>
      <c r="G402">
        <v>0</v>
      </c>
      <c r="H402">
        <v>0</v>
      </c>
      <c r="I402">
        <v>0</v>
      </c>
      <c r="J402">
        <v>0</v>
      </c>
      <c r="L402" t="s">
        <v>6463</v>
      </c>
    </row>
    <row r="403" spans="1:13">
      <c r="A403">
        <v>6346</v>
      </c>
      <c r="B403">
        <v>1</v>
      </c>
      <c r="C403">
        <v>1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2</v>
      </c>
      <c r="J403">
        <v>0</v>
      </c>
      <c r="K403" t="s">
        <v>6462</v>
      </c>
      <c r="L403" t="s">
        <v>6463</v>
      </c>
    </row>
    <row r="404" spans="1:13">
      <c r="A404">
        <v>6346</v>
      </c>
      <c r="B404">
        <v>1</v>
      </c>
      <c r="C404">
        <v>1</v>
      </c>
      <c r="D404">
        <v>0</v>
      </c>
      <c r="E404">
        <v>0</v>
      </c>
      <c r="F404">
        <v>1</v>
      </c>
      <c r="G404">
        <v>0</v>
      </c>
      <c r="H404">
        <v>0</v>
      </c>
      <c r="I404" s="2">
        <v>2</v>
      </c>
      <c r="J404" s="2">
        <v>1</v>
      </c>
      <c r="K404" s="2" t="s">
        <v>6462</v>
      </c>
      <c r="L404" t="s">
        <v>6464</v>
      </c>
      <c r="M404" t="s">
        <v>6465</v>
      </c>
    </row>
    <row r="405" spans="1:13">
      <c r="A405">
        <v>6346</v>
      </c>
      <c r="B405">
        <v>13</v>
      </c>
      <c r="C405">
        <v>1</v>
      </c>
      <c r="D405">
        <v>0</v>
      </c>
      <c r="E405">
        <v>0</v>
      </c>
      <c r="F405">
        <v>1</v>
      </c>
      <c r="G405">
        <v>0</v>
      </c>
      <c r="H405">
        <v>0</v>
      </c>
      <c r="I405">
        <v>4</v>
      </c>
      <c r="J405">
        <v>0</v>
      </c>
      <c r="L405" t="s">
        <v>6088</v>
      </c>
      <c r="M405" t="s">
        <v>6522</v>
      </c>
    </row>
    <row r="406" spans="1:13">
      <c r="A406">
        <v>6346</v>
      </c>
      <c r="B406">
        <v>13</v>
      </c>
      <c r="C406">
        <v>1</v>
      </c>
      <c r="D406">
        <v>0</v>
      </c>
      <c r="E406">
        <v>0</v>
      </c>
      <c r="F406">
        <v>1</v>
      </c>
      <c r="G406">
        <v>0</v>
      </c>
      <c r="H406">
        <v>0</v>
      </c>
      <c r="I406">
        <v>3</v>
      </c>
      <c r="J406">
        <v>0</v>
      </c>
      <c r="K406" t="s">
        <v>6462</v>
      </c>
      <c r="L406" t="s">
        <v>6088</v>
      </c>
    </row>
    <row r="407" spans="1:13">
      <c r="A407">
        <v>6346</v>
      </c>
      <c r="B407">
        <v>20</v>
      </c>
      <c r="C407">
        <v>1</v>
      </c>
      <c r="D407">
        <v>1</v>
      </c>
      <c r="E407">
        <v>0</v>
      </c>
      <c r="F407">
        <v>2</v>
      </c>
      <c r="G407">
        <v>0</v>
      </c>
      <c r="H407">
        <v>0</v>
      </c>
      <c r="I407">
        <v>0</v>
      </c>
      <c r="J407">
        <v>1</v>
      </c>
      <c r="K407" t="s">
        <v>6088</v>
      </c>
      <c r="L407" t="s">
        <v>6525</v>
      </c>
      <c r="M407" t="s">
        <v>6542</v>
      </c>
    </row>
    <row r="408" spans="1:13">
      <c r="A408">
        <v>6346</v>
      </c>
      <c r="B408">
        <v>25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4</v>
      </c>
      <c r="J408">
        <v>0</v>
      </c>
      <c r="L408" t="s">
        <v>6467</v>
      </c>
      <c r="M408" t="s">
        <v>6577</v>
      </c>
    </row>
    <row r="409" spans="1:13">
      <c r="A409">
        <v>6346</v>
      </c>
      <c r="B409">
        <v>33</v>
      </c>
      <c r="C409">
        <v>1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2</v>
      </c>
      <c r="J409">
        <v>1</v>
      </c>
      <c r="K409" t="s">
        <v>6088</v>
      </c>
      <c r="L409" t="s">
        <v>6088</v>
      </c>
      <c r="M409" t="s">
        <v>6600</v>
      </c>
    </row>
    <row r="410" spans="1:13">
      <c r="A410">
        <v>6346</v>
      </c>
      <c r="B410">
        <v>36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1</v>
      </c>
      <c r="K410" t="s">
        <v>6088</v>
      </c>
      <c r="L410" t="s">
        <v>6491</v>
      </c>
    </row>
    <row r="411" spans="1:13">
      <c r="A411">
        <v>6346</v>
      </c>
      <c r="B411">
        <v>47</v>
      </c>
      <c r="C411">
        <v>1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5</v>
      </c>
      <c r="J411">
        <v>0</v>
      </c>
      <c r="K411" t="s">
        <v>6462</v>
      </c>
      <c r="L411" t="s">
        <v>6482</v>
      </c>
      <c r="M411" t="s">
        <v>6657</v>
      </c>
    </row>
    <row r="412" spans="1:13">
      <c r="A412">
        <v>6346</v>
      </c>
      <c r="B412">
        <v>52</v>
      </c>
      <c r="C412">
        <v>1</v>
      </c>
      <c r="D412">
        <v>0</v>
      </c>
      <c r="E412">
        <v>0</v>
      </c>
      <c r="F412">
        <v>0</v>
      </c>
      <c r="G412">
        <v>0</v>
      </c>
      <c r="H412">
        <v>2</v>
      </c>
      <c r="I412">
        <v>0</v>
      </c>
      <c r="J412">
        <v>1</v>
      </c>
      <c r="K412" t="s">
        <v>6088</v>
      </c>
      <c r="L412" t="s">
        <v>6582</v>
      </c>
    </row>
    <row r="413" spans="1:13">
      <c r="A413">
        <v>6346</v>
      </c>
      <c r="B413">
        <v>57</v>
      </c>
      <c r="C413">
        <v>1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4</v>
      </c>
      <c r="J413">
        <v>0</v>
      </c>
      <c r="L413" t="s">
        <v>6088</v>
      </c>
    </row>
    <row r="414" spans="1:13">
      <c r="A414">
        <v>6346</v>
      </c>
      <c r="B414">
        <v>68</v>
      </c>
      <c r="C414">
        <v>1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3</v>
      </c>
      <c r="J414">
        <v>0</v>
      </c>
      <c r="L414" t="s">
        <v>6088</v>
      </c>
    </row>
    <row r="415" spans="1:13">
      <c r="A415">
        <v>6346</v>
      </c>
      <c r="B415">
        <v>72</v>
      </c>
      <c r="C415">
        <v>1</v>
      </c>
      <c r="D415">
        <v>1</v>
      </c>
      <c r="E415">
        <v>0</v>
      </c>
      <c r="F415">
        <v>0</v>
      </c>
      <c r="G415">
        <v>0</v>
      </c>
      <c r="H415">
        <v>0</v>
      </c>
      <c r="I415">
        <v>5</v>
      </c>
      <c r="J415">
        <v>1</v>
      </c>
      <c r="K415" t="s">
        <v>6088</v>
      </c>
      <c r="L415" t="s">
        <v>6463</v>
      </c>
    </row>
    <row r="416" spans="1:13">
      <c r="A416">
        <v>6346</v>
      </c>
      <c r="B416">
        <v>81</v>
      </c>
      <c r="C416">
        <v>1</v>
      </c>
      <c r="D416">
        <v>0</v>
      </c>
      <c r="E416">
        <v>0</v>
      </c>
      <c r="F416">
        <v>1</v>
      </c>
      <c r="G416">
        <v>3</v>
      </c>
      <c r="H416">
        <v>1</v>
      </c>
      <c r="I416">
        <v>0</v>
      </c>
      <c r="J416">
        <v>1</v>
      </c>
      <c r="K416" t="s">
        <v>12</v>
      </c>
      <c r="L416" t="s">
        <v>6482</v>
      </c>
    </row>
    <row r="417" spans="1:13">
      <c r="A417">
        <v>6695</v>
      </c>
      <c r="B417">
        <v>73</v>
      </c>
      <c r="C417">
        <v>1</v>
      </c>
      <c r="D417">
        <v>0</v>
      </c>
      <c r="E417">
        <v>0</v>
      </c>
      <c r="F417">
        <v>1</v>
      </c>
      <c r="G417">
        <v>0</v>
      </c>
      <c r="H417">
        <v>0</v>
      </c>
      <c r="I417">
        <v>0</v>
      </c>
      <c r="J417">
        <v>0</v>
      </c>
      <c r="K417" t="s">
        <v>6462</v>
      </c>
      <c r="L417" t="s">
        <v>6525</v>
      </c>
    </row>
    <row r="418" spans="1:13">
      <c r="A418">
        <v>6811</v>
      </c>
      <c r="B418">
        <v>3</v>
      </c>
      <c r="C418">
        <v>1</v>
      </c>
      <c r="D418">
        <v>0</v>
      </c>
      <c r="E418">
        <v>0</v>
      </c>
      <c r="F418">
        <v>2</v>
      </c>
      <c r="G418">
        <v>0</v>
      </c>
      <c r="H418">
        <v>0</v>
      </c>
      <c r="I418">
        <v>0</v>
      </c>
      <c r="J418">
        <v>0</v>
      </c>
      <c r="K418" t="s">
        <v>6462</v>
      </c>
      <c r="L418" t="s">
        <v>6473</v>
      </c>
      <c r="M418" t="s">
        <v>6474</v>
      </c>
    </row>
    <row r="419" spans="1:13">
      <c r="A419">
        <v>6811</v>
      </c>
      <c r="B419">
        <v>9</v>
      </c>
      <c r="C419">
        <v>1</v>
      </c>
      <c r="D419">
        <v>0</v>
      </c>
      <c r="E419">
        <v>0</v>
      </c>
      <c r="F419">
        <v>2</v>
      </c>
      <c r="G419">
        <v>1</v>
      </c>
      <c r="H419">
        <v>0</v>
      </c>
      <c r="I419">
        <v>0</v>
      </c>
      <c r="J419">
        <v>1</v>
      </c>
      <c r="K419" t="s">
        <v>6088</v>
      </c>
      <c r="L419" t="s">
        <v>6491</v>
      </c>
    </row>
    <row r="420" spans="1:13">
      <c r="A420">
        <v>6811</v>
      </c>
      <c r="B420">
        <v>14</v>
      </c>
      <c r="C420">
        <v>1</v>
      </c>
      <c r="D420">
        <v>0</v>
      </c>
      <c r="E420">
        <v>0</v>
      </c>
      <c r="F420">
        <v>4</v>
      </c>
      <c r="G420">
        <v>0</v>
      </c>
      <c r="H420">
        <v>0</v>
      </c>
      <c r="I420">
        <v>0</v>
      </c>
      <c r="J420">
        <v>0</v>
      </c>
      <c r="L420" t="s">
        <v>6491</v>
      </c>
    </row>
    <row r="421" spans="1:13">
      <c r="A421">
        <v>6811</v>
      </c>
      <c r="B421">
        <v>21</v>
      </c>
      <c r="C421">
        <v>0</v>
      </c>
      <c r="D421">
        <v>0</v>
      </c>
      <c r="E421">
        <v>0</v>
      </c>
      <c r="F421">
        <v>3</v>
      </c>
      <c r="G421">
        <v>2</v>
      </c>
      <c r="H421">
        <v>0</v>
      </c>
      <c r="I421">
        <v>3</v>
      </c>
      <c r="J421">
        <v>0</v>
      </c>
      <c r="K421" t="s">
        <v>6462</v>
      </c>
      <c r="L421" t="s">
        <v>6565</v>
      </c>
    </row>
    <row r="422" spans="1:13">
      <c r="A422">
        <v>6811</v>
      </c>
      <c r="B422">
        <v>28</v>
      </c>
      <c r="C422">
        <v>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1</v>
      </c>
      <c r="K422" t="s">
        <v>6088</v>
      </c>
      <c r="L422" t="s">
        <v>6088</v>
      </c>
      <c r="M422" t="s">
        <v>6588</v>
      </c>
    </row>
    <row r="423" spans="1:13">
      <c r="A423">
        <v>6811</v>
      </c>
      <c r="B423">
        <v>38</v>
      </c>
      <c r="C423">
        <v>1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3</v>
      </c>
      <c r="J423">
        <v>0</v>
      </c>
      <c r="K423" t="s">
        <v>6462</v>
      </c>
      <c r="L423" t="s">
        <v>6479</v>
      </c>
    </row>
    <row r="424" spans="1:13">
      <c r="A424">
        <v>6811</v>
      </c>
      <c r="B424">
        <v>42</v>
      </c>
      <c r="C424">
        <v>1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4</v>
      </c>
      <c r="J424">
        <v>1</v>
      </c>
      <c r="K424" t="s">
        <v>6088</v>
      </c>
      <c r="L424" t="s">
        <v>6625</v>
      </c>
    </row>
    <row r="425" spans="1:13">
      <c r="A425">
        <v>6811</v>
      </c>
      <c r="B425">
        <v>54</v>
      </c>
      <c r="C425">
        <v>0</v>
      </c>
      <c r="D425">
        <v>1</v>
      </c>
      <c r="E425">
        <v>0</v>
      </c>
      <c r="F425">
        <v>1</v>
      </c>
      <c r="G425">
        <v>4</v>
      </c>
      <c r="H425">
        <v>0</v>
      </c>
      <c r="I425">
        <v>4</v>
      </c>
      <c r="J425">
        <v>0</v>
      </c>
      <c r="K425" t="s">
        <v>6462</v>
      </c>
      <c r="L425" t="s">
        <v>6694</v>
      </c>
    </row>
    <row r="426" spans="1:13">
      <c r="A426">
        <v>6811</v>
      </c>
      <c r="B426">
        <v>57</v>
      </c>
      <c r="C426">
        <v>1</v>
      </c>
      <c r="D426">
        <v>0</v>
      </c>
      <c r="E426">
        <v>0</v>
      </c>
      <c r="F426">
        <v>1</v>
      </c>
      <c r="G426">
        <v>0</v>
      </c>
      <c r="H426">
        <v>0</v>
      </c>
      <c r="I426">
        <v>0</v>
      </c>
      <c r="J426">
        <v>0</v>
      </c>
      <c r="K426" t="s">
        <v>6462</v>
      </c>
      <c r="L426" t="s">
        <v>6088</v>
      </c>
    </row>
    <row r="427" spans="1:13">
      <c r="A427">
        <v>6811</v>
      </c>
      <c r="B427">
        <v>65</v>
      </c>
      <c r="C427">
        <v>1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5</v>
      </c>
      <c r="J427">
        <v>0</v>
      </c>
      <c r="K427" t="s">
        <v>6462</v>
      </c>
      <c r="L427" t="s">
        <v>6688</v>
      </c>
    </row>
    <row r="428" spans="1:13">
      <c r="A428">
        <v>6811</v>
      </c>
      <c r="B428">
        <v>76</v>
      </c>
      <c r="C428">
        <v>1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1</v>
      </c>
      <c r="J428">
        <v>1</v>
      </c>
      <c r="K428" t="s">
        <v>6088</v>
      </c>
      <c r="L428" t="s">
        <v>6491</v>
      </c>
      <c r="M428" t="s">
        <v>6877</v>
      </c>
    </row>
    <row r="429" spans="1:13">
      <c r="A429">
        <v>6812</v>
      </c>
      <c r="B429">
        <v>21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1</v>
      </c>
      <c r="K429" t="s">
        <v>6088</v>
      </c>
      <c r="L429" t="s">
        <v>6491</v>
      </c>
      <c r="M429" t="s">
        <v>6566</v>
      </c>
    </row>
    <row r="430" spans="1:13">
      <c r="A430">
        <v>6812</v>
      </c>
      <c r="B430">
        <v>24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1</v>
      </c>
      <c r="K430" t="s">
        <v>6088</v>
      </c>
      <c r="L430" t="s">
        <v>6088</v>
      </c>
      <c r="M430" t="s">
        <v>6575</v>
      </c>
    </row>
    <row r="431" spans="1:13">
      <c r="A431">
        <v>6812</v>
      </c>
      <c r="B431">
        <v>30</v>
      </c>
      <c r="C431">
        <v>1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2</v>
      </c>
      <c r="J431">
        <v>1</v>
      </c>
      <c r="K431" t="s">
        <v>6088</v>
      </c>
      <c r="L431" t="s">
        <v>6088</v>
      </c>
      <c r="M431" t="s">
        <v>6594</v>
      </c>
    </row>
    <row r="432" spans="1:13">
      <c r="A432">
        <v>6812</v>
      </c>
      <c r="B432">
        <v>36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1</v>
      </c>
      <c r="J432">
        <v>1</v>
      </c>
      <c r="K432" t="s">
        <v>6088</v>
      </c>
      <c r="L432" t="s">
        <v>6088</v>
      </c>
      <c r="M432" t="s">
        <v>6628</v>
      </c>
    </row>
    <row r="433" spans="1:13">
      <c r="A433">
        <v>6812</v>
      </c>
      <c r="B433">
        <v>60</v>
      </c>
      <c r="C433">
        <v>1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 t="s">
        <v>6462</v>
      </c>
      <c r="L433" t="s">
        <v>6646</v>
      </c>
      <c r="M433" t="s">
        <v>6721</v>
      </c>
    </row>
    <row r="434" spans="1:13">
      <c r="A434">
        <v>6812</v>
      </c>
      <c r="B434">
        <v>67</v>
      </c>
      <c r="C434">
        <v>1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2</v>
      </c>
      <c r="J434">
        <v>0</v>
      </c>
      <c r="L434" t="s">
        <v>6536</v>
      </c>
    </row>
    <row r="435" spans="1:13">
      <c r="A435">
        <v>6812</v>
      </c>
      <c r="B435">
        <v>77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 t="s">
        <v>6462</v>
      </c>
      <c r="M435" t="s">
        <v>6878</v>
      </c>
    </row>
    <row r="436" spans="1:13">
      <c r="A436">
        <v>6872</v>
      </c>
      <c r="B436">
        <v>26</v>
      </c>
      <c r="C436">
        <v>1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 t="s">
        <v>6462</v>
      </c>
      <c r="M436" t="s">
        <v>6652</v>
      </c>
    </row>
    <row r="437" spans="1:13">
      <c r="A437">
        <v>6895</v>
      </c>
      <c r="B437">
        <v>3</v>
      </c>
      <c r="C437">
        <v>1</v>
      </c>
      <c r="D437">
        <v>0</v>
      </c>
      <c r="E437">
        <v>0</v>
      </c>
      <c r="F437">
        <v>0</v>
      </c>
      <c r="G437">
        <v>1</v>
      </c>
      <c r="H437">
        <v>0</v>
      </c>
      <c r="I437">
        <v>2</v>
      </c>
      <c r="J437">
        <v>1</v>
      </c>
      <c r="K437" t="s">
        <v>6088</v>
      </c>
      <c r="L437" t="s">
        <v>6088</v>
      </c>
    </row>
    <row r="438" spans="1:13">
      <c r="A438">
        <v>6895</v>
      </c>
      <c r="B438">
        <v>12</v>
      </c>
      <c r="C438">
        <v>1</v>
      </c>
      <c r="D438">
        <v>0</v>
      </c>
      <c r="E438">
        <v>0</v>
      </c>
      <c r="F438">
        <v>0</v>
      </c>
      <c r="G438">
        <v>1</v>
      </c>
      <c r="H438">
        <v>0</v>
      </c>
      <c r="I438">
        <v>0</v>
      </c>
      <c r="J438">
        <v>0</v>
      </c>
      <c r="K438" t="s">
        <v>6462</v>
      </c>
      <c r="M438" t="s">
        <v>6521</v>
      </c>
    </row>
    <row r="439" spans="1:13">
      <c r="A439">
        <v>6895</v>
      </c>
      <c r="B439">
        <v>12</v>
      </c>
      <c r="C439">
        <v>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 t="s">
        <v>6462</v>
      </c>
      <c r="L439" t="s">
        <v>6088</v>
      </c>
    </row>
    <row r="440" spans="1:13">
      <c r="A440">
        <v>6895</v>
      </c>
      <c r="B440">
        <v>18</v>
      </c>
      <c r="C440">
        <v>1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 t="s">
        <v>6462</v>
      </c>
      <c r="L440" t="s">
        <v>6525</v>
      </c>
    </row>
    <row r="441" spans="1:13">
      <c r="A441">
        <v>6895</v>
      </c>
      <c r="B441">
        <v>28</v>
      </c>
      <c r="C441">
        <v>1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5</v>
      </c>
      <c r="J441">
        <v>0</v>
      </c>
      <c r="K441" t="s">
        <v>6462</v>
      </c>
      <c r="L441" t="s">
        <v>6088</v>
      </c>
    </row>
    <row r="442" spans="1:13">
      <c r="A442">
        <v>6895</v>
      </c>
      <c r="B442">
        <v>34</v>
      </c>
      <c r="C442">
        <v>1</v>
      </c>
      <c r="D442">
        <v>0</v>
      </c>
      <c r="E442">
        <v>0</v>
      </c>
      <c r="F442">
        <v>1</v>
      </c>
      <c r="G442">
        <v>0</v>
      </c>
      <c r="H442">
        <v>0</v>
      </c>
      <c r="I442">
        <v>2</v>
      </c>
      <c r="J442">
        <v>0</v>
      </c>
      <c r="K442" t="s">
        <v>6462</v>
      </c>
    </row>
    <row r="443" spans="1:13">
      <c r="A443">
        <v>6895</v>
      </c>
      <c r="B443">
        <v>39</v>
      </c>
      <c r="C443">
        <v>1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2</v>
      </c>
      <c r="J443">
        <v>1</v>
      </c>
      <c r="K443" t="s">
        <v>6088</v>
      </c>
      <c r="L443" t="s">
        <v>6525</v>
      </c>
    </row>
    <row r="444" spans="1:13">
      <c r="A444">
        <v>6895</v>
      </c>
      <c r="B444">
        <v>48</v>
      </c>
      <c r="C444">
        <v>1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1</v>
      </c>
      <c r="K444" t="s">
        <v>12</v>
      </c>
      <c r="L444" t="s">
        <v>6655</v>
      </c>
    </row>
    <row r="445" spans="1:13">
      <c r="A445">
        <v>6895</v>
      </c>
      <c r="B445">
        <v>55</v>
      </c>
      <c r="C445">
        <v>1</v>
      </c>
      <c r="D445">
        <v>0</v>
      </c>
      <c r="E445">
        <v>0</v>
      </c>
      <c r="F445">
        <v>2</v>
      </c>
      <c r="G445">
        <v>0</v>
      </c>
      <c r="H445">
        <v>0</v>
      </c>
      <c r="I445">
        <v>0</v>
      </c>
      <c r="J445">
        <v>0</v>
      </c>
      <c r="K445" t="s">
        <v>6462</v>
      </c>
    </row>
    <row r="446" spans="1:13">
      <c r="A446">
        <v>6895</v>
      </c>
      <c r="B446">
        <v>58</v>
      </c>
      <c r="C446">
        <v>1</v>
      </c>
      <c r="D446">
        <v>0</v>
      </c>
      <c r="E446">
        <v>0</v>
      </c>
      <c r="F446">
        <v>2</v>
      </c>
      <c r="G446">
        <v>2</v>
      </c>
      <c r="H446">
        <v>0</v>
      </c>
      <c r="I446">
        <v>0</v>
      </c>
      <c r="J446">
        <v>1</v>
      </c>
      <c r="K446" t="s">
        <v>6088</v>
      </c>
      <c r="L446" t="s">
        <v>6512</v>
      </c>
    </row>
    <row r="447" spans="1:13">
      <c r="A447">
        <v>6895</v>
      </c>
      <c r="B447">
        <v>69</v>
      </c>
      <c r="C447">
        <v>1</v>
      </c>
      <c r="D447">
        <v>0</v>
      </c>
      <c r="E447">
        <v>0</v>
      </c>
      <c r="F447">
        <v>1</v>
      </c>
      <c r="G447">
        <v>0</v>
      </c>
      <c r="H447">
        <v>0</v>
      </c>
      <c r="I447">
        <v>0</v>
      </c>
      <c r="J447">
        <v>0</v>
      </c>
      <c r="K447" t="s">
        <v>6462</v>
      </c>
      <c r="L447" t="s">
        <v>6088</v>
      </c>
    </row>
    <row r="448" spans="1:13">
      <c r="A448">
        <v>6895</v>
      </c>
      <c r="B448">
        <v>78</v>
      </c>
      <c r="C448">
        <v>1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1</v>
      </c>
      <c r="K448" t="s">
        <v>6088</v>
      </c>
      <c r="L448" t="s">
        <v>6088</v>
      </c>
      <c r="M448" t="s">
        <v>6881</v>
      </c>
    </row>
    <row r="449" spans="1:13">
      <c r="A449">
        <v>6895</v>
      </c>
      <c r="B449">
        <v>78</v>
      </c>
      <c r="C449">
        <v>1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1</v>
      </c>
      <c r="K449" t="s">
        <v>6088</v>
      </c>
      <c r="L449" t="s">
        <v>6088</v>
      </c>
      <c r="M449" t="s">
        <v>6881</v>
      </c>
    </row>
    <row r="450" spans="1:13">
      <c r="A450">
        <v>7127</v>
      </c>
      <c r="B450">
        <v>7</v>
      </c>
      <c r="C450">
        <v>1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 t="s">
        <v>6088</v>
      </c>
      <c r="L450" t="s">
        <v>6481</v>
      </c>
      <c r="M450" t="s">
        <v>6493</v>
      </c>
    </row>
    <row r="451" spans="1:13">
      <c r="A451">
        <v>7127</v>
      </c>
      <c r="B451">
        <v>13</v>
      </c>
      <c r="C451">
        <v>1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6</v>
      </c>
      <c r="J451">
        <v>0</v>
      </c>
      <c r="K451" t="s">
        <v>6462</v>
      </c>
      <c r="L451" t="s">
        <v>6491</v>
      </c>
    </row>
    <row r="452" spans="1:13">
      <c r="A452">
        <v>7127</v>
      </c>
      <c r="B452">
        <v>20</v>
      </c>
      <c r="C452">
        <v>1</v>
      </c>
      <c r="D452">
        <v>0</v>
      </c>
      <c r="E452">
        <v>0</v>
      </c>
      <c r="F452">
        <v>0</v>
      </c>
      <c r="G452">
        <v>1</v>
      </c>
      <c r="H452">
        <v>0</v>
      </c>
      <c r="I452">
        <v>0</v>
      </c>
      <c r="J452">
        <v>0</v>
      </c>
      <c r="K452" t="s">
        <v>6462</v>
      </c>
      <c r="L452" t="s">
        <v>6525</v>
      </c>
      <c r="M452" t="s">
        <v>6543</v>
      </c>
    </row>
    <row r="453" spans="1:13">
      <c r="A453">
        <v>7127</v>
      </c>
      <c r="B453">
        <v>23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 t="s">
        <v>6462</v>
      </c>
      <c r="M453" t="s">
        <v>6573</v>
      </c>
    </row>
    <row r="454" spans="1:13">
      <c r="A454">
        <v>7127</v>
      </c>
      <c r="B454">
        <v>39</v>
      </c>
      <c r="C454">
        <v>1</v>
      </c>
      <c r="D454">
        <v>0</v>
      </c>
      <c r="E454">
        <v>0</v>
      </c>
      <c r="F454">
        <v>0</v>
      </c>
      <c r="G454">
        <v>4</v>
      </c>
      <c r="H454">
        <v>0</v>
      </c>
      <c r="I454">
        <v>0</v>
      </c>
      <c r="J454">
        <v>1</v>
      </c>
      <c r="K454" t="s">
        <v>6088</v>
      </c>
      <c r="L454" t="s">
        <v>6525</v>
      </c>
    </row>
    <row r="455" spans="1:13">
      <c r="A455">
        <v>7127</v>
      </c>
      <c r="B455">
        <v>46</v>
      </c>
      <c r="C455">
        <v>1</v>
      </c>
      <c r="D455">
        <v>0</v>
      </c>
      <c r="E455">
        <v>0</v>
      </c>
      <c r="F455">
        <v>0</v>
      </c>
      <c r="G455">
        <v>2</v>
      </c>
      <c r="H455">
        <v>0</v>
      </c>
      <c r="I455">
        <v>0</v>
      </c>
      <c r="J455">
        <v>0</v>
      </c>
      <c r="K455" t="s">
        <v>6462</v>
      </c>
      <c r="L455" t="s">
        <v>6491</v>
      </c>
    </row>
    <row r="456" spans="1:13">
      <c r="A456">
        <v>7127</v>
      </c>
      <c r="B456">
        <v>46</v>
      </c>
      <c r="C456">
        <v>1</v>
      </c>
      <c r="D456">
        <v>0</v>
      </c>
      <c r="E456">
        <v>0</v>
      </c>
      <c r="F456">
        <v>0</v>
      </c>
      <c r="G456">
        <v>4</v>
      </c>
      <c r="H456">
        <v>0</v>
      </c>
      <c r="I456">
        <v>0</v>
      </c>
      <c r="J456">
        <v>0</v>
      </c>
      <c r="K456" t="s">
        <v>6088</v>
      </c>
      <c r="L456" t="s">
        <v>6491</v>
      </c>
    </row>
    <row r="457" spans="1:13">
      <c r="A457">
        <v>7127</v>
      </c>
      <c r="B457">
        <v>52</v>
      </c>
      <c r="C457">
        <v>0</v>
      </c>
      <c r="D457">
        <v>1</v>
      </c>
      <c r="E457">
        <v>0</v>
      </c>
      <c r="F457">
        <v>3</v>
      </c>
      <c r="G457">
        <v>4</v>
      </c>
      <c r="H457">
        <v>4</v>
      </c>
      <c r="I457">
        <v>6</v>
      </c>
      <c r="J457">
        <v>0</v>
      </c>
      <c r="K457" t="s">
        <v>6462</v>
      </c>
      <c r="L457" t="s">
        <v>6536</v>
      </c>
    </row>
    <row r="458" spans="1:13">
      <c r="A458">
        <v>7127</v>
      </c>
      <c r="B458">
        <v>61</v>
      </c>
      <c r="C458">
        <v>1</v>
      </c>
      <c r="D458">
        <v>1</v>
      </c>
      <c r="E458">
        <v>0</v>
      </c>
      <c r="F458">
        <v>0</v>
      </c>
      <c r="G458">
        <v>3</v>
      </c>
      <c r="H458">
        <v>0</v>
      </c>
      <c r="I458">
        <v>0</v>
      </c>
      <c r="J458">
        <v>0</v>
      </c>
      <c r="K458" t="s">
        <v>6462</v>
      </c>
      <c r="L458" t="s">
        <v>6491</v>
      </c>
    </row>
    <row r="459" spans="1:13">
      <c r="A459">
        <v>7153</v>
      </c>
      <c r="B459">
        <v>3</v>
      </c>
      <c r="C459">
        <v>1</v>
      </c>
      <c r="D459">
        <v>0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 t="s">
        <v>6462</v>
      </c>
      <c r="L459" t="s">
        <v>6473</v>
      </c>
      <c r="M459" t="s">
        <v>6475</v>
      </c>
    </row>
    <row r="460" spans="1:13">
      <c r="A460">
        <v>7153</v>
      </c>
      <c r="B460">
        <v>10</v>
      </c>
      <c r="C460">
        <v>1</v>
      </c>
      <c r="D460">
        <v>0</v>
      </c>
      <c r="E460">
        <v>0</v>
      </c>
      <c r="F460">
        <v>6</v>
      </c>
      <c r="G460">
        <v>0</v>
      </c>
      <c r="H460">
        <v>0</v>
      </c>
      <c r="I460">
        <v>0</v>
      </c>
      <c r="J460">
        <v>0</v>
      </c>
      <c r="K460" t="s">
        <v>6462</v>
      </c>
    </row>
    <row r="461" spans="1:13">
      <c r="A461">
        <v>7153</v>
      </c>
      <c r="B461">
        <v>16</v>
      </c>
      <c r="C461">
        <v>1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8</v>
      </c>
      <c r="J461">
        <v>0</v>
      </c>
      <c r="K461" t="s">
        <v>6462</v>
      </c>
      <c r="L461" t="s">
        <v>6479</v>
      </c>
    </row>
    <row r="462" spans="1:13">
      <c r="A462">
        <v>7153</v>
      </c>
      <c r="B462">
        <v>16</v>
      </c>
      <c r="C462">
        <v>1</v>
      </c>
      <c r="D462">
        <v>0</v>
      </c>
      <c r="E462">
        <v>0</v>
      </c>
      <c r="F462">
        <v>1</v>
      </c>
      <c r="G462">
        <v>0</v>
      </c>
      <c r="H462">
        <v>0</v>
      </c>
      <c r="I462">
        <v>3</v>
      </c>
      <c r="J462">
        <v>0</v>
      </c>
      <c r="L462" t="s">
        <v>6479</v>
      </c>
    </row>
    <row r="463" spans="1:13">
      <c r="A463">
        <v>7153</v>
      </c>
      <c r="B463">
        <v>26</v>
      </c>
      <c r="C463">
        <v>1</v>
      </c>
      <c r="D463">
        <v>0</v>
      </c>
      <c r="E463">
        <v>0</v>
      </c>
      <c r="F463">
        <v>1</v>
      </c>
      <c r="G463">
        <v>0</v>
      </c>
      <c r="H463">
        <v>0</v>
      </c>
      <c r="I463">
        <v>9</v>
      </c>
      <c r="J463">
        <v>0</v>
      </c>
      <c r="K463" t="s">
        <v>6462</v>
      </c>
      <c r="L463" t="s">
        <v>6491</v>
      </c>
      <c r="M463" t="s">
        <v>6580</v>
      </c>
    </row>
    <row r="464" spans="1:13">
      <c r="A464">
        <v>7153</v>
      </c>
      <c r="B464">
        <v>33</v>
      </c>
      <c r="C464">
        <v>1</v>
      </c>
      <c r="D464">
        <v>1</v>
      </c>
      <c r="E464">
        <v>0</v>
      </c>
      <c r="F464">
        <v>0</v>
      </c>
      <c r="G464">
        <v>0</v>
      </c>
      <c r="H464">
        <v>0</v>
      </c>
      <c r="I464">
        <v>4</v>
      </c>
      <c r="J464">
        <v>1</v>
      </c>
      <c r="K464" t="s">
        <v>6490</v>
      </c>
      <c r="L464" t="s">
        <v>6479</v>
      </c>
    </row>
    <row r="465" spans="1:13">
      <c r="A465">
        <v>7153</v>
      </c>
      <c r="B465">
        <v>37</v>
      </c>
      <c r="C465">
        <v>1</v>
      </c>
      <c r="D465">
        <v>0</v>
      </c>
      <c r="E465">
        <v>0</v>
      </c>
      <c r="F465">
        <v>2</v>
      </c>
      <c r="G465">
        <v>0</v>
      </c>
      <c r="H465">
        <v>0</v>
      </c>
      <c r="I465">
        <v>4</v>
      </c>
      <c r="J465">
        <v>0</v>
      </c>
      <c r="K465" t="s">
        <v>6462</v>
      </c>
      <c r="L465" t="s">
        <v>6467</v>
      </c>
    </row>
    <row r="466" spans="1:13">
      <c r="A466">
        <v>7153</v>
      </c>
      <c r="B466">
        <v>51</v>
      </c>
      <c r="C466">
        <v>1</v>
      </c>
      <c r="D466">
        <v>0</v>
      </c>
      <c r="E466">
        <v>0</v>
      </c>
      <c r="F466">
        <v>0</v>
      </c>
      <c r="G466">
        <v>1</v>
      </c>
      <c r="H466">
        <v>0</v>
      </c>
      <c r="I466">
        <v>0</v>
      </c>
      <c r="J466">
        <v>0</v>
      </c>
      <c r="K466" t="s">
        <v>6462</v>
      </c>
      <c r="L466" t="s">
        <v>6479</v>
      </c>
    </row>
    <row r="467" spans="1:13">
      <c r="A467">
        <v>7153</v>
      </c>
      <c r="B467">
        <v>61</v>
      </c>
      <c r="C467">
        <v>1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7</v>
      </c>
      <c r="J467">
        <v>1</v>
      </c>
      <c r="K467" t="s">
        <v>6088</v>
      </c>
      <c r="L467" t="s">
        <v>6491</v>
      </c>
    </row>
    <row r="468" spans="1:13">
      <c r="A468">
        <v>7153</v>
      </c>
      <c r="B468">
        <v>66</v>
      </c>
      <c r="C468">
        <v>1</v>
      </c>
      <c r="D468">
        <v>0</v>
      </c>
      <c r="E468">
        <v>0</v>
      </c>
      <c r="F468">
        <v>4</v>
      </c>
      <c r="G468">
        <v>0</v>
      </c>
      <c r="H468">
        <v>0</v>
      </c>
      <c r="I468">
        <v>0</v>
      </c>
      <c r="J468">
        <v>0</v>
      </c>
      <c r="K468" t="s">
        <v>6462</v>
      </c>
      <c r="L468" t="s">
        <v>6491</v>
      </c>
    </row>
    <row r="469" spans="1:13">
      <c r="A469">
        <v>7153</v>
      </c>
      <c r="B469">
        <v>71</v>
      </c>
      <c r="C469">
        <v>1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4</v>
      </c>
      <c r="J469">
        <v>0</v>
      </c>
      <c r="L469" t="s">
        <v>6467</v>
      </c>
    </row>
    <row r="470" spans="1:13">
      <c r="A470">
        <v>7153</v>
      </c>
      <c r="B470">
        <v>71</v>
      </c>
      <c r="C470">
        <v>0</v>
      </c>
      <c r="D470">
        <v>1</v>
      </c>
      <c r="E470">
        <v>0</v>
      </c>
      <c r="F470">
        <v>3</v>
      </c>
      <c r="G470">
        <v>2</v>
      </c>
      <c r="H470">
        <v>2</v>
      </c>
      <c r="I470">
        <v>4</v>
      </c>
      <c r="J470">
        <v>0</v>
      </c>
      <c r="K470" t="s">
        <v>6462</v>
      </c>
      <c r="L470" t="s">
        <v>6479</v>
      </c>
    </row>
    <row r="471" spans="1:13">
      <c r="A471">
        <v>7153</v>
      </c>
      <c r="B471">
        <v>77</v>
      </c>
      <c r="C471">
        <v>1</v>
      </c>
      <c r="D471">
        <v>0</v>
      </c>
      <c r="E471">
        <v>0</v>
      </c>
      <c r="F471">
        <v>4</v>
      </c>
      <c r="G471">
        <v>0</v>
      </c>
      <c r="H471">
        <v>0</v>
      </c>
      <c r="I471">
        <v>0</v>
      </c>
      <c r="J471">
        <v>0</v>
      </c>
      <c r="K471" t="s">
        <v>6462</v>
      </c>
      <c r="L471" t="s">
        <v>6482</v>
      </c>
    </row>
    <row r="472" spans="1:13">
      <c r="A472">
        <v>19991</v>
      </c>
      <c r="B472">
        <v>57</v>
      </c>
      <c r="C472">
        <v>1</v>
      </c>
      <c r="D472">
        <v>1</v>
      </c>
      <c r="E472">
        <v>0</v>
      </c>
      <c r="F472">
        <v>0</v>
      </c>
      <c r="G472">
        <v>0</v>
      </c>
      <c r="H472">
        <v>1</v>
      </c>
      <c r="I472">
        <v>0</v>
      </c>
      <c r="J472">
        <v>1</v>
      </c>
      <c r="K472" t="s">
        <v>6088</v>
      </c>
      <c r="L472" t="s">
        <v>6491</v>
      </c>
      <c r="M472" t="s">
        <v>6717</v>
      </c>
    </row>
  </sheetData>
  <sortState ref="A2:M472">
    <sortCondition ref="A2:A800"/>
    <sortCondition ref="B2:B800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workbookViewId="0">
      <selection sqref="A1:B42"/>
    </sheetView>
  </sheetViews>
  <sheetFormatPr defaultColWidth="8.85546875" defaultRowHeight="15"/>
  <cols>
    <col min="1" max="1" width="10.140625" bestFit="1" customWidth="1"/>
    <col min="2" max="2" width="12" bestFit="1" customWidth="1"/>
  </cols>
  <sheetData>
    <row r="1" spans="1:2">
      <c r="A1" s="2" t="s">
        <v>5899</v>
      </c>
      <c r="B1" s="2" t="s">
        <v>5900</v>
      </c>
    </row>
    <row r="2" spans="1:2">
      <c r="A2" s="2">
        <v>155</v>
      </c>
      <c r="B2" s="2">
        <v>123.86791124277281</v>
      </c>
    </row>
    <row r="3" spans="1:2">
      <c r="A3" s="2">
        <v>173</v>
      </c>
      <c r="B3" s="2">
        <v>140.73609465916982</v>
      </c>
    </row>
    <row r="4" spans="1:2">
      <c r="A4" s="2">
        <v>175</v>
      </c>
      <c r="B4" s="2">
        <v>168.38140290174633</v>
      </c>
    </row>
    <row r="5" spans="1:2">
      <c r="A5" s="2">
        <v>176</v>
      </c>
      <c r="B5" s="2">
        <v>156.43602733826111</v>
      </c>
    </row>
    <row r="6" spans="1:2">
      <c r="A6" s="2">
        <v>177</v>
      </c>
      <c r="B6" s="2">
        <v>158.76196204350734</v>
      </c>
    </row>
    <row r="7" spans="1:2">
      <c r="A7" s="2">
        <v>181</v>
      </c>
      <c r="B7" s="2">
        <v>147.1201130322396</v>
      </c>
    </row>
    <row r="8" spans="1:2">
      <c r="A8" s="2">
        <v>190</v>
      </c>
      <c r="B8" s="2">
        <v>150.73868731907288</v>
      </c>
    </row>
    <row r="9" spans="1:2">
      <c r="A9" s="2">
        <v>195</v>
      </c>
      <c r="B9" s="2">
        <v>228.91158142199529</v>
      </c>
    </row>
    <row r="10" spans="1:2">
      <c r="A10" s="2">
        <v>230</v>
      </c>
      <c r="B10" s="2">
        <v>192.65911703712757</v>
      </c>
    </row>
    <row r="11" spans="1:2">
      <c r="A11" s="2">
        <v>236</v>
      </c>
      <c r="B11" s="2">
        <v>99.610553227995254</v>
      </c>
    </row>
    <row r="12" spans="1:2">
      <c r="A12" s="2">
        <v>558</v>
      </c>
      <c r="B12" s="2">
        <v>142.30087661006644</v>
      </c>
    </row>
    <row r="13" spans="1:2">
      <c r="A13" s="2">
        <v>571</v>
      </c>
      <c r="B13" s="2">
        <v>117.56168937135445</v>
      </c>
    </row>
    <row r="14" spans="1:2">
      <c r="A14" s="2">
        <v>839</v>
      </c>
      <c r="B14" s="2">
        <v>139.63995772130554</v>
      </c>
    </row>
    <row r="15" spans="1:2">
      <c r="A15" s="2">
        <v>999</v>
      </c>
      <c r="B15" s="2">
        <v>142.23872419203784</v>
      </c>
    </row>
    <row r="16" spans="1:2">
      <c r="A16" s="2">
        <v>1027</v>
      </c>
      <c r="B16" s="2">
        <v>30.318635831137986</v>
      </c>
    </row>
    <row r="17" spans="1:2">
      <c r="A17" s="2">
        <v>1085</v>
      </c>
      <c r="B17" s="2">
        <v>81.957129559190179</v>
      </c>
    </row>
    <row r="18" spans="1:2">
      <c r="A18" s="2">
        <v>1740</v>
      </c>
      <c r="B18" s="2">
        <v>139.47135026977202</v>
      </c>
    </row>
    <row r="19" spans="1:2">
      <c r="A19" s="2">
        <v>1973</v>
      </c>
      <c r="B19" s="2">
        <v>53.800881659179254</v>
      </c>
    </row>
    <row r="20" spans="1:2">
      <c r="A20" s="2">
        <v>1991</v>
      </c>
      <c r="B20" s="2">
        <v>90.893715887951487</v>
      </c>
    </row>
    <row r="21" spans="1:2">
      <c r="A21" s="2">
        <v>2064</v>
      </c>
      <c r="B21" s="2">
        <v>74.593468161879514</v>
      </c>
    </row>
    <row r="22" spans="1:2">
      <c r="A22" s="2">
        <v>2067</v>
      </c>
      <c r="B22" s="2">
        <v>134.74558762008832</v>
      </c>
    </row>
    <row r="23" spans="1:2">
      <c r="A23" s="2">
        <v>2170</v>
      </c>
      <c r="B23" s="2">
        <v>172.27927355586371</v>
      </c>
    </row>
    <row r="24" spans="1:2">
      <c r="A24" s="2">
        <v>2785</v>
      </c>
      <c r="B24" s="2">
        <v>60.199625631851021</v>
      </c>
    </row>
    <row r="25" spans="1:2">
      <c r="A25" s="2">
        <v>2836</v>
      </c>
      <c r="B25" s="2">
        <v>115.94646102402623</v>
      </c>
    </row>
    <row r="26" spans="1:2">
      <c r="A26" s="2">
        <v>3146</v>
      </c>
      <c r="B26" s="2">
        <v>116.94260138087633</v>
      </c>
    </row>
    <row r="27" spans="1:2">
      <c r="A27" s="2">
        <v>3182</v>
      </c>
      <c r="B27" s="2">
        <v>92.343138694651316</v>
      </c>
    </row>
    <row r="28" spans="1:2">
      <c r="A28" s="2">
        <v>3464</v>
      </c>
      <c r="B28" s="2">
        <v>114.0938653919908</v>
      </c>
    </row>
    <row r="29" spans="1:2">
      <c r="A29" s="2">
        <v>3634</v>
      </c>
      <c r="B29" s="2">
        <v>31.189296330722499</v>
      </c>
    </row>
    <row r="30" spans="1:2">
      <c r="A30" s="2">
        <v>3654</v>
      </c>
      <c r="B30" s="2">
        <v>91.329003402311969</v>
      </c>
    </row>
    <row r="31" spans="1:2">
      <c r="A31" s="2">
        <v>4987</v>
      </c>
      <c r="B31" s="2">
        <v>51.219339236546112</v>
      </c>
    </row>
    <row r="32" spans="1:2">
      <c r="A32" s="2">
        <v>5129</v>
      </c>
      <c r="B32" s="2">
        <v>48.309309169628946</v>
      </c>
    </row>
    <row r="33" spans="1:2">
      <c r="A33" s="2">
        <v>5142</v>
      </c>
      <c r="B33" s="2">
        <v>62.087372793613511</v>
      </c>
    </row>
    <row r="34" spans="1:2">
      <c r="A34" s="2">
        <v>5686</v>
      </c>
      <c r="B34" s="2">
        <v>97.713355376360084</v>
      </c>
    </row>
    <row r="35" spans="1:2">
      <c r="A35" s="2">
        <v>5746</v>
      </c>
      <c r="B35" s="2">
        <v>81.692607033571861</v>
      </c>
    </row>
    <row r="36" spans="1:2">
      <c r="A36" s="2">
        <v>6333</v>
      </c>
      <c r="B36" s="2">
        <v>29.648154699228321</v>
      </c>
    </row>
    <row r="37" spans="1:2">
      <c r="A37" s="2">
        <v>6346</v>
      </c>
      <c r="B37" s="2">
        <v>91.723949099689619</v>
      </c>
    </row>
    <row r="38" spans="1:2">
      <c r="A38" s="2">
        <v>6811</v>
      </c>
      <c r="B38" s="2">
        <v>32.677119451182477</v>
      </c>
    </row>
    <row r="39" spans="1:2">
      <c r="A39" s="2">
        <v>6812</v>
      </c>
      <c r="B39" s="2">
        <v>43.869824843514799</v>
      </c>
    </row>
    <row r="40" spans="1:2">
      <c r="A40" s="2">
        <v>6895</v>
      </c>
      <c r="B40" s="2">
        <v>27.727870879234143</v>
      </c>
    </row>
    <row r="41" spans="1:2">
      <c r="A41" s="2">
        <v>7127</v>
      </c>
      <c r="B41" s="2">
        <v>97.355987560020239</v>
      </c>
    </row>
    <row r="42" spans="1:2">
      <c r="A42" s="2">
        <v>7153</v>
      </c>
      <c r="B42" s="2">
        <v>50.573044003936197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472"/>
  <sheetViews>
    <sheetView workbookViewId="0">
      <selection sqref="A1:N472"/>
    </sheetView>
  </sheetViews>
  <sheetFormatPr defaultColWidth="8.85546875" defaultRowHeight="15"/>
  <cols>
    <col min="1" max="1" width="13.85546875" customWidth="1"/>
    <col min="2" max="2" width="9.140625" bestFit="1" customWidth="1"/>
    <col min="3" max="3" width="9.85546875" bestFit="1" customWidth="1"/>
    <col min="4" max="4" width="16.28515625" bestFit="1" customWidth="1"/>
    <col min="5" max="5" width="14.42578125" bestFit="1" customWidth="1"/>
    <col min="6" max="6" width="12.140625" bestFit="1" customWidth="1"/>
    <col min="7" max="7" width="26" bestFit="1" customWidth="1"/>
    <col min="8" max="8" width="27" bestFit="1" customWidth="1"/>
    <col min="9" max="9" width="24.28515625" bestFit="1" customWidth="1"/>
    <col min="10" max="10" width="33.28515625" bestFit="1" customWidth="1"/>
    <col min="11" max="11" width="43.140625" bestFit="1" customWidth="1"/>
    <col min="12" max="12" width="25" bestFit="1" customWidth="1"/>
    <col min="13" max="13" width="51.140625" bestFit="1" customWidth="1"/>
    <col min="14" max="14" width="123" bestFit="1" customWidth="1"/>
  </cols>
  <sheetData>
    <row r="1" spans="1:1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5878</v>
      </c>
      <c r="H1" s="2" t="s">
        <v>5879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</row>
    <row r="2" spans="1:14">
      <c r="A2" s="1">
        <v>43196.525860347225</v>
      </c>
      <c r="B2" s="2">
        <v>135</v>
      </c>
      <c r="C2" s="2">
        <v>1</v>
      </c>
      <c r="D2" s="2">
        <v>1</v>
      </c>
      <c r="E2" s="2">
        <v>1</v>
      </c>
      <c r="F2" s="2">
        <v>1</v>
      </c>
      <c r="G2" s="2">
        <v>8</v>
      </c>
      <c r="H2" s="2">
        <v>5</v>
      </c>
      <c r="I2" s="2">
        <v>4</v>
      </c>
      <c r="J2" s="2">
        <v>6</v>
      </c>
      <c r="K2" s="2">
        <v>1</v>
      </c>
      <c r="L2" s="2" t="s">
        <v>12</v>
      </c>
      <c r="M2" s="2" t="s">
        <v>6231</v>
      </c>
      <c r="N2" s="2"/>
    </row>
    <row r="3" spans="1:14">
      <c r="A3" s="1">
        <v>43197.48235085648</v>
      </c>
      <c r="B3" s="2">
        <v>155</v>
      </c>
      <c r="C3" s="2">
        <v>4</v>
      </c>
      <c r="D3" s="2">
        <v>1</v>
      </c>
      <c r="E3" s="2">
        <v>1</v>
      </c>
      <c r="F3" s="2">
        <v>0</v>
      </c>
      <c r="G3" s="2">
        <v>3</v>
      </c>
      <c r="H3" s="2">
        <v>3</v>
      </c>
      <c r="I3" s="2">
        <v>0</v>
      </c>
      <c r="J3" s="2">
        <v>0</v>
      </c>
      <c r="K3" s="2">
        <v>1</v>
      </c>
      <c r="L3" s="2" t="s">
        <v>12</v>
      </c>
      <c r="M3" s="2" t="s">
        <v>6479</v>
      </c>
      <c r="N3" s="2" t="s">
        <v>6480</v>
      </c>
    </row>
    <row r="4" spans="1:14">
      <c r="A4" s="1">
        <v>43197.551709027779</v>
      </c>
      <c r="B4" s="2">
        <v>155</v>
      </c>
      <c r="C4" s="2">
        <v>17</v>
      </c>
      <c r="D4" s="2">
        <v>1</v>
      </c>
      <c r="E4" s="2">
        <v>1</v>
      </c>
      <c r="F4" s="2">
        <v>0</v>
      </c>
      <c r="G4" s="2">
        <v>0</v>
      </c>
      <c r="H4" s="2">
        <v>0</v>
      </c>
      <c r="I4" s="2">
        <v>0</v>
      </c>
      <c r="J4" s="2">
        <v>9</v>
      </c>
      <c r="K4" s="2">
        <v>0</v>
      </c>
      <c r="L4" s="2" t="s">
        <v>6462</v>
      </c>
      <c r="M4" s="2" t="s">
        <v>6491</v>
      </c>
      <c r="N4" s="2"/>
    </row>
    <row r="5" spans="1:14">
      <c r="A5" s="1">
        <v>43197.629202060183</v>
      </c>
      <c r="B5" s="2">
        <v>155</v>
      </c>
      <c r="C5" s="2">
        <v>25</v>
      </c>
      <c r="D5" s="2">
        <v>1</v>
      </c>
      <c r="E5" s="2">
        <v>0</v>
      </c>
      <c r="F5" s="2">
        <v>0</v>
      </c>
      <c r="G5" s="2">
        <v>1</v>
      </c>
      <c r="H5" s="2">
        <v>2</v>
      </c>
      <c r="I5" s="2">
        <v>0</v>
      </c>
      <c r="J5" s="2">
        <v>0</v>
      </c>
      <c r="K5" s="2">
        <v>1</v>
      </c>
      <c r="L5" s="2" t="s">
        <v>12</v>
      </c>
      <c r="M5" s="2" t="s">
        <v>6468</v>
      </c>
      <c r="N5" s="2"/>
    </row>
    <row r="6" spans="1:14">
      <c r="A6" s="1">
        <v>43197.659412951391</v>
      </c>
      <c r="B6" s="2">
        <v>155</v>
      </c>
      <c r="C6" s="2">
        <v>31</v>
      </c>
      <c r="D6" s="2">
        <v>1</v>
      </c>
      <c r="E6" s="2">
        <v>0</v>
      </c>
      <c r="F6" s="2">
        <v>0</v>
      </c>
      <c r="G6" s="2">
        <v>1</v>
      </c>
      <c r="H6" s="2">
        <v>4</v>
      </c>
      <c r="I6" s="2">
        <v>0</v>
      </c>
      <c r="J6" s="2">
        <v>0</v>
      </c>
      <c r="K6" s="2">
        <v>0</v>
      </c>
      <c r="L6" s="2" t="s">
        <v>12</v>
      </c>
      <c r="M6" s="2" t="s">
        <v>6481</v>
      </c>
      <c r="N6" s="2"/>
    </row>
    <row r="7" spans="1:14">
      <c r="A7" s="1">
        <v>43197.705171168978</v>
      </c>
      <c r="B7" s="2">
        <v>155</v>
      </c>
      <c r="C7" s="2">
        <v>39</v>
      </c>
      <c r="D7" s="2">
        <v>1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8</v>
      </c>
      <c r="K7" s="2">
        <v>1</v>
      </c>
      <c r="L7" s="2" t="s">
        <v>12</v>
      </c>
      <c r="M7" s="2" t="s">
        <v>6491</v>
      </c>
      <c r="N7" s="2"/>
    </row>
    <row r="8" spans="1:14">
      <c r="A8" s="1">
        <v>43197.724149444446</v>
      </c>
      <c r="B8" s="2">
        <v>155</v>
      </c>
      <c r="C8" s="2">
        <v>43</v>
      </c>
      <c r="D8" s="2">
        <v>1</v>
      </c>
      <c r="E8" s="2">
        <v>1</v>
      </c>
      <c r="F8" s="2">
        <v>0</v>
      </c>
      <c r="G8" s="2">
        <v>0</v>
      </c>
      <c r="H8" s="2">
        <v>0</v>
      </c>
      <c r="I8" s="2">
        <v>0</v>
      </c>
      <c r="J8" s="2">
        <v>9</v>
      </c>
      <c r="K8" s="2">
        <v>1</v>
      </c>
      <c r="L8" s="2" t="s">
        <v>12</v>
      </c>
      <c r="M8" s="2" t="s">
        <v>6491</v>
      </c>
      <c r="N8" s="2"/>
    </row>
    <row r="9" spans="1:14">
      <c r="A9" s="1">
        <v>43197.754348657407</v>
      </c>
      <c r="B9" s="2">
        <v>155</v>
      </c>
      <c r="C9" s="2">
        <v>48</v>
      </c>
      <c r="D9" s="2">
        <v>1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9</v>
      </c>
      <c r="K9" s="2">
        <v>1</v>
      </c>
      <c r="L9" s="2" t="s">
        <v>12</v>
      </c>
      <c r="M9" s="2" t="s">
        <v>6491</v>
      </c>
      <c r="N9" s="2"/>
    </row>
    <row r="10" spans="1:14">
      <c r="A10" s="1">
        <v>43197.482220405094</v>
      </c>
      <c r="B10" s="2">
        <v>173</v>
      </c>
      <c r="C10" s="2">
        <v>4</v>
      </c>
      <c r="D10" s="2">
        <v>1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8</v>
      </c>
      <c r="K10" s="2">
        <v>0</v>
      </c>
      <c r="L10" s="2" t="s">
        <v>6462</v>
      </c>
      <c r="M10" s="2" t="s">
        <v>6479</v>
      </c>
      <c r="N10" s="2"/>
    </row>
    <row r="11" spans="1:14">
      <c r="A11" s="1">
        <v>43197.532077071759</v>
      </c>
      <c r="B11" s="2">
        <v>173</v>
      </c>
      <c r="C11" s="2">
        <v>13</v>
      </c>
      <c r="D11" s="2">
        <v>1</v>
      </c>
      <c r="E11" s="2">
        <v>0</v>
      </c>
      <c r="F11" s="2">
        <v>0</v>
      </c>
      <c r="G11" s="2">
        <v>2</v>
      </c>
      <c r="H11" s="2">
        <v>0</v>
      </c>
      <c r="I11" s="2">
        <v>3</v>
      </c>
      <c r="J11" s="2">
        <v>2</v>
      </c>
      <c r="K11" s="2">
        <v>1</v>
      </c>
      <c r="L11" s="2"/>
      <c r="M11" s="2" t="s">
        <v>6491</v>
      </c>
      <c r="N11" s="2"/>
    </row>
    <row r="12" spans="1:14">
      <c r="A12" s="1">
        <v>43197.595897245374</v>
      </c>
      <c r="B12" s="2">
        <v>173</v>
      </c>
      <c r="C12" s="2">
        <v>19</v>
      </c>
      <c r="D12" s="2">
        <v>1</v>
      </c>
      <c r="E12" s="2">
        <v>1</v>
      </c>
      <c r="F12" s="2">
        <v>0</v>
      </c>
      <c r="G12" s="2">
        <v>0</v>
      </c>
      <c r="H12" s="2">
        <v>0</v>
      </c>
      <c r="I12" s="2">
        <v>5</v>
      </c>
      <c r="J12" s="2">
        <v>0</v>
      </c>
      <c r="K12" s="2">
        <v>0</v>
      </c>
      <c r="L12" s="2" t="s">
        <v>6462</v>
      </c>
      <c r="M12" s="2" t="s">
        <v>6479</v>
      </c>
      <c r="N12" s="2"/>
    </row>
    <row r="13" spans="1:14">
      <c r="A13" s="1">
        <v>43197.635107557871</v>
      </c>
      <c r="B13" s="2">
        <v>173</v>
      </c>
      <c r="C13" s="2">
        <v>26</v>
      </c>
      <c r="D13" s="2">
        <v>1</v>
      </c>
      <c r="E13" s="2">
        <v>0</v>
      </c>
      <c r="F13" s="2">
        <v>0</v>
      </c>
      <c r="G13" s="2">
        <v>1</v>
      </c>
      <c r="H13" s="2">
        <v>0</v>
      </c>
      <c r="I13" s="2">
        <v>5</v>
      </c>
      <c r="J13" s="2">
        <v>0</v>
      </c>
      <c r="K13" s="2">
        <v>1</v>
      </c>
      <c r="L13" s="2" t="s">
        <v>6088</v>
      </c>
      <c r="M13" s="2" t="s">
        <v>6491</v>
      </c>
      <c r="N13" s="2" t="s">
        <v>6581</v>
      </c>
    </row>
    <row r="14" spans="1:14">
      <c r="A14" s="1">
        <v>43197.675037361114</v>
      </c>
      <c r="B14" s="2">
        <v>173</v>
      </c>
      <c r="C14" s="2">
        <v>34</v>
      </c>
      <c r="D14" s="2">
        <v>1</v>
      </c>
      <c r="E14" s="2">
        <v>0</v>
      </c>
      <c r="F14" s="2">
        <v>0</v>
      </c>
      <c r="G14" s="2">
        <v>3</v>
      </c>
      <c r="H14" s="2">
        <v>5</v>
      </c>
      <c r="I14" s="2">
        <v>4</v>
      </c>
      <c r="J14" s="2">
        <v>2</v>
      </c>
      <c r="K14" s="2">
        <v>0</v>
      </c>
      <c r="L14" s="2" t="s">
        <v>6462</v>
      </c>
      <c r="M14" s="2" t="s">
        <v>6593</v>
      </c>
      <c r="N14" s="2"/>
    </row>
    <row r="15" spans="1:14">
      <c r="A15" s="1">
        <v>43197.694805370367</v>
      </c>
      <c r="B15" s="2">
        <v>173</v>
      </c>
      <c r="C15" s="2">
        <v>38</v>
      </c>
      <c r="D15" s="2">
        <v>0</v>
      </c>
      <c r="E15" s="2">
        <v>1</v>
      </c>
      <c r="F15" s="2">
        <v>0</v>
      </c>
      <c r="G15" s="2">
        <v>2</v>
      </c>
      <c r="H15" s="2">
        <v>6</v>
      </c>
      <c r="I15" s="2">
        <v>3</v>
      </c>
      <c r="J15" s="2">
        <v>9</v>
      </c>
      <c r="K15" s="2">
        <v>0</v>
      </c>
      <c r="L15" s="2" t="s">
        <v>6462</v>
      </c>
      <c r="M15" s="2" t="s">
        <v>6491</v>
      </c>
      <c r="N15" s="2"/>
    </row>
    <row r="16" spans="1:14">
      <c r="A16" s="1">
        <v>43197.729170081016</v>
      </c>
      <c r="B16" s="2">
        <v>173</v>
      </c>
      <c r="C16" s="2">
        <v>44</v>
      </c>
      <c r="D16" s="2">
        <v>1</v>
      </c>
      <c r="E16" s="2">
        <v>1</v>
      </c>
      <c r="F16" s="2">
        <v>0</v>
      </c>
      <c r="G16" s="2">
        <v>2</v>
      </c>
      <c r="H16" s="2">
        <v>0</v>
      </c>
      <c r="I16" s="2">
        <v>5</v>
      </c>
      <c r="J16" s="2">
        <v>0</v>
      </c>
      <c r="K16" s="2">
        <v>0</v>
      </c>
      <c r="L16" s="2" t="s">
        <v>6462</v>
      </c>
      <c r="M16" s="2" t="s">
        <v>6473</v>
      </c>
      <c r="N16" s="2"/>
    </row>
    <row r="17" spans="1:14">
      <c r="A17" s="1">
        <v>43197.496582476851</v>
      </c>
      <c r="B17" s="2">
        <v>175</v>
      </c>
      <c r="C17" s="2">
        <v>6</v>
      </c>
      <c r="D17" s="2">
        <v>1</v>
      </c>
      <c r="E17" s="2">
        <v>0</v>
      </c>
      <c r="F17" s="2">
        <v>0</v>
      </c>
      <c r="G17" s="2">
        <v>5</v>
      </c>
      <c r="H17" s="2">
        <v>0</v>
      </c>
      <c r="I17" s="2">
        <v>0</v>
      </c>
      <c r="J17" s="2">
        <v>3</v>
      </c>
      <c r="K17" s="2">
        <v>0</v>
      </c>
      <c r="L17" s="2" t="s">
        <v>6462</v>
      </c>
      <c r="M17" s="2" t="s">
        <v>6479</v>
      </c>
      <c r="N17" s="2"/>
    </row>
    <row r="18" spans="1:14">
      <c r="A18" s="1">
        <v>43197.526451504629</v>
      </c>
      <c r="B18" s="2">
        <v>175</v>
      </c>
      <c r="C18" s="2">
        <v>12</v>
      </c>
      <c r="D18" s="2">
        <v>1</v>
      </c>
      <c r="E18" s="2">
        <v>1</v>
      </c>
      <c r="F18" s="2">
        <v>0</v>
      </c>
      <c r="G18" s="2">
        <v>1</v>
      </c>
      <c r="H18" s="2">
        <v>3</v>
      </c>
      <c r="I18" s="2">
        <v>3</v>
      </c>
      <c r="J18" s="2">
        <v>0</v>
      </c>
      <c r="K18" s="2">
        <v>1</v>
      </c>
      <c r="L18" s="2" t="s">
        <v>12</v>
      </c>
      <c r="M18" s="2" t="s">
        <v>6491</v>
      </c>
      <c r="N18" s="2"/>
    </row>
    <row r="19" spans="1:14">
      <c r="A19" s="1">
        <v>43197.606336180557</v>
      </c>
      <c r="B19" s="2">
        <v>175</v>
      </c>
      <c r="C19" s="2">
        <v>21</v>
      </c>
      <c r="D19" s="2">
        <v>1</v>
      </c>
      <c r="E19" s="2">
        <v>1</v>
      </c>
      <c r="F19" s="2">
        <v>0</v>
      </c>
      <c r="G19" s="2">
        <v>4</v>
      </c>
      <c r="H19" s="2">
        <v>3</v>
      </c>
      <c r="I19" s="2">
        <v>2</v>
      </c>
      <c r="J19" s="2">
        <v>0</v>
      </c>
      <c r="K19" s="2">
        <v>1</v>
      </c>
      <c r="L19" s="2" t="s">
        <v>12</v>
      </c>
      <c r="M19" s="2" t="s">
        <v>6491</v>
      </c>
      <c r="N19" s="2"/>
    </row>
    <row r="20" spans="1:14">
      <c r="A20" s="1">
        <v>43197.624176574071</v>
      </c>
      <c r="B20" s="2">
        <v>175</v>
      </c>
      <c r="C20" s="2">
        <v>24</v>
      </c>
      <c r="D20" s="2">
        <v>0</v>
      </c>
      <c r="E20" s="2">
        <v>1</v>
      </c>
      <c r="F20" s="2">
        <v>0</v>
      </c>
      <c r="G20" s="2">
        <v>2</v>
      </c>
      <c r="H20" s="2">
        <v>3</v>
      </c>
      <c r="I20" s="2">
        <v>6</v>
      </c>
      <c r="J20" s="2">
        <v>4</v>
      </c>
      <c r="K20" s="2">
        <v>0</v>
      </c>
      <c r="L20" s="2" t="s">
        <v>6462</v>
      </c>
      <c r="M20" s="2" t="s">
        <v>6479</v>
      </c>
      <c r="N20" s="2"/>
    </row>
    <row r="21" spans="1:14">
      <c r="A21" s="1">
        <v>43197.659378784723</v>
      </c>
      <c r="B21" s="2">
        <v>175</v>
      </c>
      <c r="C21" s="2">
        <v>31</v>
      </c>
      <c r="D21" s="2">
        <v>1</v>
      </c>
      <c r="E21" s="2">
        <v>1</v>
      </c>
      <c r="F21" s="2">
        <v>0</v>
      </c>
      <c r="G21" s="2">
        <v>2</v>
      </c>
      <c r="H21" s="2">
        <v>0</v>
      </c>
      <c r="I21" s="2">
        <v>4</v>
      </c>
      <c r="J21" s="2">
        <v>3</v>
      </c>
      <c r="K21" s="2">
        <v>0</v>
      </c>
      <c r="L21" s="2" t="s">
        <v>6462</v>
      </c>
      <c r="M21" s="2" t="s">
        <v>6088</v>
      </c>
      <c r="N21" s="2"/>
    </row>
    <row r="22" spans="1:14">
      <c r="A22" s="1">
        <v>43197.680150844906</v>
      </c>
      <c r="B22" s="2">
        <v>175</v>
      </c>
      <c r="C22" s="2">
        <v>35</v>
      </c>
      <c r="D22" s="2">
        <v>1</v>
      </c>
      <c r="E22" s="2">
        <v>1</v>
      </c>
      <c r="F22" s="2">
        <v>0</v>
      </c>
      <c r="G22" s="2">
        <v>0</v>
      </c>
      <c r="H22" s="2">
        <v>0</v>
      </c>
      <c r="I22" s="2">
        <v>6</v>
      </c>
      <c r="J22" s="2">
        <v>1</v>
      </c>
      <c r="K22" s="2">
        <v>0</v>
      </c>
      <c r="L22" s="2" t="s">
        <v>6462</v>
      </c>
      <c r="M22" s="2" t="s">
        <v>6625</v>
      </c>
      <c r="N22" s="2"/>
    </row>
    <row r="23" spans="1:14">
      <c r="A23" s="1">
        <v>43197.729129502317</v>
      </c>
      <c r="B23" s="2">
        <v>175</v>
      </c>
      <c r="C23" s="2">
        <v>44</v>
      </c>
      <c r="D23" s="2">
        <v>1</v>
      </c>
      <c r="E23" s="2">
        <v>0</v>
      </c>
      <c r="F23" s="2">
        <v>0</v>
      </c>
      <c r="G23" s="2">
        <v>0</v>
      </c>
      <c r="H23" s="2">
        <v>0</v>
      </c>
      <c r="I23" s="2">
        <v>5</v>
      </c>
      <c r="J23" s="2">
        <v>0</v>
      </c>
      <c r="K23" s="2">
        <v>1</v>
      </c>
      <c r="L23" s="2" t="s">
        <v>12</v>
      </c>
      <c r="M23" s="2" t="s">
        <v>6491</v>
      </c>
      <c r="N23" s="2"/>
    </row>
    <row r="24" spans="1:14">
      <c r="A24" s="1">
        <v>43197.729619548612</v>
      </c>
      <c r="B24" s="2">
        <v>175</v>
      </c>
      <c r="C24" s="2">
        <v>44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2">
        <v>5</v>
      </c>
      <c r="J24" s="2">
        <v>0</v>
      </c>
      <c r="K24" s="2">
        <v>1</v>
      </c>
      <c r="L24" s="2" t="s">
        <v>12</v>
      </c>
      <c r="M24" s="2"/>
      <c r="N24" s="2"/>
    </row>
    <row r="25" spans="1:14">
      <c r="A25" s="1">
        <v>43197.764267395833</v>
      </c>
      <c r="B25" s="2">
        <v>175</v>
      </c>
      <c r="C25" s="2">
        <v>50</v>
      </c>
      <c r="D25" s="2">
        <v>1</v>
      </c>
      <c r="E25" s="2">
        <v>0</v>
      </c>
      <c r="F25" s="2">
        <v>0</v>
      </c>
      <c r="G25" s="2">
        <v>0</v>
      </c>
      <c r="H25" s="2">
        <v>0</v>
      </c>
      <c r="I25" s="2">
        <v>4</v>
      </c>
      <c r="J25" s="2">
        <v>0</v>
      </c>
      <c r="K25" s="2">
        <v>0</v>
      </c>
      <c r="L25" s="2"/>
      <c r="M25" s="2" t="s">
        <v>6525</v>
      </c>
      <c r="N25" s="2"/>
    </row>
    <row r="26" spans="1:14">
      <c r="A26" s="1">
        <v>43197.482377384258</v>
      </c>
      <c r="B26" s="2">
        <v>176</v>
      </c>
      <c r="C26" s="2">
        <v>4</v>
      </c>
      <c r="D26" s="2">
        <v>1</v>
      </c>
      <c r="E26" s="2">
        <v>0</v>
      </c>
      <c r="F26" s="2">
        <v>0</v>
      </c>
      <c r="G26" s="2">
        <v>0</v>
      </c>
      <c r="H26" s="2">
        <v>6</v>
      </c>
      <c r="I26" s="2">
        <v>2</v>
      </c>
      <c r="J26" s="2">
        <v>0</v>
      </c>
      <c r="K26" s="2">
        <v>1</v>
      </c>
      <c r="L26" s="2"/>
      <c r="M26" s="2" t="s">
        <v>6481</v>
      </c>
      <c r="N26" s="2"/>
    </row>
    <row r="27" spans="1:14">
      <c r="A27" s="1">
        <v>43197.542079502316</v>
      </c>
      <c r="B27" s="2">
        <v>176</v>
      </c>
      <c r="C27" s="2">
        <v>15</v>
      </c>
      <c r="D27" s="2">
        <v>1</v>
      </c>
      <c r="E27" s="2">
        <v>0</v>
      </c>
      <c r="F27" s="2">
        <v>0</v>
      </c>
      <c r="G27" s="2">
        <v>0</v>
      </c>
      <c r="H27" s="2">
        <v>2</v>
      </c>
      <c r="I27" s="2">
        <v>7</v>
      </c>
      <c r="J27" s="2">
        <v>0</v>
      </c>
      <c r="K27" s="2">
        <v>1</v>
      </c>
      <c r="L27" s="2" t="s">
        <v>12</v>
      </c>
      <c r="M27" s="2" t="s">
        <v>6512</v>
      </c>
      <c r="N27" s="2" t="s">
        <v>6527</v>
      </c>
    </row>
    <row r="28" spans="1:14">
      <c r="A28" s="1">
        <v>43197.628923379627</v>
      </c>
      <c r="B28" s="2">
        <v>176</v>
      </c>
      <c r="C28" s="2">
        <v>25</v>
      </c>
      <c r="D28" s="2">
        <v>0</v>
      </c>
      <c r="E28" s="2">
        <v>0</v>
      </c>
      <c r="F28" s="2">
        <v>0</v>
      </c>
      <c r="G28" s="2">
        <v>7</v>
      </c>
      <c r="H28" s="2">
        <v>5</v>
      </c>
      <c r="I28" s="2">
        <v>2</v>
      </c>
      <c r="J28" s="2">
        <v>3</v>
      </c>
      <c r="K28" s="2">
        <v>1</v>
      </c>
      <c r="L28" s="2" t="s">
        <v>12</v>
      </c>
      <c r="M28" s="2" t="s">
        <v>6565</v>
      </c>
      <c r="N28" s="2"/>
    </row>
    <row r="29" spans="1:14">
      <c r="A29" s="1">
        <v>43197.674992604167</v>
      </c>
      <c r="B29" s="2">
        <v>176</v>
      </c>
      <c r="C29" s="2">
        <v>34</v>
      </c>
      <c r="D29" s="2">
        <v>1</v>
      </c>
      <c r="E29" s="2">
        <v>1</v>
      </c>
      <c r="F29" s="2">
        <v>0</v>
      </c>
      <c r="G29" s="2">
        <v>1</v>
      </c>
      <c r="H29" s="2">
        <v>0</v>
      </c>
      <c r="I29" s="2">
        <v>8</v>
      </c>
      <c r="J29" s="2">
        <v>0</v>
      </c>
      <c r="K29" s="2">
        <v>0</v>
      </c>
      <c r="L29" s="2" t="s">
        <v>6462</v>
      </c>
      <c r="M29" s="2" t="s">
        <v>6491</v>
      </c>
      <c r="N29" s="2"/>
    </row>
    <row r="30" spans="1:14">
      <c r="A30" s="1">
        <v>43197.710175798609</v>
      </c>
      <c r="B30" s="2">
        <v>176</v>
      </c>
      <c r="C30" s="2">
        <v>40</v>
      </c>
      <c r="D30" s="2">
        <v>1</v>
      </c>
      <c r="E30" s="2">
        <v>0</v>
      </c>
      <c r="F30" s="2">
        <v>0</v>
      </c>
      <c r="G30" s="2">
        <v>0</v>
      </c>
      <c r="H30" s="2">
        <v>0</v>
      </c>
      <c r="I30" s="2">
        <v>3</v>
      </c>
      <c r="J30" s="2">
        <v>4</v>
      </c>
      <c r="K30" s="2">
        <v>0</v>
      </c>
      <c r="L30" s="2" t="s">
        <v>12</v>
      </c>
      <c r="M30" s="2" t="s">
        <v>6479</v>
      </c>
      <c r="N30" s="2" t="s">
        <v>6634</v>
      </c>
    </row>
    <row r="31" spans="1:14">
      <c r="A31" s="1">
        <v>43197.764357256943</v>
      </c>
      <c r="B31" s="2">
        <v>176</v>
      </c>
      <c r="C31" s="2">
        <v>50</v>
      </c>
      <c r="D31" s="2">
        <v>1</v>
      </c>
      <c r="E31" s="2">
        <v>0</v>
      </c>
      <c r="F31" s="2">
        <v>1</v>
      </c>
      <c r="G31" s="2">
        <v>0</v>
      </c>
      <c r="H31" s="2">
        <v>0</v>
      </c>
      <c r="I31" s="2">
        <v>4</v>
      </c>
      <c r="J31" s="2">
        <v>0</v>
      </c>
      <c r="K31" s="2">
        <v>1</v>
      </c>
      <c r="L31" s="2" t="s">
        <v>6088</v>
      </c>
      <c r="M31" s="2" t="s">
        <v>6525</v>
      </c>
      <c r="N31" s="2"/>
    </row>
    <row r="32" spans="1:14">
      <c r="A32" s="1">
        <v>43197.536390162037</v>
      </c>
      <c r="B32" s="2">
        <v>177</v>
      </c>
      <c r="C32" s="2">
        <v>14</v>
      </c>
      <c r="D32" s="2">
        <v>1</v>
      </c>
      <c r="E32" s="2">
        <v>0</v>
      </c>
      <c r="F32" s="2">
        <v>0</v>
      </c>
      <c r="G32" s="2">
        <v>0</v>
      </c>
      <c r="H32" s="2">
        <v>0</v>
      </c>
      <c r="I32" s="2">
        <v>5</v>
      </c>
      <c r="J32" s="2">
        <v>0</v>
      </c>
      <c r="K32" s="2">
        <v>1</v>
      </c>
      <c r="L32" s="2" t="s">
        <v>6088</v>
      </c>
      <c r="M32" s="2" t="s">
        <v>6512</v>
      </c>
      <c r="N32" s="2" t="s">
        <v>6523</v>
      </c>
    </row>
    <row r="33" spans="1:14">
      <c r="A33" s="1">
        <v>43197.551612453703</v>
      </c>
      <c r="B33" s="2">
        <v>177</v>
      </c>
      <c r="C33" s="2">
        <v>17</v>
      </c>
      <c r="D33" s="2">
        <v>1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1</v>
      </c>
      <c r="L33" s="2" t="s">
        <v>12</v>
      </c>
      <c r="M33" s="2" t="s">
        <v>6491</v>
      </c>
      <c r="N33" s="2"/>
    </row>
    <row r="34" spans="1:14">
      <c r="A34" s="1">
        <v>43197.639365486109</v>
      </c>
      <c r="B34" s="2">
        <v>177</v>
      </c>
      <c r="C34" s="2">
        <v>27</v>
      </c>
      <c r="D34" s="2">
        <v>1</v>
      </c>
      <c r="E34" s="2">
        <v>0</v>
      </c>
      <c r="F34" s="2">
        <v>0</v>
      </c>
      <c r="G34" s="2">
        <v>0</v>
      </c>
      <c r="H34" s="2">
        <v>4</v>
      </c>
      <c r="I34" s="2">
        <v>2</v>
      </c>
      <c r="J34" s="2">
        <v>2</v>
      </c>
      <c r="K34" s="2">
        <v>1</v>
      </c>
      <c r="L34" s="2" t="s">
        <v>12</v>
      </c>
      <c r="M34" s="2" t="s">
        <v>6479</v>
      </c>
      <c r="N34" s="2"/>
    </row>
    <row r="35" spans="1:14">
      <c r="A35" s="1">
        <v>43197.654790694447</v>
      </c>
      <c r="B35" s="2">
        <v>177</v>
      </c>
      <c r="C35" s="2">
        <v>30</v>
      </c>
      <c r="D35" s="2">
        <v>1</v>
      </c>
      <c r="E35" s="2">
        <v>1</v>
      </c>
      <c r="F35" s="2">
        <v>0</v>
      </c>
      <c r="G35" s="2">
        <v>0</v>
      </c>
      <c r="H35" s="2">
        <v>0</v>
      </c>
      <c r="I35" s="2">
        <v>8</v>
      </c>
      <c r="J35" s="2">
        <v>0</v>
      </c>
      <c r="K35" s="2">
        <v>1</v>
      </c>
      <c r="L35" s="2" t="s">
        <v>6088</v>
      </c>
      <c r="M35" s="2" t="s">
        <v>6565</v>
      </c>
      <c r="N35" s="2" t="s">
        <v>6591</v>
      </c>
    </row>
    <row r="36" spans="1:14">
      <c r="A36" s="1">
        <v>43197.71013619213</v>
      </c>
      <c r="B36" s="2">
        <v>177</v>
      </c>
      <c r="C36" s="2">
        <v>40</v>
      </c>
      <c r="D36" s="2">
        <v>1</v>
      </c>
      <c r="E36" s="2">
        <v>0</v>
      </c>
      <c r="F36" s="2">
        <v>0</v>
      </c>
      <c r="G36" s="2">
        <v>2</v>
      </c>
      <c r="H36" s="2">
        <v>4</v>
      </c>
      <c r="I36" s="2">
        <v>5</v>
      </c>
      <c r="J36" s="2">
        <v>6</v>
      </c>
      <c r="K36" s="2">
        <v>1</v>
      </c>
      <c r="L36" s="2" t="s">
        <v>12</v>
      </c>
      <c r="M36" s="2" t="s">
        <v>6479</v>
      </c>
      <c r="N36" s="2"/>
    </row>
    <row r="37" spans="1:14">
      <c r="A37" s="1">
        <v>43197.724144629632</v>
      </c>
      <c r="B37" s="2">
        <v>177</v>
      </c>
      <c r="C37" s="2">
        <v>43</v>
      </c>
      <c r="D37" s="2">
        <v>1</v>
      </c>
      <c r="E37" s="2">
        <v>0</v>
      </c>
      <c r="F37" s="2">
        <v>0</v>
      </c>
      <c r="G37" s="2">
        <v>2</v>
      </c>
      <c r="H37" s="2">
        <v>0</v>
      </c>
      <c r="I37" s="2">
        <v>3</v>
      </c>
      <c r="J37" s="2">
        <v>7</v>
      </c>
      <c r="K37" s="2">
        <v>1</v>
      </c>
      <c r="L37" s="2" t="s">
        <v>6088</v>
      </c>
      <c r="M37" s="2" t="s">
        <v>6640</v>
      </c>
      <c r="N37" s="2" t="s">
        <v>6643</v>
      </c>
    </row>
    <row r="38" spans="1:14">
      <c r="A38" s="1">
        <v>43197.764032777777</v>
      </c>
      <c r="B38" s="2">
        <v>177</v>
      </c>
      <c r="C38" s="2">
        <v>50</v>
      </c>
      <c r="D38" s="2">
        <v>1</v>
      </c>
      <c r="E38" s="2">
        <v>0</v>
      </c>
      <c r="F38" s="2">
        <v>0</v>
      </c>
      <c r="G38" s="2">
        <v>0</v>
      </c>
      <c r="H38" s="2">
        <v>0</v>
      </c>
      <c r="I38" s="2">
        <v>4</v>
      </c>
      <c r="J38" s="2">
        <v>0</v>
      </c>
      <c r="K38" s="2">
        <v>1</v>
      </c>
      <c r="L38" s="2" t="s">
        <v>12</v>
      </c>
      <c r="M38" s="2" t="s">
        <v>6491</v>
      </c>
      <c r="N38" s="2" t="s">
        <v>6663</v>
      </c>
    </row>
    <row r="39" spans="1:14">
      <c r="A39" s="1">
        <v>43197.76424434028</v>
      </c>
      <c r="B39" s="2">
        <v>180</v>
      </c>
      <c r="C39" s="2">
        <v>50</v>
      </c>
      <c r="D39" s="2">
        <v>1</v>
      </c>
      <c r="E39" s="2">
        <v>0</v>
      </c>
      <c r="F39" s="2">
        <v>1</v>
      </c>
      <c r="G39" s="2">
        <v>0</v>
      </c>
      <c r="H39" s="2">
        <v>0</v>
      </c>
      <c r="I39" s="2">
        <v>0</v>
      </c>
      <c r="J39" s="2">
        <v>8</v>
      </c>
      <c r="K39" s="2">
        <v>1</v>
      </c>
      <c r="L39" s="2" t="s">
        <v>6088</v>
      </c>
      <c r="M39" s="2" t="s">
        <v>6491</v>
      </c>
      <c r="N39" s="2"/>
    </row>
    <row r="40" spans="1:14">
      <c r="A40" s="1">
        <v>43197.476872245374</v>
      </c>
      <c r="B40" s="2">
        <v>181</v>
      </c>
      <c r="C40" s="2">
        <v>3</v>
      </c>
      <c r="D40" s="2">
        <v>1</v>
      </c>
      <c r="E40" s="2">
        <v>1</v>
      </c>
      <c r="F40" s="2">
        <v>0</v>
      </c>
      <c r="G40" s="2">
        <v>0</v>
      </c>
      <c r="H40" s="2">
        <v>0</v>
      </c>
      <c r="I40" s="2">
        <v>5</v>
      </c>
      <c r="J40" s="2">
        <v>1</v>
      </c>
      <c r="K40" s="2">
        <v>1</v>
      </c>
      <c r="L40" s="2" t="s">
        <v>12</v>
      </c>
      <c r="M40" s="2" t="s">
        <v>6088</v>
      </c>
      <c r="N40" s="2" t="s">
        <v>6472</v>
      </c>
    </row>
    <row r="41" spans="1:14">
      <c r="A41" s="1">
        <v>43197.477748703706</v>
      </c>
      <c r="B41" s="2">
        <v>181</v>
      </c>
      <c r="C41" s="2">
        <v>3</v>
      </c>
      <c r="D41" s="2">
        <v>1</v>
      </c>
      <c r="E41" s="2">
        <v>1</v>
      </c>
      <c r="F41" s="2">
        <v>0</v>
      </c>
      <c r="G41" s="2">
        <v>0</v>
      </c>
      <c r="H41" s="2">
        <v>0</v>
      </c>
      <c r="I41" s="2">
        <v>6</v>
      </c>
      <c r="J41" s="2">
        <v>0</v>
      </c>
      <c r="K41" s="2">
        <v>1</v>
      </c>
      <c r="L41" s="2" t="s">
        <v>12</v>
      </c>
      <c r="M41" s="2" t="s">
        <v>6473</v>
      </c>
      <c r="N41" s="2"/>
    </row>
    <row r="42" spans="1:14">
      <c r="A42" s="1">
        <v>43197.506829039354</v>
      </c>
      <c r="B42" s="2">
        <v>181</v>
      </c>
      <c r="C42" s="2">
        <v>8</v>
      </c>
      <c r="D42" s="2">
        <v>1</v>
      </c>
      <c r="E42" s="2">
        <v>0</v>
      </c>
      <c r="F42" s="2">
        <v>0</v>
      </c>
      <c r="G42" s="2">
        <v>0</v>
      </c>
      <c r="H42" s="2">
        <v>0</v>
      </c>
      <c r="I42" s="2">
        <v>7</v>
      </c>
      <c r="J42" s="2">
        <v>0</v>
      </c>
      <c r="K42" s="2">
        <v>0</v>
      </c>
      <c r="L42" s="2" t="s">
        <v>12</v>
      </c>
      <c r="M42" s="2" t="s">
        <v>6491</v>
      </c>
      <c r="N42" s="2" t="s">
        <v>6497</v>
      </c>
    </row>
    <row r="43" spans="1:14">
      <c r="A43" s="1">
        <v>43197.595997372686</v>
      </c>
      <c r="B43" s="2">
        <v>181</v>
      </c>
      <c r="C43" s="2">
        <v>19</v>
      </c>
      <c r="D43" s="2">
        <v>1</v>
      </c>
      <c r="E43" s="2">
        <v>0</v>
      </c>
      <c r="F43" s="2">
        <v>0</v>
      </c>
      <c r="G43" s="2">
        <v>1</v>
      </c>
      <c r="H43" s="2">
        <v>2</v>
      </c>
      <c r="I43" s="2">
        <v>0</v>
      </c>
      <c r="J43" s="2">
        <v>0</v>
      </c>
      <c r="K43" s="2">
        <v>1</v>
      </c>
      <c r="L43" s="2" t="s">
        <v>12</v>
      </c>
      <c r="M43" s="2" t="s">
        <v>6525</v>
      </c>
      <c r="N43" s="2"/>
    </row>
    <row r="44" spans="1:14">
      <c r="A44" s="1">
        <v>43197.61240111111</v>
      </c>
      <c r="B44" s="2">
        <v>181</v>
      </c>
      <c r="C44" s="2">
        <v>22</v>
      </c>
      <c r="D44" s="2">
        <v>1</v>
      </c>
      <c r="E44" s="2">
        <v>1</v>
      </c>
      <c r="F44" s="2">
        <v>0</v>
      </c>
      <c r="G44" s="2">
        <v>0</v>
      </c>
      <c r="H44" s="2">
        <v>0</v>
      </c>
      <c r="I44" s="2">
        <v>1</v>
      </c>
      <c r="J44" s="2">
        <v>5</v>
      </c>
      <c r="K44" s="2">
        <v>0</v>
      </c>
      <c r="L44" s="2" t="s">
        <v>6462</v>
      </c>
      <c r="M44" s="2" t="s">
        <v>6479</v>
      </c>
      <c r="N44" s="2" t="s">
        <v>6568</v>
      </c>
    </row>
    <row r="45" spans="1:14">
      <c r="A45" s="1">
        <v>43197.649811817129</v>
      </c>
      <c r="B45" s="2">
        <v>181</v>
      </c>
      <c r="C45" s="2">
        <v>29</v>
      </c>
      <c r="D45" s="2">
        <v>1</v>
      </c>
      <c r="E45" s="2">
        <v>1</v>
      </c>
      <c r="F45" s="2">
        <v>0</v>
      </c>
      <c r="G45" s="2">
        <v>0</v>
      </c>
      <c r="H45" s="2">
        <v>1</v>
      </c>
      <c r="I45" s="2">
        <v>3</v>
      </c>
      <c r="J45" s="2">
        <v>0</v>
      </c>
      <c r="K45" s="2">
        <v>1</v>
      </c>
      <c r="L45" s="2" t="s">
        <v>6088</v>
      </c>
      <c r="M45" s="2" t="s">
        <v>6088</v>
      </c>
      <c r="N45" s="2"/>
    </row>
    <row r="46" spans="1:14">
      <c r="A46" s="1">
        <v>43197.71033371528</v>
      </c>
      <c r="B46" s="2">
        <v>181</v>
      </c>
      <c r="C46" s="2">
        <v>40</v>
      </c>
      <c r="D46" s="2">
        <v>1</v>
      </c>
      <c r="E46" s="2">
        <v>1</v>
      </c>
      <c r="F46" s="2">
        <v>0</v>
      </c>
      <c r="G46" s="2">
        <v>0</v>
      </c>
      <c r="H46" s="2">
        <v>0</v>
      </c>
      <c r="I46" s="2">
        <v>5</v>
      </c>
      <c r="J46" s="2">
        <v>0</v>
      </c>
      <c r="K46" s="2">
        <v>1</v>
      </c>
      <c r="L46" s="2" t="s">
        <v>12</v>
      </c>
      <c r="M46" s="2" t="s">
        <v>6512</v>
      </c>
      <c r="N46" s="2"/>
    </row>
    <row r="47" spans="1:14">
      <c r="A47" s="1">
        <v>43197.724070601849</v>
      </c>
      <c r="B47" s="2">
        <v>181</v>
      </c>
      <c r="C47" s="2">
        <v>43</v>
      </c>
      <c r="D47" s="2">
        <v>1</v>
      </c>
      <c r="E47" s="2">
        <v>0</v>
      </c>
      <c r="F47" s="2">
        <v>0</v>
      </c>
      <c r="G47" s="2">
        <v>1</v>
      </c>
      <c r="H47" s="2">
        <v>6</v>
      </c>
      <c r="I47" s="2">
        <v>0</v>
      </c>
      <c r="J47" s="2">
        <v>0</v>
      </c>
      <c r="K47" s="2">
        <v>1</v>
      </c>
      <c r="L47" s="2" t="s">
        <v>12</v>
      </c>
      <c r="M47" s="2" t="s">
        <v>6491</v>
      </c>
      <c r="N47" s="2" t="s">
        <v>6642</v>
      </c>
    </row>
    <row r="48" spans="1:14">
      <c r="A48" s="1">
        <v>43197.780797500003</v>
      </c>
      <c r="B48" s="2">
        <v>181</v>
      </c>
      <c r="C48" s="2">
        <v>52</v>
      </c>
      <c r="D48" s="2">
        <v>1</v>
      </c>
      <c r="E48" s="2">
        <v>0</v>
      </c>
      <c r="F48" s="2">
        <v>0</v>
      </c>
      <c r="G48" s="2">
        <v>0</v>
      </c>
      <c r="H48" s="2">
        <v>0</v>
      </c>
      <c r="I48" s="2">
        <v>3</v>
      </c>
      <c r="J48" s="2">
        <v>4</v>
      </c>
      <c r="K48" s="2">
        <v>1</v>
      </c>
      <c r="L48" s="2" t="s">
        <v>6088</v>
      </c>
      <c r="M48" s="2" t="s">
        <v>6512</v>
      </c>
      <c r="N48" s="2"/>
    </row>
    <row r="49" spans="1:14">
      <c r="A49" s="1">
        <v>43197.477489884259</v>
      </c>
      <c r="B49" s="2">
        <v>190</v>
      </c>
      <c r="C49" s="2">
        <v>3</v>
      </c>
      <c r="D49" s="2">
        <v>1</v>
      </c>
      <c r="E49" s="2">
        <v>0</v>
      </c>
      <c r="F49" s="2">
        <v>1</v>
      </c>
      <c r="G49" s="2">
        <v>0</v>
      </c>
      <c r="H49" s="2">
        <v>0</v>
      </c>
      <c r="I49" s="2">
        <v>5</v>
      </c>
      <c r="J49" s="2">
        <v>0</v>
      </c>
      <c r="K49" s="2">
        <v>0</v>
      </c>
      <c r="L49" s="2" t="s">
        <v>6462</v>
      </c>
      <c r="M49" s="2" t="s">
        <v>6473</v>
      </c>
      <c r="N49" s="2"/>
    </row>
    <row r="50" spans="1:14">
      <c r="A50" s="1">
        <v>43197.52083296296</v>
      </c>
      <c r="B50" s="2">
        <v>190</v>
      </c>
      <c r="C50" s="2">
        <v>11</v>
      </c>
      <c r="D50" s="2">
        <v>1</v>
      </c>
      <c r="E50" s="2">
        <v>0</v>
      </c>
      <c r="F50" s="2">
        <v>1</v>
      </c>
      <c r="G50" s="2">
        <v>2</v>
      </c>
      <c r="H50" s="2">
        <v>0</v>
      </c>
      <c r="I50" s="2">
        <v>5</v>
      </c>
      <c r="J50" s="2">
        <v>0</v>
      </c>
      <c r="K50" s="2">
        <v>0</v>
      </c>
      <c r="L50" s="2" t="s">
        <v>6462</v>
      </c>
      <c r="M50" s="2" t="s">
        <v>6088</v>
      </c>
      <c r="N50" s="2" t="s">
        <v>6514</v>
      </c>
    </row>
    <row r="51" spans="1:14">
      <c r="A51" s="1">
        <v>43197.601044699077</v>
      </c>
      <c r="B51" s="2">
        <v>190</v>
      </c>
      <c r="C51" s="2">
        <v>20</v>
      </c>
      <c r="D51" s="2">
        <v>1</v>
      </c>
      <c r="E51" s="2">
        <v>0</v>
      </c>
      <c r="F51" s="2">
        <v>0</v>
      </c>
      <c r="G51" s="2">
        <v>3</v>
      </c>
      <c r="H51" s="2">
        <v>3</v>
      </c>
      <c r="I51" s="2">
        <v>1</v>
      </c>
      <c r="J51" s="2">
        <v>0</v>
      </c>
      <c r="K51" s="2">
        <v>0</v>
      </c>
      <c r="L51" s="2" t="s">
        <v>6462</v>
      </c>
      <c r="M51" s="2" t="s">
        <v>6479</v>
      </c>
      <c r="N51" s="2" t="s">
        <v>6544</v>
      </c>
    </row>
    <row r="52" spans="1:14">
      <c r="A52" s="1">
        <v>43197.62403820602</v>
      </c>
      <c r="B52" s="2">
        <v>190</v>
      </c>
      <c r="C52" s="2">
        <v>24</v>
      </c>
      <c r="D52" s="2">
        <v>1</v>
      </c>
      <c r="E52" s="2">
        <v>0</v>
      </c>
      <c r="F52" s="2">
        <v>1</v>
      </c>
      <c r="G52" s="2">
        <v>0</v>
      </c>
      <c r="H52" s="2">
        <v>0</v>
      </c>
      <c r="I52" s="2">
        <v>3</v>
      </c>
      <c r="J52" s="2">
        <v>3</v>
      </c>
      <c r="K52" s="2">
        <v>1</v>
      </c>
      <c r="L52" s="2" t="s">
        <v>6088</v>
      </c>
      <c r="M52" s="2" t="s">
        <v>6467</v>
      </c>
      <c r="N52" s="2"/>
    </row>
    <row r="53" spans="1:14">
      <c r="A53" s="1">
        <v>43197.664852592592</v>
      </c>
      <c r="B53" s="2">
        <v>190</v>
      </c>
      <c r="C53" s="2">
        <v>32</v>
      </c>
      <c r="D53" s="2">
        <v>1</v>
      </c>
      <c r="E53" s="2">
        <v>0</v>
      </c>
      <c r="F53" s="2">
        <v>0</v>
      </c>
      <c r="G53" s="2">
        <v>2</v>
      </c>
      <c r="H53" s="2">
        <v>0</v>
      </c>
      <c r="I53" s="2">
        <v>2</v>
      </c>
      <c r="J53" s="2">
        <v>7</v>
      </c>
      <c r="K53" s="2">
        <v>0</v>
      </c>
      <c r="L53" s="2"/>
      <c r="M53" s="2" t="s">
        <v>6491</v>
      </c>
      <c r="N53" s="2" t="s">
        <v>6598</v>
      </c>
    </row>
    <row r="54" spans="1:14">
      <c r="A54" s="1">
        <v>43197.71468297454</v>
      </c>
      <c r="B54" s="2">
        <v>190</v>
      </c>
      <c r="C54" s="2">
        <v>41</v>
      </c>
      <c r="D54" s="2">
        <v>1</v>
      </c>
      <c r="E54" s="2">
        <v>0</v>
      </c>
      <c r="F54" s="2">
        <v>0</v>
      </c>
      <c r="G54" s="2">
        <v>0</v>
      </c>
      <c r="H54" s="2">
        <v>0</v>
      </c>
      <c r="I54" s="2">
        <v>6</v>
      </c>
      <c r="J54" s="2">
        <v>0</v>
      </c>
      <c r="K54" s="2">
        <v>1</v>
      </c>
      <c r="L54" s="2" t="s">
        <v>6088</v>
      </c>
      <c r="M54" s="2" t="s">
        <v>6479</v>
      </c>
      <c r="N54" s="2" t="s">
        <v>6636</v>
      </c>
    </row>
    <row r="55" spans="1:14">
      <c r="A55" s="1">
        <v>43197.749190810187</v>
      </c>
      <c r="B55" s="2">
        <v>190</v>
      </c>
      <c r="C55" s="2">
        <v>47</v>
      </c>
      <c r="D55" s="2">
        <v>1</v>
      </c>
      <c r="E55" s="2">
        <v>0</v>
      </c>
      <c r="F55" s="2">
        <v>1</v>
      </c>
      <c r="G55" s="2">
        <v>0</v>
      </c>
      <c r="H55" s="2">
        <v>4</v>
      </c>
      <c r="I55" s="2">
        <v>1</v>
      </c>
      <c r="J55" s="2">
        <v>0</v>
      </c>
      <c r="K55" s="2">
        <v>1</v>
      </c>
      <c r="L55" s="2" t="s">
        <v>6088</v>
      </c>
      <c r="M55" s="2" t="s">
        <v>6565</v>
      </c>
      <c r="N55" s="2"/>
    </row>
    <row r="56" spans="1:14">
      <c r="A56" s="1">
        <v>43197.764174247684</v>
      </c>
      <c r="B56" s="2">
        <v>190</v>
      </c>
      <c r="C56" s="2">
        <v>50</v>
      </c>
      <c r="D56" s="2">
        <v>1</v>
      </c>
      <c r="E56" s="2">
        <v>0</v>
      </c>
      <c r="F56" s="2">
        <v>0</v>
      </c>
      <c r="G56" s="2">
        <v>1</v>
      </c>
      <c r="H56" s="2">
        <v>0</v>
      </c>
      <c r="I56" s="2">
        <v>1</v>
      </c>
      <c r="J56" s="2">
        <v>3</v>
      </c>
      <c r="K56" s="2">
        <v>0</v>
      </c>
      <c r="L56" s="2" t="s">
        <v>6462</v>
      </c>
      <c r="M56" s="2" t="s">
        <v>6525</v>
      </c>
      <c r="N56" s="2"/>
    </row>
    <row r="57" spans="1:14">
      <c r="A57" s="1">
        <v>43197.497509849534</v>
      </c>
      <c r="B57" s="2">
        <v>195</v>
      </c>
      <c r="C57" s="2">
        <v>6</v>
      </c>
      <c r="D57" s="2">
        <v>1</v>
      </c>
      <c r="E57" s="2">
        <v>1</v>
      </c>
      <c r="F57" s="2">
        <v>0</v>
      </c>
      <c r="G57" s="2">
        <v>0</v>
      </c>
      <c r="H57" s="2">
        <v>6</v>
      </c>
      <c r="I57" s="2">
        <v>0</v>
      </c>
      <c r="J57" s="2">
        <v>2</v>
      </c>
      <c r="K57" s="2">
        <v>1</v>
      </c>
      <c r="L57" s="2" t="s">
        <v>12</v>
      </c>
      <c r="M57" s="2"/>
      <c r="N57" s="2"/>
    </row>
    <row r="58" spans="1:14">
      <c r="A58" s="1">
        <v>43197.516190752314</v>
      </c>
      <c r="B58" s="2">
        <v>195</v>
      </c>
      <c r="C58" s="2">
        <v>10</v>
      </c>
      <c r="D58" s="2">
        <v>1</v>
      </c>
      <c r="E58" s="2">
        <v>0</v>
      </c>
      <c r="F58" s="2">
        <v>1</v>
      </c>
      <c r="G58" s="2">
        <v>0</v>
      </c>
      <c r="H58" s="2">
        <v>4</v>
      </c>
      <c r="I58" s="2">
        <v>1</v>
      </c>
      <c r="J58" s="2">
        <v>3</v>
      </c>
      <c r="K58" s="2">
        <v>1</v>
      </c>
      <c r="L58" s="2" t="s">
        <v>6088</v>
      </c>
      <c r="M58" s="2" t="s">
        <v>6491</v>
      </c>
      <c r="N58" s="2" t="s">
        <v>6511</v>
      </c>
    </row>
    <row r="59" spans="1:14">
      <c r="A59" s="1">
        <v>43197.590271504632</v>
      </c>
      <c r="B59" s="2">
        <v>195</v>
      </c>
      <c r="C59" s="2">
        <v>18</v>
      </c>
      <c r="D59" s="2">
        <v>1</v>
      </c>
      <c r="E59" s="2">
        <v>1</v>
      </c>
      <c r="F59" s="2">
        <v>0</v>
      </c>
      <c r="G59" s="2">
        <v>1</v>
      </c>
      <c r="H59" s="2">
        <v>3</v>
      </c>
      <c r="I59" s="2">
        <v>3</v>
      </c>
      <c r="J59" s="2">
        <v>4</v>
      </c>
      <c r="K59" s="2">
        <v>1</v>
      </c>
      <c r="L59" s="2" t="s">
        <v>12</v>
      </c>
      <c r="M59" s="2" t="s">
        <v>6479</v>
      </c>
      <c r="N59" s="2" t="s">
        <v>6533</v>
      </c>
    </row>
    <row r="60" spans="1:14">
      <c r="A60" s="1">
        <v>43197.670711319442</v>
      </c>
      <c r="B60" s="2">
        <v>195</v>
      </c>
      <c r="C60" s="2">
        <v>33</v>
      </c>
      <c r="D60" s="2">
        <v>0</v>
      </c>
      <c r="E60" s="2">
        <v>1</v>
      </c>
      <c r="F60" s="2">
        <v>0</v>
      </c>
      <c r="G60" s="2">
        <v>2</v>
      </c>
      <c r="H60" s="2">
        <v>2</v>
      </c>
      <c r="I60" s="2">
        <v>6</v>
      </c>
      <c r="J60" s="2">
        <v>7</v>
      </c>
      <c r="K60" s="2">
        <v>1</v>
      </c>
      <c r="L60" s="2" t="s">
        <v>12</v>
      </c>
      <c r="M60" s="2" t="s">
        <v>6478</v>
      </c>
      <c r="N60" s="2"/>
    </row>
    <row r="61" spans="1:14">
      <c r="A61" s="1">
        <v>43197.690020972223</v>
      </c>
      <c r="B61" s="2">
        <v>195</v>
      </c>
      <c r="C61" s="2">
        <v>37</v>
      </c>
      <c r="D61" s="2">
        <v>1</v>
      </c>
      <c r="E61" s="2">
        <v>1</v>
      </c>
      <c r="F61" s="2">
        <v>0</v>
      </c>
      <c r="G61" s="2">
        <v>0</v>
      </c>
      <c r="H61" s="2">
        <v>0</v>
      </c>
      <c r="I61" s="2">
        <v>8</v>
      </c>
      <c r="J61" s="2">
        <v>0</v>
      </c>
      <c r="K61" s="2">
        <v>1</v>
      </c>
      <c r="L61" s="2" t="s">
        <v>12</v>
      </c>
      <c r="M61" s="2" t="s">
        <v>6491</v>
      </c>
      <c r="N61" s="2" t="s">
        <v>6631</v>
      </c>
    </row>
    <row r="62" spans="1:14">
      <c r="A62" s="1">
        <v>43197.71951722222</v>
      </c>
      <c r="B62" s="2">
        <v>195</v>
      </c>
      <c r="C62" s="2">
        <v>42</v>
      </c>
      <c r="D62" s="2">
        <v>1</v>
      </c>
      <c r="E62" s="2">
        <v>1</v>
      </c>
      <c r="F62" s="2">
        <v>0</v>
      </c>
      <c r="G62" s="2">
        <v>2</v>
      </c>
      <c r="H62" s="2">
        <v>3</v>
      </c>
      <c r="I62" s="2">
        <v>3</v>
      </c>
      <c r="J62" s="2">
        <v>0</v>
      </c>
      <c r="K62" s="2">
        <v>1</v>
      </c>
      <c r="L62" s="2" t="s">
        <v>6088</v>
      </c>
      <c r="M62" s="2" t="s">
        <v>6640</v>
      </c>
      <c r="N62" s="2" t="s">
        <v>6641</v>
      </c>
    </row>
    <row r="63" spans="1:14">
      <c r="A63" s="1">
        <v>43197.764509050925</v>
      </c>
      <c r="B63" s="2">
        <v>195</v>
      </c>
      <c r="C63" s="2">
        <v>50</v>
      </c>
      <c r="D63" s="2">
        <v>1</v>
      </c>
      <c r="E63" s="2">
        <v>1</v>
      </c>
      <c r="F63" s="2">
        <v>0</v>
      </c>
      <c r="G63" s="2">
        <v>0</v>
      </c>
      <c r="H63" s="2">
        <v>0</v>
      </c>
      <c r="I63" s="2">
        <v>5</v>
      </c>
      <c r="J63" s="2">
        <v>2</v>
      </c>
      <c r="K63" s="2">
        <v>1</v>
      </c>
      <c r="L63" s="2" t="s">
        <v>12</v>
      </c>
      <c r="M63" s="2" t="s">
        <v>6640</v>
      </c>
      <c r="N63" s="2" t="s">
        <v>6664</v>
      </c>
    </row>
    <row r="64" spans="1:14">
      <c r="A64" s="1">
        <v>43197.490141817128</v>
      </c>
      <c r="B64" s="2">
        <v>230</v>
      </c>
      <c r="C64" s="2">
        <v>5</v>
      </c>
      <c r="D64" s="2">
        <v>1</v>
      </c>
      <c r="E64" s="2">
        <v>1</v>
      </c>
      <c r="F64" s="2">
        <v>1</v>
      </c>
      <c r="G64" s="2">
        <v>0</v>
      </c>
      <c r="H64" s="2">
        <v>0</v>
      </c>
      <c r="I64" s="2">
        <v>4</v>
      </c>
      <c r="J64" s="2">
        <v>4</v>
      </c>
      <c r="K64" s="2">
        <v>1</v>
      </c>
      <c r="L64" s="2" t="s">
        <v>6088</v>
      </c>
      <c r="M64" s="2" t="s">
        <v>6479</v>
      </c>
      <c r="N64" s="2"/>
    </row>
    <row r="65" spans="1:14">
      <c r="A65" s="1">
        <v>43197.50651954861</v>
      </c>
      <c r="B65" s="2">
        <v>230</v>
      </c>
      <c r="C65" s="2">
        <v>8</v>
      </c>
      <c r="D65" s="2">
        <v>1</v>
      </c>
      <c r="E65" s="2">
        <v>0</v>
      </c>
      <c r="F65" s="2">
        <v>0</v>
      </c>
      <c r="G65" s="2">
        <v>0</v>
      </c>
      <c r="H65" s="2">
        <v>0</v>
      </c>
      <c r="I65" s="2">
        <v>6</v>
      </c>
      <c r="J65" s="2">
        <v>1</v>
      </c>
      <c r="K65" s="2">
        <v>1</v>
      </c>
      <c r="L65" s="2" t="s">
        <v>12</v>
      </c>
      <c r="M65" s="2" t="s">
        <v>6463</v>
      </c>
      <c r="N65" s="2" t="s">
        <v>6496</v>
      </c>
    </row>
    <row r="66" spans="1:14">
      <c r="A66" s="1">
        <v>43197.536271620367</v>
      </c>
      <c r="B66" s="2">
        <v>230</v>
      </c>
      <c r="C66" s="2">
        <v>14</v>
      </c>
      <c r="D66" s="2">
        <v>1</v>
      </c>
      <c r="E66" s="2">
        <v>1</v>
      </c>
      <c r="F66" s="2">
        <v>1</v>
      </c>
      <c r="G66" s="2">
        <v>0</v>
      </c>
      <c r="H66" s="2">
        <v>4</v>
      </c>
      <c r="I66" s="2">
        <v>2</v>
      </c>
      <c r="J66" s="2">
        <v>1</v>
      </c>
      <c r="K66" s="2">
        <v>1</v>
      </c>
      <c r="L66" s="2" t="s">
        <v>12</v>
      </c>
      <c r="M66" s="2" t="s">
        <v>6512</v>
      </c>
      <c r="N66" s="2"/>
    </row>
    <row r="67" spans="1:14">
      <c r="A67" s="1">
        <v>43197.537333599539</v>
      </c>
      <c r="B67" s="2">
        <v>230</v>
      </c>
      <c r="C67" s="2">
        <v>14</v>
      </c>
      <c r="D67" s="2">
        <v>1</v>
      </c>
      <c r="E67" s="2">
        <v>1</v>
      </c>
      <c r="F67" s="2">
        <v>0</v>
      </c>
      <c r="G67" s="2">
        <v>0</v>
      </c>
      <c r="H67" s="2">
        <v>2</v>
      </c>
      <c r="I67" s="2">
        <v>3</v>
      </c>
      <c r="J67" s="2">
        <v>0</v>
      </c>
      <c r="K67" s="2">
        <v>1</v>
      </c>
      <c r="L67" s="2" t="s">
        <v>12</v>
      </c>
      <c r="M67" s="2" t="s">
        <v>6512</v>
      </c>
      <c r="N67" s="2"/>
    </row>
    <row r="68" spans="1:14">
      <c r="A68" s="1">
        <v>43197.612664178239</v>
      </c>
      <c r="B68" s="2">
        <v>230</v>
      </c>
      <c r="C68" s="2">
        <v>22</v>
      </c>
      <c r="D68" s="2">
        <v>1</v>
      </c>
      <c r="E68" s="2">
        <v>0</v>
      </c>
      <c r="F68" s="2">
        <v>0</v>
      </c>
      <c r="G68" s="2">
        <v>0</v>
      </c>
      <c r="H68" s="2">
        <v>0</v>
      </c>
      <c r="I68" s="2">
        <v>4</v>
      </c>
      <c r="J68" s="2">
        <v>0</v>
      </c>
      <c r="K68" s="2">
        <v>1</v>
      </c>
      <c r="L68" s="2" t="s">
        <v>6088</v>
      </c>
      <c r="M68" s="2" t="s">
        <v>6536</v>
      </c>
      <c r="N68" s="2" t="s">
        <v>6570</v>
      </c>
    </row>
    <row r="69" spans="1:14">
      <c r="A69" s="1">
        <v>43197.654991747688</v>
      </c>
      <c r="B69" s="2">
        <v>230</v>
      </c>
      <c r="C69" s="2">
        <v>30</v>
      </c>
      <c r="D69" s="2">
        <v>1</v>
      </c>
      <c r="E69" s="2">
        <v>0</v>
      </c>
      <c r="F69" s="2">
        <v>0</v>
      </c>
      <c r="G69" s="2">
        <v>0</v>
      </c>
      <c r="H69" s="2">
        <v>0</v>
      </c>
      <c r="I69" s="2">
        <v>7</v>
      </c>
      <c r="J69" s="2">
        <v>0</v>
      </c>
      <c r="K69" s="2">
        <v>1</v>
      </c>
      <c r="L69" s="2" t="s">
        <v>12</v>
      </c>
      <c r="M69" s="2" t="s">
        <v>6593</v>
      </c>
      <c r="N69" s="2"/>
    </row>
    <row r="70" spans="1:14">
      <c r="A70" s="1">
        <v>43197.705546562502</v>
      </c>
      <c r="B70" s="2">
        <v>230</v>
      </c>
      <c r="C70" s="2">
        <v>39</v>
      </c>
      <c r="D70" s="2">
        <v>1</v>
      </c>
      <c r="E70" s="2">
        <v>0</v>
      </c>
      <c r="F70" s="2">
        <v>1</v>
      </c>
      <c r="G70" s="2">
        <v>1</v>
      </c>
      <c r="H70" s="2">
        <v>2</v>
      </c>
      <c r="I70" s="2">
        <v>3</v>
      </c>
      <c r="J70" s="2">
        <v>1</v>
      </c>
      <c r="K70" s="2">
        <v>1</v>
      </c>
      <c r="L70" s="2" t="s">
        <v>12</v>
      </c>
      <c r="M70" s="2" t="s">
        <v>6491</v>
      </c>
      <c r="N70" s="2" t="s">
        <v>6633</v>
      </c>
    </row>
    <row r="71" spans="1:14">
      <c r="A71" s="1">
        <v>43197.734923900462</v>
      </c>
      <c r="B71" s="2">
        <v>230</v>
      </c>
      <c r="C71" s="2">
        <v>45</v>
      </c>
      <c r="D71" s="2">
        <v>1</v>
      </c>
      <c r="E71" s="2">
        <v>1</v>
      </c>
      <c r="F71" s="2">
        <v>1</v>
      </c>
      <c r="G71" s="2">
        <v>0</v>
      </c>
      <c r="H71" s="2">
        <v>0</v>
      </c>
      <c r="I71" s="2">
        <v>6</v>
      </c>
      <c r="J71" s="2">
        <v>0</v>
      </c>
      <c r="K71" s="2">
        <v>1</v>
      </c>
      <c r="L71" s="2" t="s">
        <v>12</v>
      </c>
      <c r="M71" s="2" t="s">
        <v>6646</v>
      </c>
      <c r="N71" s="2" t="s">
        <v>6647</v>
      </c>
    </row>
    <row r="72" spans="1:14">
      <c r="A72" s="1">
        <v>43197.775584432871</v>
      </c>
      <c r="B72" s="2">
        <v>230</v>
      </c>
      <c r="C72" s="2">
        <v>52</v>
      </c>
      <c r="D72" s="2">
        <v>1</v>
      </c>
      <c r="E72" s="2">
        <v>1</v>
      </c>
      <c r="F72" s="2">
        <v>0</v>
      </c>
      <c r="G72" s="2">
        <v>1</v>
      </c>
      <c r="H72" s="2">
        <v>0</v>
      </c>
      <c r="I72" s="2">
        <v>6</v>
      </c>
      <c r="J72" s="2">
        <v>1</v>
      </c>
      <c r="K72" s="2">
        <v>1</v>
      </c>
      <c r="L72" s="2" t="s">
        <v>6088</v>
      </c>
      <c r="M72" s="2" t="s">
        <v>6582</v>
      </c>
      <c r="N72" s="2" t="s">
        <v>6687</v>
      </c>
    </row>
    <row r="73" spans="1:14">
      <c r="A73" s="1">
        <v>43197.471587673608</v>
      </c>
      <c r="B73" s="2">
        <v>236</v>
      </c>
      <c r="C73" s="2">
        <v>2</v>
      </c>
      <c r="D73" s="2">
        <v>1</v>
      </c>
      <c r="E73" s="2">
        <v>1</v>
      </c>
      <c r="F73" s="2">
        <v>1</v>
      </c>
      <c r="G73" s="2">
        <v>1</v>
      </c>
      <c r="H73" s="2">
        <v>0</v>
      </c>
      <c r="I73" s="2">
        <v>2</v>
      </c>
      <c r="J73" s="2">
        <v>0</v>
      </c>
      <c r="K73" s="2">
        <v>1</v>
      </c>
      <c r="L73" s="2" t="s">
        <v>12</v>
      </c>
      <c r="M73" s="2" t="s">
        <v>6088</v>
      </c>
      <c r="N73" s="2" t="s">
        <v>6470</v>
      </c>
    </row>
    <row r="74" spans="1:14">
      <c r="A74" s="1">
        <v>43197.516175509256</v>
      </c>
      <c r="B74" s="2">
        <v>236</v>
      </c>
      <c r="C74" s="2">
        <v>10</v>
      </c>
      <c r="D74" s="2">
        <v>1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6</v>
      </c>
      <c r="K74" s="2">
        <v>0</v>
      </c>
      <c r="L74" s="2" t="s">
        <v>6462</v>
      </c>
      <c r="M74" s="2" t="s">
        <v>6491</v>
      </c>
      <c r="N74" s="2"/>
    </row>
    <row r="75" spans="1:14">
      <c r="A75" s="1">
        <v>43197.517228310186</v>
      </c>
      <c r="B75" s="2">
        <v>236</v>
      </c>
      <c r="C75" s="2">
        <v>10</v>
      </c>
      <c r="D75" s="2">
        <v>1</v>
      </c>
      <c r="E75" s="2">
        <v>0</v>
      </c>
      <c r="F75" s="2">
        <v>0</v>
      </c>
      <c r="G75" s="2">
        <v>1</v>
      </c>
      <c r="H75" s="2">
        <v>0</v>
      </c>
      <c r="I75" s="2">
        <v>0</v>
      </c>
      <c r="J75" s="2">
        <v>2</v>
      </c>
      <c r="K75" s="2">
        <v>0</v>
      </c>
      <c r="L75" s="2" t="s">
        <v>6462</v>
      </c>
      <c r="M75" s="2" t="s">
        <v>6512</v>
      </c>
      <c r="N75" s="2"/>
    </row>
    <row r="76" spans="1:14">
      <c r="A76" s="1">
        <v>43197.541623958336</v>
      </c>
      <c r="B76" s="2">
        <v>236</v>
      </c>
      <c r="C76" s="2">
        <v>15</v>
      </c>
      <c r="D76" s="2">
        <v>1</v>
      </c>
      <c r="E76" s="2">
        <v>0</v>
      </c>
      <c r="F76" s="2">
        <v>0</v>
      </c>
      <c r="G76" s="2">
        <v>0</v>
      </c>
      <c r="H76" s="2">
        <v>2</v>
      </c>
      <c r="I76" s="2">
        <v>1</v>
      </c>
      <c r="J76" s="2">
        <v>0</v>
      </c>
      <c r="K76" s="2">
        <v>0</v>
      </c>
      <c r="L76" s="2" t="s">
        <v>6462</v>
      </c>
      <c r="M76" s="2" t="s">
        <v>6525</v>
      </c>
      <c r="N76" s="2"/>
    </row>
    <row r="77" spans="1:14">
      <c r="A77" s="1">
        <v>43197.543335648152</v>
      </c>
      <c r="B77" s="2">
        <v>236</v>
      </c>
      <c r="C77" s="2">
        <v>15</v>
      </c>
      <c r="D77" s="2">
        <v>1</v>
      </c>
      <c r="E77" s="2">
        <v>0</v>
      </c>
      <c r="F77" s="2">
        <v>0</v>
      </c>
      <c r="G77" s="2">
        <v>0</v>
      </c>
      <c r="H77" s="2">
        <v>2</v>
      </c>
      <c r="I77" s="2">
        <v>2</v>
      </c>
      <c r="J77" s="2">
        <v>0</v>
      </c>
      <c r="K77" s="2">
        <v>1</v>
      </c>
      <c r="L77" s="2"/>
      <c r="M77" s="2" t="s">
        <v>6528</v>
      </c>
      <c r="N77" s="2"/>
    </row>
    <row r="78" spans="1:14">
      <c r="A78" s="1">
        <v>43197.624467094909</v>
      </c>
      <c r="B78" s="2">
        <v>236</v>
      </c>
      <c r="C78" s="2">
        <v>24</v>
      </c>
      <c r="D78" s="2">
        <v>1</v>
      </c>
      <c r="E78" s="2">
        <v>0</v>
      </c>
      <c r="F78" s="2">
        <v>0</v>
      </c>
      <c r="G78" s="2">
        <v>0</v>
      </c>
      <c r="H78" s="2">
        <v>0</v>
      </c>
      <c r="I78" s="2">
        <v>3</v>
      </c>
      <c r="J78" s="2">
        <v>0</v>
      </c>
      <c r="K78" s="2">
        <v>1</v>
      </c>
      <c r="L78" s="2" t="s">
        <v>12</v>
      </c>
      <c r="M78" s="2" t="s">
        <v>6088</v>
      </c>
      <c r="N78" s="2"/>
    </row>
    <row r="79" spans="1:14">
      <c r="A79" s="1">
        <v>43197.65942434028</v>
      </c>
      <c r="B79" s="2">
        <v>236</v>
      </c>
      <c r="C79" s="2">
        <v>31</v>
      </c>
      <c r="D79" s="2">
        <v>1</v>
      </c>
      <c r="E79" s="2">
        <v>0</v>
      </c>
      <c r="F79" s="2">
        <v>0</v>
      </c>
      <c r="G79" s="2">
        <v>0</v>
      </c>
      <c r="H79" s="2">
        <v>2</v>
      </c>
      <c r="I79" s="2">
        <v>2</v>
      </c>
      <c r="J79" s="2">
        <v>0</v>
      </c>
      <c r="K79" s="2">
        <v>1</v>
      </c>
      <c r="L79" s="2" t="s">
        <v>6088</v>
      </c>
      <c r="M79" s="2" t="s">
        <v>6481</v>
      </c>
      <c r="N79" s="2"/>
    </row>
    <row r="80" spans="1:14">
      <c r="A80" s="1">
        <v>43197.705446597225</v>
      </c>
      <c r="B80" s="2">
        <v>236</v>
      </c>
      <c r="C80" s="2">
        <v>39</v>
      </c>
      <c r="D80" s="2">
        <v>1</v>
      </c>
      <c r="E80" s="2">
        <v>1</v>
      </c>
      <c r="F80" s="2">
        <v>0</v>
      </c>
      <c r="G80" s="2">
        <v>3</v>
      </c>
      <c r="H80" s="2">
        <v>0</v>
      </c>
      <c r="I80" s="2">
        <v>0</v>
      </c>
      <c r="J80" s="2">
        <v>2</v>
      </c>
      <c r="K80" s="2">
        <v>1</v>
      </c>
      <c r="L80" s="2" t="s">
        <v>12</v>
      </c>
      <c r="M80" s="2" t="s">
        <v>6525</v>
      </c>
      <c r="N80" s="2"/>
    </row>
    <row r="81" spans="1:14">
      <c r="A81" s="1">
        <v>43197.742021828701</v>
      </c>
      <c r="B81" s="2">
        <v>236</v>
      </c>
      <c r="C81" s="2">
        <v>46</v>
      </c>
      <c r="D81" s="2">
        <v>1</v>
      </c>
      <c r="E81" s="2">
        <v>0</v>
      </c>
      <c r="F81" s="2">
        <v>0</v>
      </c>
      <c r="G81" s="2">
        <v>1</v>
      </c>
      <c r="H81" s="2">
        <v>0</v>
      </c>
      <c r="I81" s="2">
        <v>0</v>
      </c>
      <c r="J81" s="2">
        <v>0</v>
      </c>
      <c r="K81" s="2">
        <v>0</v>
      </c>
      <c r="L81" s="2" t="s">
        <v>6462</v>
      </c>
      <c r="M81" s="2"/>
      <c r="N81" s="2" t="s">
        <v>6654</v>
      </c>
    </row>
    <row r="82" spans="1:14">
      <c r="A82" s="1">
        <v>43197.775306678239</v>
      </c>
      <c r="B82" s="2">
        <v>236</v>
      </c>
      <c r="C82" s="2">
        <v>52</v>
      </c>
      <c r="D82" s="2">
        <v>1</v>
      </c>
      <c r="E82" s="2">
        <v>0</v>
      </c>
      <c r="F82" s="2">
        <v>1</v>
      </c>
      <c r="G82" s="2">
        <v>0</v>
      </c>
      <c r="H82" s="2">
        <v>0</v>
      </c>
      <c r="I82" s="2">
        <v>1</v>
      </c>
      <c r="J82" s="2">
        <v>4</v>
      </c>
      <c r="K82" s="2">
        <v>0</v>
      </c>
      <c r="L82" s="2" t="s">
        <v>12</v>
      </c>
      <c r="M82" s="2" t="s">
        <v>6625</v>
      </c>
      <c r="N82" s="2" t="s">
        <v>6686</v>
      </c>
    </row>
    <row r="83" spans="1:14">
      <c r="A83" s="1">
        <v>43197.536265868053</v>
      </c>
      <c r="B83" s="2">
        <v>558</v>
      </c>
      <c r="C83" s="2">
        <v>14</v>
      </c>
      <c r="D83" s="2">
        <v>1</v>
      </c>
      <c r="E83" s="2">
        <v>1</v>
      </c>
      <c r="F83" s="2">
        <v>0</v>
      </c>
      <c r="G83" s="2">
        <v>2</v>
      </c>
      <c r="H83" s="2">
        <v>0</v>
      </c>
      <c r="I83" s="2">
        <v>0</v>
      </c>
      <c r="J83" s="2">
        <v>7</v>
      </c>
      <c r="K83" s="2">
        <v>0</v>
      </c>
      <c r="L83" s="2" t="s">
        <v>6462</v>
      </c>
      <c r="M83" s="2" t="s">
        <v>6491</v>
      </c>
      <c r="N83" s="2"/>
    </row>
    <row r="84" spans="1:14">
      <c r="A84" s="1">
        <v>43197.551695717593</v>
      </c>
      <c r="B84" s="2">
        <v>558</v>
      </c>
      <c r="C84" s="2">
        <v>17</v>
      </c>
      <c r="D84" s="2">
        <v>1</v>
      </c>
      <c r="E84" s="2">
        <v>1</v>
      </c>
      <c r="F84" s="2">
        <v>0</v>
      </c>
      <c r="G84" s="2">
        <v>0</v>
      </c>
      <c r="H84" s="2">
        <v>0</v>
      </c>
      <c r="I84" s="2">
        <v>1</v>
      </c>
      <c r="J84" s="2">
        <v>5</v>
      </c>
      <c r="K84" s="2">
        <v>0</v>
      </c>
      <c r="L84" s="2"/>
      <c r="M84" s="2" t="s">
        <v>6491</v>
      </c>
      <c r="N84" s="2"/>
    </row>
    <row r="85" spans="1:14">
      <c r="A85" s="1">
        <v>43197.634573240743</v>
      </c>
      <c r="B85" s="2">
        <v>558</v>
      </c>
      <c r="C85" s="2">
        <v>26</v>
      </c>
      <c r="D85" s="2">
        <v>1</v>
      </c>
      <c r="E85" s="2">
        <v>1</v>
      </c>
      <c r="F85" s="2">
        <v>0</v>
      </c>
      <c r="G85" s="2">
        <v>1</v>
      </c>
      <c r="H85" s="2">
        <v>0</v>
      </c>
      <c r="I85" s="2">
        <v>0</v>
      </c>
      <c r="J85" s="2">
        <v>8</v>
      </c>
      <c r="K85" s="2">
        <v>1</v>
      </c>
      <c r="L85" s="2" t="s">
        <v>12</v>
      </c>
      <c r="M85" s="2" t="s">
        <v>6482</v>
      </c>
      <c r="N85" s="2"/>
    </row>
    <row r="86" spans="1:14">
      <c r="A86" s="1">
        <v>43197.649177430554</v>
      </c>
      <c r="B86" s="2">
        <v>558</v>
      </c>
      <c r="C86" s="2">
        <v>29</v>
      </c>
      <c r="D86" s="2">
        <v>1</v>
      </c>
      <c r="E86" s="2">
        <v>1</v>
      </c>
      <c r="F86" s="2">
        <v>0</v>
      </c>
      <c r="G86" s="2">
        <v>1</v>
      </c>
      <c r="H86" s="2">
        <v>0</v>
      </c>
      <c r="I86" s="2">
        <v>4</v>
      </c>
      <c r="J86" s="2">
        <v>1</v>
      </c>
      <c r="K86" s="2">
        <v>1</v>
      </c>
      <c r="L86" s="2" t="s">
        <v>12</v>
      </c>
      <c r="M86" s="2" t="s">
        <v>6479</v>
      </c>
      <c r="N86" s="2"/>
    </row>
    <row r="87" spans="1:14">
      <c r="A87" s="1">
        <v>43197.679900902775</v>
      </c>
      <c r="B87" s="2">
        <v>558</v>
      </c>
      <c r="C87" s="2">
        <v>35</v>
      </c>
      <c r="D87" s="2">
        <v>0</v>
      </c>
      <c r="E87" s="2">
        <v>1</v>
      </c>
      <c r="F87" s="2">
        <v>0</v>
      </c>
      <c r="G87" s="2">
        <v>3</v>
      </c>
      <c r="H87" s="2">
        <v>5</v>
      </c>
      <c r="I87" s="2">
        <v>6</v>
      </c>
      <c r="J87" s="2">
        <v>6</v>
      </c>
      <c r="K87" s="2">
        <v>1</v>
      </c>
      <c r="L87" s="2" t="s">
        <v>12</v>
      </c>
      <c r="M87" s="2" t="s">
        <v>6482</v>
      </c>
      <c r="N87" s="2"/>
    </row>
    <row r="88" spans="1:14">
      <c r="A88" s="1">
        <v>43197.754456886571</v>
      </c>
      <c r="B88" s="2">
        <v>558</v>
      </c>
      <c r="C88" s="2">
        <v>48</v>
      </c>
      <c r="D88" s="2">
        <v>1</v>
      </c>
      <c r="E88" s="2">
        <v>0</v>
      </c>
      <c r="F88" s="2">
        <v>0</v>
      </c>
      <c r="G88" s="2">
        <v>0</v>
      </c>
      <c r="H88" s="2">
        <v>0</v>
      </c>
      <c r="I88" s="2">
        <v>3</v>
      </c>
      <c r="J88" s="2">
        <v>0</v>
      </c>
      <c r="K88" s="2">
        <v>0</v>
      </c>
      <c r="L88" s="2" t="s">
        <v>12</v>
      </c>
      <c r="M88" s="2" t="s">
        <v>6491</v>
      </c>
      <c r="N88" s="2" t="s">
        <v>6659</v>
      </c>
    </row>
    <row r="89" spans="1:14">
      <c r="A89" s="1">
        <v>43197.769667708337</v>
      </c>
      <c r="B89" s="2">
        <v>558</v>
      </c>
      <c r="C89" s="2">
        <v>51</v>
      </c>
      <c r="D89" s="2">
        <v>1</v>
      </c>
      <c r="E89" s="2">
        <v>1</v>
      </c>
      <c r="F89" s="2">
        <v>0</v>
      </c>
      <c r="G89" s="2">
        <v>3</v>
      </c>
      <c r="H89" s="2">
        <v>4</v>
      </c>
      <c r="I89" s="2">
        <v>0</v>
      </c>
      <c r="J89" s="2">
        <v>0</v>
      </c>
      <c r="K89" s="2">
        <v>0</v>
      </c>
      <c r="L89" s="2" t="s">
        <v>12</v>
      </c>
      <c r="M89" s="2" t="s">
        <v>6482</v>
      </c>
      <c r="N89" s="2" t="s">
        <v>6684</v>
      </c>
    </row>
    <row r="90" spans="1:14">
      <c r="A90" s="1">
        <v>43197.501348819445</v>
      </c>
      <c r="B90" s="2">
        <v>571</v>
      </c>
      <c r="C90" s="2">
        <v>7</v>
      </c>
      <c r="D90" s="2">
        <v>1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3</v>
      </c>
      <c r="K90" s="2">
        <v>1</v>
      </c>
      <c r="L90" s="2" t="s">
        <v>6490</v>
      </c>
      <c r="M90" s="2" t="s">
        <v>6088</v>
      </c>
      <c r="N90" s="2"/>
    </row>
    <row r="91" spans="1:14">
      <c r="A91" s="1">
        <v>43197.50146540509</v>
      </c>
      <c r="B91" s="2">
        <v>571</v>
      </c>
      <c r="C91" s="2">
        <v>7</v>
      </c>
      <c r="D91" s="2">
        <v>1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3</v>
      </c>
      <c r="K91" s="2">
        <v>0</v>
      </c>
      <c r="L91" s="2" t="s">
        <v>6462</v>
      </c>
      <c r="M91" s="2" t="s">
        <v>6088</v>
      </c>
      <c r="N91" s="2"/>
    </row>
    <row r="92" spans="1:14">
      <c r="A92" s="1">
        <v>43197.526573946758</v>
      </c>
      <c r="B92" s="2">
        <v>571</v>
      </c>
      <c r="C92" s="2">
        <v>12</v>
      </c>
      <c r="D92" s="2">
        <v>1</v>
      </c>
      <c r="E92" s="2">
        <v>0</v>
      </c>
      <c r="F92" s="2">
        <v>0</v>
      </c>
      <c r="G92" s="2">
        <v>1</v>
      </c>
      <c r="H92" s="2">
        <v>0</v>
      </c>
      <c r="I92" s="2">
        <v>0</v>
      </c>
      <c r="J92" s="2">
        <v>1</v>
      </c>
      <c r="K92" s="2">
        <v>1</v>
      </c>
      <c r="L92" s="2" t="s">
        <v>12</v>
      </c>
      <c r="M92" s="2"/>
      <c r="N92" s="2"/>
    </row>
    <row r="93" spans="1:14">
      <c r="A93" s="1">
        <v>43197.547032939816</v>
      </c>
      <c r="B93" s="2">
        <v>571</v>
      </c>
      <c r="C93" s="2">
        <v>16</v>
      </c>
      <c r="D93" s="2">
        <v>1</v>
      </c>
      <c r="E93" s="2">
        <v>0</v>
      </c>
      <c r="F93" s="2">
        <v>1</v>
      </c>
      <c r="G93" s="2">
        <v>0</v>
      </c>
      <c r="H93" s="2">
        <v>0</v>
      </c>
      <c r="I93" s="2">
        <v>2</v>
      </c>
      <c r="J93" s="2">
        <v>0</v>
      </c>
      <c r="K93" s="2">
        <v>1</v>
      </c>
      <c r="L93" s="2" t="s">
        <v>12</v>
      </c>
      <c r="M93" s="2" t="s">
        <v>6479</v>
      </c>
      <c r="N93" s="2"/>
    </row>
    <row r="94" spans="1:14">
      <c r="A94" s="1">
        <v>43197.618224791666</v>
      </c>
      <c r="B94" s="2">
        <v>571</v>
      </c>
      <c r="C94" s="2">
        <v>23</v>
      </c>
      <c r="D94" s="2">
        <v>1</v>
      </c>
      <c r="E94" s="2">
        <v>0</v>
      </c>
      <c r="F94" s="2">
        <v>0</v>
      </c>
      <c r="G94" s="2">
        <v>2</v>
      </c>
      <c r="H94" s="2">
        <v>3</v>
      </c>
      <c r="I94" s="2">
        <v>2</v>
      </c>
      <c r="J94" s="2">
        <v>7</v>
      </c>
      <c r="K94" s="2">
        <v>0</v>
      </c>
      <c r="L94" s="2" t="s">
        <v>6462</v>
      </c>
      <c r="M94" s="2" t="s">
        <v>6536</v>
      </c>
      <c r="N94" s="2"/>
    </row>
    <row r="95" spans="1:14">
      <c r="A95" s="1">
        <v>43197.618351469908</v>
      </c>
      <c r="B95" s="2">
        <v>571</v>
      </c>
      <c r="C95" s="2">
        <v>23</v>
      </c>
      <c r="D95" s="2">
        <v>1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4</v>
      </c>
      <c r="K95" s="2">
        <v>0</v>
      </c>
      <c r="L95" s="2"/>
      <c r="M95" s="2" t="s">
        <v>6479</v>
      </c>
      <c r="N95" s="2" t="s">
        <v>6574</v>
      </c>
    </row>
    <row r="96" spans="1:14">
      <c r="A96" s="1">
        <v>43197.670029513887</v>
      </c>
      <c r="B96" s="2">
        <v>571</v>
      </c>
      <c r="C96" s="2">
        <v>33</v>
      </c>
      <c r="D96" s="2">
        <v>1</v>
      </c>
      <c r="E96" s="2">
        <v>0</v>
      </c>
      <c r="F96" s="2">
        <v>1</v>
      </c>
      <c r="G96" s="2">
        <v>5</v>
      </c>
      <c r="H96" s="2">
        <v>0</v>
      </c>
      <c r="I96" s="2">
        <v>0</v>
      </c>
      <c r="J96" s="2">
        <v>0</v>
      </c>
      <c r="K96" s="2">
        <v>1</v>
      </c>
      <c r="L96" s="2" t="s">
        <v>12</v>
      </c>
      <c r="M96" s="2" t="s">
        <v>6088</v>
      </c>
      <c r="N96" s="2"/>
    </row>
    <row r="97" spans="1:14">
      <c r="A97" s="1">
        <v>43197.685113541665</v>
      </c>
      <c r="B97" s="2">
        <v>571</v>
      </c>
      <c r="C97" s="2">
        <v>36</v>
      </c>
      <c r="D97" s="2">
        <v>1</v>
      </c>
      <c r="E97" s="2">
        <v>0</v>
      </c>
      <c r="F97" s="2">
        <v>0</v>
      </c>
      <c r="G97" s="2">
        <v>1</v>
      </c>
      <c r="H97" s="2">
        <v>0</v>
      </c>
      <c r="I97" s="2">
        <v>1</v>
      </c>
      <c r="J97" s="2">
        <v>0</v>
      </c>
      <c r="K97" s="2">
        <v>0</v>
      </c>
      <c r="L97" s="2" t="s">
        <v>6462</v>
      </c>
      <c r="M97" s="2" t="s">
        <v>6478</v>
      </c>
      <c r="N97" s="2" t="s">
        <v>6627</v>
      </c>
    </row>
    <row r="98" spans="1:14">
      <c r="A98" s="1">
        <v>43197.741645810187</v>
      </c>
      <c r="B98" s="2">
        <v>571</v>
      </c>
      <c r="C98" s="2">
        <v>46</v>
      </c>
      <c r="D98" s="2">
        <v>1</v>
      </c>
      <c r="E98" s="2">
        <v>0</v>
      </c>
      <c r="F98" s="2">
        <v>0</v>
      </c>
      <c r="G98" s="2">
        <v>0</v>
      </c>
      <c r="H98" s="2">
        <v>0</v>
      </c>
      <c r="I98" s="2">
        <v>3</v>
      </c>
      <c r="J98" s="2">
        <v>0</v>
      </c>
      <c r="K98" s="2">
        <v>1</v>
      </c>
      <c r="L98" s="2" t="s">
        <v>6088</v>
      </c>
      <c r="M98" s="2" t="s">
        <v>6491</v>
      </c>
      <c r="N98" s="2"/>
    </row>
    <row r="99" spans="1:14">
      <c r="A99" s="1">
        <v>43197.792287372686</v>
      </c>
      <c r="B99" s="2">
        <v>571</v>
      </c>
      <c r="C99" s="2">
        <v>55</v>
      </c>
      <c r="D99" s="2">
        <v>1</v>
      </c>
      <c r="E99" s="2">
        <v>0</v>
      </c>
      <c r="F99" s="2">
        <v>0</v>
      </c>
      <c r="G99" s="2">
        <v>1</v>
      </c>
      <c r="H99" s="2">
        <v>0</v>
      </c>
      <c r="I99" s="2">
        <v>1</v>
      </c>
      <c r="J99" s="2">
        <v>0</v>
      </c>
      <c r="K99" s="2">
        <v>1</v>
      </c>
      <c r="L99" s="2" t="s">
        <v>12</v>
      </c>
      <c r="M99" s="2" t="s">
        <v>6525</v>
      </c>
      <c r="N99" s="2"/>
    </row>
    <row r="100" spans="1:14">
      <c r="A100" s="1">
        <v>43197.520833090275</v>
      </c>
      <c r="B100" s="2">
        <v>839</v>
      </c>
      <c r="C100" s="2">
        <v>11</v>
      </c>
      <c r="D100" s="2">
        <v>1</v>
      </c>
      <c r="E100" s="2">
        <v>0</v>
      </c>
      <c r="F100" s="2">
        <v>0</v>
      </c>
      <c r="G100" s="2">
        <v>1</v>
      </c>
      <c r="H100" s="2">
        <v>0</v>
      </c>
      <c r="I100" s="2">
        <v>5</v>
      </c>
      <c r="J100" s="2">
        <v>0</v>
      </c>
      <c r="K100" s="2">
        <v>1</v>
      </c>
      <c r="L100" s="2" t="s">
        <v>12</v>
      </c>
      <c r="M100" s="2" t="s">
        <v>6515</v>
      </c>
      <c r="N100" s="2" t="s">
        <v>6516</v>
      </c>
    </row>
    <row r="101" spans="1:14">
      <c r="A101" s="1">
        <v>43197.551855532409</v>
      </c>
      <c r="B101" s="2">
        <v>839</v>
      </c>
      <c r="C101" s="2">
        <v>17</v>
      </c>
      <c r="D101" s="2">
        <v>1</v>
      </c>
      <c r="E101" s="2">
        <v>0</v>
      </c>
      <c r="F101" s="2">
        <v>0</v>
      </c>
      <c r="G101" s="2">
        <v>0</v>
      </c>
      <c r="H101" s="2">
        <v>0</v>
      </c>
      <c r="I101" s="2">
        <v>3</v>
      </c>
      <c r="J101" s="2">
        <v>0</v>
      </c>
      <c r="K101" s="2">
        <v>1</v>
      </c>
      <c r="L101" s="2" t="s">
        <v>12</v>
      </c>
      <c r="M101" s="2" t="s">
        <v>6491</v>
      </c>
      <c r="N101" s="2" t="s">
        <v>6522</v>
      </c>
    </row>
    <row r="102" spans="1:14">
      <c r="A102" s="1">
        <v>43197.612052384262</v>
      </c>
      <c r="B102" s="2">
        <v>839</v>
      </c>
      <c r="C102" s="2">
        <v>22</v>
      </c>
      <c r="D102" s="2">
        <v>0</v>
      </c>
      <c r="E102" s="2">
        <v>0</v>
      </c>
      <c r="F102" s="2">
        <v>0</v>
      </c>
      <c r="G102" s="2">
        <v>0</v>
      </c>
      <c r="H102" s="2">
        <v>3</v>
      </c>
      <c r="I102" s="2">
        <v>4</v>
      </c>
      <c r="J102" s="2">
        <v>3</v>
      </c>
      <c r="K102" s="2">
        <v>1</v>
      </c>
      <c r="L102" s="2" t="s">
        <v>12</v>
      </c>
      <c r="M102" s="2" t="s">
        <v>6565</v>
      </c>
      <c r="N102" s="2"/>
    </row>
    <row r="103" spans="1:14">
      <c r="A103" s="1">
        <v>43197.675105868053</v>
      </c>
      <c r="B103" s="2">
        <v>839</v>
      </c>
      <c r="C103" s="2">
        <v>34</v>
      </c>
      <c r="D103" s="2">
        <v>1</v>
      </c>
      <c r="E103" s="2">
        <v>0</v>
      </c>
      <c r="F103" s="2">
        <v>0</v>
      </c>
      <c r="G103" s="2">
        <v>0</v>
      </c>
      <c r="H103" s="2">
        <v>3</v>
      </c>
      <c r="I103" s="2">
        <v>0</v>
      </c>
      <c r="J103" s="2">
        <v>0</v>
      </c>
      <c r="K103" s="2">
        <v>1</v>
      </c>
      <c r="L103" s="2" t="s">
        <v>6088</v>
      </c>
      <c r="M103" s="2" t="s">
        <v>6491</v>
      </c>
      <c r="N103" s="2"/>
    </row>
    <row r="104" spans="1:14">
      <c r="A104" s="1">
        <v>43197.689807210649</v>
      </c>
      <c r="B104" s="2">
        <v>839</v>
      </c>
      <c r="C104" s="2">
        <v>37</v>
      </c>
      <c r="D104" s="2">
        <v>0</v>
      </c>
      <c r="E104" s="2">
        <v>1</v>
      </c>
      <c r="F104" s="2">
        <v>0</v>
      </c>
      <c r="G104" s="2">
        <v>3</v>
      </c>
      <c r="H104" s="2">
        <v>5</v>
      </c>
      <c r="I104" s="2">
        <v>5</v>
      </c>
      <c r="J104" s="2">
        <v>4</v>
      </c>
      <c r="K104" s="2">
        <v>1</v>
      </c>
      <c r="L104" s="2" t="s">
        <v>12</v>
      </c>
      <c r="M104" s="2" t="s">
        <v>6479</v>
      </c>
      <c r="N104" s="2" t="s">
        <v>6630</v>
      </c>
    </row>
    <row r="105" spans="1:14">
      <c r="A105" s="1">
        <v>43197.719297662035</v>
      </c>
      <c r="B105" s="2">
        <v>839</v>
      </c>
      <c r="C105" s="2">
        <v>42</v>
      </c>
      <c r="D105" s="2">
        <v>1</v>
      </c>
      <c r="E105" s="2">
        <v>0</v>
      </c>
      <c r="F105" s="2">
        <v>0</v>
      </c>
      <c r="G105" s="2">
        <v>0</v>
      </c>
      <c r="H105" s="2">
        <v>4</v>
      </c>
      <c r="I105" s="2">
        <v>0</v>
      </c>
      <c r="J105" s="2">
        <v>0</v>
      </c>
      <c r="K105" s="2">
        <v>1</v>
      </c>
      <c r="L105" s="2" t="s">
        <v>6088</v>
      </c>
      <c r="M105" s="2" t="s">
        <v>6491</v>
      </c>
      <c r="N105" s="2"/>
    </row>
    <row r="106" spans="1:14">
      <c r="A106" s="1">
        <v>43197.760203865742</v>
      </c>
      <c r="B106" s="2">
        <v>839</v>
      </c>
      <c r="C106" s="2">
        <v>49</v>
      </c>
      <c r="D106" s="2">
        <v>1</v>
      </c>
      <c r="E106" s="2">
        <v>0</v>
      </c>
      <c r="F106" s="2">
        <v>0</v>
      </c>
      <c r="G106" s="2">
        <v>6</v>
      </c>
      <c r="H106" s="2">
        <v>0</v>
      </c>
      <c r="I106" s="2">
        <v>0</v>
      </c>
      <c r="J106" s="2">
        <v>0</v>
      </c>
      <c r="K106" s="2">
        <v>1</v>
      </c>
      <c r="L106" s="2" t="s">
        <v>6088</v>
      </c>
      <c r="M106" s="2" t="s">
        <v>6662</v>
      </c>
      <c r="N106" s="2"/>
    </row>
    <row r="107" spans="1:14">
      <c r="A107" s="1">
        <v>43197.471915347225</v>
      </c>
      <c r="B107" s="2">
        <v>999</v>
      </c>
      <c r="C107" s="2">
        <v>2</v>
      </c>
      <c r="D107" s="2">
        <v>0</v>
      </c>
      <c r="E107" s="2">
        <v>0</v>
      </c>
      <c r="F107" s="2">
        <v>0</v>
      </c>
      <c r="G107" s="2">
        <v>0</v>
      </c>
      <c r="H107" s="2">
        <v>5</v>
      </c>
      <c r="I107" s="2">
        <v>0</v>
      </c>
      <c r="J107" s="2">
        <v>3</v>
      </c>
      <c r="K107" s="2">
        <v>0</v>
      </c>
      <c r="L107" s="2" t="s">
        <v>6462</v>
      </c>
      <c r="M107" s="2"/>
      <c r="N107" s="2"/>
    </row>
    <row r="108" spans="1:14">
      <c r="A108" s="1">
        <v>43197.506062175926</v>
      </c>
      <c r="B108" s="2">
        <v>999</v>
      </c>
      <c r="C108" s="2">
        <v>8</v>
      </c>
      <c r="D108" s="2">
        <v>1</v>
      </c>
      <c r="E108" s="2">
        <v>0</v>
      </c>
      <c r="F108" s="2">
        <v>0</v>
      </c>
      <c r="G108" s="2">
        <v>0</v>
      </c>
      <c r="H108" s="2">
        <v>5</v>
      </c>
      <c r="I108" s="2">
        <v>0</v>
      </c>
      <c r="J108" s="2">
        <v>4</v>
      </c>
      <c r="K108" s="2">
        <v>1</v>
      </c>
      <c r="L108" s="2" t="s">
        <v>6088</v>
      </c>
      <c r="M108" s="2" t="s">
        <v>6491</v>
      </c>
      <c r="N108" s="2"/>
    </row>
    <row r="109" spans="1:14">
      <c r="A109" s="1">
        <v>43197.639510810186</v>
      </c>
      <c r="B109" s="2">
        <v>999</v>
      </c>
      <c r="C109" s="2">
        <v>27</v>
      </c>
      <c r="D109" s="2">
        <v>1</v>
      </c>
      <c r="E109" s="2">
        <v>1</v>
      </c>
      <c r="F109" s="2">
        <v>1</v>
      </c>
      <c r="G109" s="2">
        <v>0</v>
      </c>
      <c r="H109" s="2">
        <v>6</v>
      </c>
      <c r="I109" s="2">
        <v>0</v>
      </c>
      <c r="J109" s="2">
        <v>0</v>
      </c>
      <c r="K109" s="2">
        <v>1</v>
      </c>
      <c r="L109" s="2" t="s">
        <v>6088</v>
      </c>
      <c r="M109" s="2" t="s">
        <v>6582</v>
      </c>
      <c r="N109" s="2"/>
    </row>
    <row r="110" spans="1:14">
      <c r="A110" s="1">
        <v>43197.664703287039</v>
      </c>
      <c r="B110" s="2">
        <v>999</v>
      </c>
      <c r="C110" s="2">
        <v>32</v>
      </c>
      <c r="D110" s="2">
        <v>0</v>
      </c>
      <c r="E110" s="2">
        <v>1</v>
      </c>
      <c r="F110" s="2">
        <v>0</v>
      </c>
      <c r="G110" s="2">
        <v>4</v>
      </c>
      <c r="H110" s="2">
        <v>3</v>
      </c>
      <c r="I110" s="2">
        <v>2</v>
      </c>
      <c r="J110" s="2">
        <v>9</v>
      </c>
      <c r="K110" s="2">
        <v>0</v>
      </c>
      <c r="L110" s="2" t="s">
        <v>6462</v>
      </c>
      <c r="M110" s="2" t="s">
        <v>6491</v>
      </c>
      <c r="N110" s="2"/>
    </row>
    <row r="111" spans="1:14">
      <c r="A111" s="1">
        <v>43197.694360428242</v>
      </c>
      <c r="B111" s="2">
        <v>999</v>
      </c>
      <c r="C111" s="2">
        <v>38</v>
      </c>
      <c r="D111" s="2">
        <v>1</v>
      </c>
      <c r="E111" s="2">
        <v>0</v>
      </c>
      <c r="F111" s="2">
        <v>0</v>
      </c>
      <c r="G111" s="2">
        <v>0</v>
      </c>
      <c r="H111" s="2">
        <v>5</v>
      </c>
      <c r="I111" s="2">
        <v>0</v>
      </c>
      <c r="J111" s="2">
        <v>0</v>
      </c>
      <c r="K111" s="2">
        <v>0</v>
      </c>
      <c r="L111" s="2"/>
      <c r="M111" s="2" t="s">
        <v>6479</v>
      </c>
      <c r="N111" s="2"/>
    </row>
    <row r="112" spans="1:14">
      <c r="A112" s="1">
        <v>43197.735080300925</v>
      </c>
      <c r="B112" s="2">
        <v>999</v>
      </c>
      <c r="C112" s="2">
        <v>45</v>
      </c>
      <c r="D112" s="2">
        <v>0</v>
      </c>
      <c r="E112" s="2">
        <v>0</v>
      </c>
      <c r="F112" s="2">
        <v>0</v>
      </c>
      <c r="G112" s="2">
        <v>1</v>
      </c>
      <c r="H112" s="2">
        <v>3</v>
      </c>
      <c r="I112" s="2">
        <v>0</v>
      </c>
      <c r="J112" s="2">
        <v>4</v>
      </c>
      <c r="K112" s="2">
        <v>1</v>
      </c>
      <c r="L112" s="2" t="s">
        <v>6088</v>
      </c>
      <c r="M112" s="2" t="s">
        <v>6512</v>
      </c>
      <c r="N112" s="2" t="s">
        <v>6648</v>
      </c>
    </row>
    <row r="113" spans="1:14">
      <c r="A113" s="1">
        <v>43197.496623587962</v>
      </c>
      <c r="B113" s="2">
        <v>1027</v>
      </c>
      <c r="C113" s="2">
        <v>6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 t="s">
        <v>6462</v>
      </c>
      <c r="M113" s="2" t="s">
        <v>6463</v>
      </c>
      <c r="N113" s="2" t="s">
        <v>6489</v>
      </c>
    </row>
    <row r="114" spans="1:14">
      <c r="A114" s="1">
        <v>43197.511036840275</v>
      </c>
      <c r="B114" s="2">
        <v>1027</v>
      </c>
      <c r="C114" s="2">
        <v>9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 t="s">
        <v>6462</v>
      </c>
      <c r="M114" s="2" t="s">
        <v>6491</v>
      </c>
      <c r="N114" s="2" t="s">
        <v>6501</v>
      </c>
    </row>
    <row r="115" spans="1:14">
      <c r="A115" s="1">
        <v>43197.598337847223</v>
      </c>
      <c r="B115" s="2">
        <v>1027</v>
      </c>
      <c r="C115" s="2">
        <v>20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 t="s">
        <v>6462</v>
      </c>
      <c r="M115" s="2"/>
      <c r="N115" s="2" t="s">
        <v>6541</v>
      </c>
    </row>
    <row r="116" spans="1:14">
      <c r="A116" s="1">
        <v>43197.616349965276</v>
      </c>
      <c r="B116" s="2">
        <v>1027</v>
      </c>
      <c r="C116" s="2">
        <v>23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 t="s">
        <v>6462</v>
      </c>
      <c r="M116" s="2"/>
      <c r="N116" s="2" t="s">
        <v>6571</v>
      </c>
    </row>
    <row r="117" spans="1:14">
      <c r="A117" s="1">
        <v>43197.644400150464</v>
      </c>
      <c r="B117" s="2">
        <v>1027</v>
      </c>
      <c r="C117" s="2">
        <v>28</v>
      </c>
      <c r="D117" s="2">
        <v>0</v>
      </c>
      <c r="E117" s="2">
        <v>0</v>
      </c>
      <c r="F117" s="2">
        <v>0</v>
      </c>
      <c r="G117" s="2">
        <v>0</v>
      </c>
      <c r="H117" s="2">
        <v>3</v>
      </c>
      <c r="I117" s="2">
        <v>0</v>
      </c>
      <c r="J117" s="2">
        <v>3</v>
      </c>
      <c r="K117" s="2">
        <v>0</v>
      </c>
      <c r="L117" s="2" t="s">
        <v>6462</v>
      </c>
      <c r="M117" s="2" t="s">
        <v>6476</v>
      </c>
      <c r="N117" s="2" t="s">
        <v>6586</v>
      </c>
    </row>
    <row r="118" spans="1:14">
      <c r="A118" s="1">
        <v>43197.694946145835</v>
      </c>
      <c r="B118" s="2">
        <v>1027</v>
      </c>
      <c r="C118" s="2">
        <v>38</v>
      </c>
      <c r="D118" s="2">
        <v>1</v>
      </c>
      <c r="E118" s="2">
        <v>0</v>
      </c>
      <c r="F118" s="2">
        <v>0</v>
      </c>
      <c r="G118" s="2">
        <v>1</v>
      </c>
      <c r="H118" s="2">
        <v>0</v>
      </c>
      <c r="I118" s="2">
        <v>0</v>
      </c>
      <c r="J118" s="2">
        <v>0</v>
      </c>
      <c r="K118" s="2">
        <v>1</v>
      </c>
      <c r="L118" s="2" t="s">
        <v>6088</v>
      </c>
      <c r="M118" s="2" t="s">
        <v>6479</v>
      </c>
      <c r="N118" s="2" t="s">
        <v>6632</v>
      </c>
    </row>
    <row r="119" spans="1:14">
      <c r="A119" s="1">
        <v>43197.735615046295</v>
      </c>
      <c r="B119" s="2">
        <v>1027</v>
      </c>
      <c r="C119" s="2">
        <v>45</v>
      </c>
      <c r="D119" s="2">
        <v>1</v>
      </c>
      <c r="E119" s="2">
        <v>0</v>
      </c>
      <c r="F119" s="2">
        <v>0</v>
      </c>
      <c r="G119" s="2">
        <v>2</v>
      </c>
      <c r="H119" s="2">
        <v>0</v>
      </c>
      <c r="I119" s="2">
        <v>0</v>
      </c>
      <c r="J119" s="2">
        <v>4</v>
      </c>
      <c r="K119" s="2">
        <v>1</v>
      </c>
      <c r="L119" s="2" t="s">
        <v>12</v>
      </c>
      <c r="M119" s="2" t="s">
        <v>6525</v>
      </c>
      <c r="N119" s="2"/>
    </row>
    <row r="120" spans="1:14">
      <c r="A120" s="1">
        <v>43197.769465891201</v>
      </c>
      <c r="B120" s="2">
        <v>1027</v>
      </c>
      <c r="C120" s="2">
        <v>51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 t="s">
        <v>6462</v>
      </c>
      <c r="M120" s="2" t="s">
        <v>6476</v>
      </c>
      <c r="N120" s="2"/>
    </row>
    <row r="121" spans="1:14">
      <c r="A121" s="1">
        <v>43197.76995548611</v>
      </c>
      <c r="B121" s="2">
        <v>1027</v>
      </c>
      <c r="C121" s="2">
        <v>51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/>
      <c r="M121" s="2"/>
      <c r="N121" s="2"/>
    </row>
    <row r="122" spans="1:14">
      <c r="A122" s="1">
        <v>43197.472145300926</v>
      </c>
      <c r="B122" s="2">
        <v>1085</v>
      </c>
      <c r="C122" s="2">
        <v>2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 t="s">
        <v>6462</v>
      </c>
      <c r="M122" s="2"/>
      <c r="N122" s="2" t="s">
        <v>6471</v>
      </c>
    </row>
    <row r="123" spans="1:14">
      <c r="A123" s="1">
        <v>43197.520971782411</v>
      </c>
      <c r="B123" s="2">
        <v>1085</v>
      </c>
      <c r="C123" s="2">
        <v>11</v>
      </c>
      <c r="D123" s="2">
        <v>1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1</v>
      </c>
      <c r="L123" s="2" t="s">
        <v>6490</v>
      </c>
      <c r="M123" s="2" t="s">
        <v>6088</v>
      </c>
      <c r="N123" s="2" t="s">
        <v>6513</v>
      </c>
    </row>
    <row r="124" spans="1:14">
      <c r="A124" s="1">
        <v>43197.520725648152</v>
      </c>
      <c r="B124" s="2">
        <v>1085</v>
      </c>
      <c r="C124" s="2">
        <v>11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1</v>
      </c>
      <c r="L124" s="2" t="s">
        <v>6088</v>
      </c>
      <c r="M124" s="2" t="s">
        <v>6088</v>
      </c>
      <c r="N124" s="2"/>
    </row>
    <row r="125" spans="1:14">
      <c r="A125" s="1">
        <v>43197.59073570602</v>
      </c>
      <c r="B125" s="2">
        <v>1085</v>
      </c>
      <c r="C125" s="2">
        <v>18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0</v>
      </c>
      <c r="K125" s="2">
        <v>1</v>
      </c>
      <c r="L125" s="2" t="s">
        <v>6088</v>
      </c>
      <c r="M125" s="2" t="s">
        <v>6536</v>
      </c>
      <c r="N125" s="2" t="s">
        <v>6537</v>
      </c>
    </row>
    <row r="126" spans="1:14">
      <c r="A126" s="1">
        <v>43197.612364699075</v>
      </c>
      <c r="B126" s="2">
        <v>1085</v>
      </c>
      <c r="C126" s="2">
        <v>22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 t="s">
        <v>6462</v>
      </c>
      <c r="M126" s="2" t="s">
        <v>6088</v>
      </c>
      <c r="N126" s="2"/>
    </row>
    <row r="127" spans="1:14">
      <c r="A127" s="1">
        <v>43197.659693020832</v>
      </c>
      <c r="B127" s="2">
        <v>1085</v>
      </c>
      <c r="C127" s="2">
        <v>31</v>
      </c>
      <c r="D127" s="2">
        <v>1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1</v>
      </c>
      <c r="L127" s="2" t="s">
        <v>6088</v>
      </c>
      <c r="M127" s="2" t="s">
        <v>6088</v>
      </c>
      <c r="N127" s="2" t="s">
        <v>6595</v>
      </c>
    </row>
    <row r="128" spans="1:14">
      <c r="A128" s="1">
        <v>43197.710077743053</v>
      </c>
      <c r="B128" s="2">
        <v>1085</v>
      </c>
      <c r="C128" s="2">
        <v>40</v>
      </c>
      <c r="D128" s="2">
        <v>1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 t="s">
        <v>6462</v>
      </c>
      <c r="M128" s="2" t="s">
        <v>6479</v>
      </c>
      <c r="N128" s="2"/>
    </row>
    <row r="129" spans="1:14">
      <c r="A129" s="1">
        <v>43197.728972002318</v>
      </c>
      <c r="B129" s="2">
        <v>1085</v>
      </c>
      <c r="C129" s="2">
        <v>45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</v>
      </c>
      <c r="K129" s="2">
        <v>0</v>
      </c>
      <c r="L129" s="2" t="s">
        <v>6462</v>
      </c>
      <c r="M129" s="2" t="s">
        <v>6088</v>
      </c>
      <c r="N129" s="2"/>
    </row>
    <row r="130" spans="1:14">
      <c r="A130" s="1">
        <v>43197.787790381946</v>
      </c>
      <c r="B130" s="2">
        <v>1085</v>
      </c>
      <c r="C130" s="2">
        <v>54</v>
      </c>
      <c r="D130" s="2">
        <v>1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1</v>
      </c>
      <c r="L130" s="2" t="s">
        <v>6088</v>
      </c>
      <c r="M130" s="2" t="s">
        <v>6625</v>
      </c>
      <c r="N130" s="2" t="s">
        <v>6692</v>
      </c>
    </row>
    <row r="131" spans="1:14">
      <c r="A131" s="1">
        <v>43197.471372349537</v>
      </c>
      <c r="B131" s="2">
        <v>1740</v>
      </c>
      <c r="C131" s="2">
        <v>2</v>
      </c>
      <c r="D131" s="2">
        <v>1</v>
      </c>
      <c r="E131" s="2">
        <v>0</v>
      </c>
      <c r="F131" s="2">
        <v>0</v>
      </c>
      <c r="G131" s="2">
        <v>3</v>
      </c>
      <c r="H131" s="2">
        <v>0</v>
      </c>
      <c r="I131" s="2">
        <v>0</v>
      </c>
      <c r="J131" s="2">
        <v>3</v>
      </c>
      <c r="K131" s="2">
        <v>1</v>
      </c>
      <c r="L131" s="2" t="s">
        <v>6088</v>
      </c>
      <c r="M131" s="2" t="s">
        <v>6088</v>
      </c>
      <c r="N131" s="2"/>
    </row>
    <row r="132" spans="1:14">
      <c r="A132" s="1">
        <v>43197.595742199075</v>
      </c>
      <c r="B132" s="2">
        <v>1740</v>
      </c>
      <c r="C132" s="2">
        <v>19</v>
      </c>
      <c r="D132" s="2">
        <v>1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6</v>
      </c>
      <c r="K132" s="2">
        <v>0</v>
      </c>
      <c r="L132" s="2" t="s">
        <v>12</v>
      </c>
      <c r="M132" s="2" t="s">
        <v>6479</v>
      </c>
      <c r="N132" s="2" t="s">
        <v>6539</v>
      </c>
    </row>
    <row r="133" spans="1:14">
      <c r="A133" s="1">
        <v>43197.629211388892</v>
      </c>
      <c r="B133" s="2">
        <v>1740</v>
      </c>
      <c r="C133" s="2">
        <v>25</v>
      </c>
      <c r="D133" s="2">
        <v>0</v>
      </c>
      <c r="E133" s="2">
        <v>0</v>
      </c>
      <c r="F133" s="2">
        <v>0</v>
      </c>
      <c r="G133" s="2">
        <v>3</v>
      </c>
      <c r="H133" s="2">
        <v>1</v>
      </c>
      <c r="I133" s="2">
        <v>0</v>
      </c>
      <c r="J133" s="2">
        <v>0</v>
      </c>
      <c r="K133" s="2">
        <v>1</v>
      </c>
      <c r="L133" s="2" t="s">
        <v>12</v>
      </c>
      <c r="M133" s="2" t="s">
        <v>6463</v>
      </c>
      <c r="N133" s="2"/>
    </row>
    <row r="134" spans="1:14">
      <c r="A134" s="1">
        <v>43197.654470081019</v>
      </c>
      <c r="B134" s="2">
        <v>1740</v>
      </c>
      <c r="C134" s="2">
        <v>40</v>
      </c>
      <c r="D134" s="2">
        <v>1</v>
      </c>
      <c r="E134" s="2">
        <v>0</v>
      </c>
      <c r="F134" s="2">
        <v>0</v>
      </c>
      <c r="G134" s="2">
        <v>2</v>
      </c>
      <c r="H134" s="2">
        <v>0</v>
      </c>
      <c r="I134" s="2">
        <v>1</v>
      </c>
      <c r="J134" s="2">
        <v>1</v>
      </c>
      <c r="K134" s="2">
        <v>1</v>
      </c>
      <c r="L134" s="2" t="s">
        <v>12</v>
      </c>
      <c r="M134" s="2" t="s">
        <v>6088</v>
      </c>
      <c r="N134" s="2"/>
    </row>
    <row r="135" spans="1:14">
      <c r="A135" s="1">
        <v>43197.680128472224</v>
      </c>
      <c r="B135" s="2">
        <v>1740</v>
      </c>
      <c r="C135" s="2">
        <v>35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1</v>
      </c>
      <c r="J135" s="2">
        <v>0</v>
      </c>
      <c r="K135" s="2">
        <v>1</v>
      </c>
      <c r="L135" s="2" t="s">
        <v>12</v>
      </c>
      <c r="M135" s="2" t="s">
        <v>6623</v>
      </c>
      <c r="N135" s="2"/>
    </row>
    <row r="136" spans="1:14">
      <c r="A136" s="1">
        <v>43197.749079884263</v>
      </c>
      <c r="B136" s="2">
        <v>1740</v>
      </c>
      <c r="C136" s="2">
        <v>47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 t="s">
        <v>6462</v>
      </c>
      <c r="M136" s="2" t="s">
        <v>6655</v>
      </c>
      <c r="N136" s="2" t="s">
        <v>6656</v>
      </c>
    </row>
    <row r="137" spans="1:14">
      <c r="A137" s="1">
        <v>43197.749142511573</v>
      </c>
      <c r="B137" s="2">
        <v>1740</v>
      </c>
      <c r="C137" s="2">
        <v>47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 t="s">
        <v>6462</v>
      </c>
      <c r="M137" s="2" t="s">
        <v>6655</v>
      </c>
      <c r="N137" s="2" t="s">
        <v>6656</v>
      </c>
    </row>
    <row r="138" spans="1:14">
      <c r="A138" s="1">
        <v>43197.781180914353</v>
      </c>
      <c r="B138" s="2">
        <v>1740</v>
      </c>
      <c r="C138" s="2">
        <v>53</v>
      </c>
      <c r="D138" s="2">
        <v>1</v>
      </c>
      <c r="E138" s="2">
        <v>0</v>
      </c>
      <c r="F138" s="2">
        <v>0</v>
      </c>
      <c r="G138" s="2">
        <v>0</v>
      </c>
      <c r="H138" s="2">
        <v>0</v>
      </c>
      <c r="I138" s="2">
        <v>3</v>
      </c>
      <c r="J138" s="2">
        <v>0</v>
      </c>
      <c r="K138" s="2">
        <v>1</v>
      </c>
      <c r="L138" s="2" t="s">
        <v>12</v>
      </c>
      <c r="M138" s="2" t="s">
        <v>6088</v>
      </c>
      <c r="N138" s="2"/>
    </row>
    <row r="139" spans="1:14">
      <c r="A139" s="1">
        <v>43197.489922418979</v>
      </c>
      <c r="B139" s="2">
        <v>1973</v>
      </c>
      <c r="C139" s="2">
        <v>5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/>
      <c r="M139" s="2"/>
      <c r="N139" s="2" t="s">
        <v>6483</v>
      </c>
    </row>
    <row r="140" spans="1:14">
      <c r="A140" s="1">
        <v>43197.532207326389</v>
      </c>
      <c r="B140" s="2">
        <v>1973</v>
      </c>
      <c r="C140" s="2">
        <v>13</v>
      </c>
      <c r="D140" s="2">
        <v>1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0</v>
      </c>
      <c r="K140" s="2">
        <v>1</v>
      </c>
      <c r="L140" s="2" t="s">
        <v>6088</v>
      </c>
      <c r="M140" s="2" t="s">
        <v>6481</v>
      </c>
      <c r="N140" s="2"/>
    </row>
    <row r="141" spans="1:14">
      <c r="A141" s="1">
        <v>43197.606293124998</v>
      </c>
      <c r="B141" s="2">
        <v>1973</v>
      </c>
      <c r="C141" s="2">
        <v>21</v>
      </c>
      <c r="D141" s="2">
        <v>1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1</v>
      </c>
      <c r="K141" s="2">
        <v>0</v>
      </c>
      <c r="L141" s="2" t="s">
        <v>6462</v>
      </c>
      <c r="M141" s="2"/>
      <c r="N141" s="2"/>
    </row>
    <row r="142" spans="1:14">
      <c r="A142" s="1">
        <v>43197.644346099536</v>
      </c>
      <c r="B142" s="2">
        <v>1973</v>
      </c>
      <c r="C142" s="2">
        <v>28</v>
      </c>
      <c r="D142" s="2">
        <v>1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1</v>
      </c>
      <c r="K142" s="2">
        <v>0</v>
      </c>
      <c r="L142" s="2" t="s">
        <v>6462</v>
      </c>
      <c r="M142" s="2" t="s">
        <v>6088</v>
      </c>
      <c r="N142" s="2"/>
    </row>
    <row r="143" spans="1:14">
      <c r="A143" s="1">
        <v>43197.664604039353</v>
      </c>
      <c r="B143" s="2">
        <v>1973</v>
      </c>
      <c r="C143" s="2">
        <v>32</v>
      </c>
      <c r="D143" s="2">
        <v>1</v>
      </c>
      <c r="E143" s="2">
        <v>0</v>
      </c>
      <c r="F143" s="2">
        <v>0</v>
      </c>
      <c r="G143" s="2">
        <v>3</v>
      </c>
      <c r="H143" s="2">
        <v>0</v>
      </c>
      <c r="I143" s="2">
        <v>0</v>
      </c>
      <c r="J143" s="2">
        <v>0</v>
      </c>
      <c r="K143" s="2">
        <v>1</v>
      </c>
      <c r="L143" s="2" t="s">
        <v>6088</v>
      </c>
      <c r="M143" s="2" t="s">
        <v>6468</v>
      </c>
      <c r="N143" s="2"/>
    </row>
    <row r="144" spans="1:14">
      <c r="A144" s="1">
        <v>43197.710379976852</v>
      </c>
      <c r="B144" s="2">
        <v>1973</v>
      </c>
      <c r="C144" s="2">
        <v>40</v>
      </c>
      <c r="D144" s="2">
        <v>1</v>
      </c>
      <c r="E144" s="2">
        <v>0</v>
      </c>
      <c r="F144" s="2">
        <v>0</v>
      </c>
      <c r="G144" s="2">
        <v>0</v>
      </c>
      <c r="H144" s="2">
        <v>1</v>
      </c>
      <c r="I144" s="2">
        <v>0</v>
      </c>
      <c r="J144" s="2">
        <v>0</v>
      </c>
      <c r="K144" s="2">
        <v>1</v>
      </c>
      <c r="L144" s="2" t="s">
        <v>6088</v>
      </c>
      <c r="M144" s="2" t="s">
        <v>6536</v>
      </c>
      <c r="N144" s="2" t="s">
        <v>6635</v>
      </c>
    </row>
    <row r="145" spans="1:14">
      <c r="A145" s="1">
        <v>43197.775299537039</v>
      </c>
      <c r="B145" s="2">
        <v>1973</v>
      </c>
      <c r="C145" s="2">
        <v>52</v>
      </c>
      <c r="D145" s="2">
        <v>1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1</v>
      </c>
      <c r="K145" s="2">
        <v>0</v>
      </c>
      <c r="L145" s="2" t="s">
        <v>6462</v>
      </c>
      <c r="M145" s="2" t="s">
        <v>6088</v>
      </c>
      <c r="N145" s="2"/>
    </row>
    <row r="146" spans="1:14">
      <c r="A146" s="1">
        <v>43197.77534857639</v>
      </c>
      <c r="B146" s="2">
        <v>1973</v>
      </c>
      <c r="C146" s="2">
        <v>52</v>
      </c>
      <c r="D146" s="2">
        <v>1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1</v>
      </c>
      <c r="K146" s="2">
        <v>0</v>
      </c>
      <c r="L146" s="2"/>
      <c r="M146" s="2" t="s">
        <v>6088</v>
      </c>
      <c r="N146" s="2"/>
    </row>
    <row r="147" spans="1:14">
      <c r="A147" s="1">
        <v>43197.490233136574</v>
      </c>
      <c r="B147" s="2">
        <v>1991</v>
      </c>
      <c r="C147" s="2">
        <v>5</v>
      </c>
      <c r="D147" s="2">
        <v>1</v>
      </c>
      <c r="E147" s="2">
        <v>0</v>
      </c>
      <c r="F147" s="2">
        <v>0</v>
      </c>
      <c r="G147" s="2">
        <v>0</v>
      </c>
      <c r="H147" s="2">
        <v>0</v>
      </c>
      <c r="I147" s="2">
        <v>2</v>
      </c>
      <c r="J147" s="2">
        <v>0</v>
      </c>
      <c r="K147" s="2">
        <v>0</v>
      </c>
      <c r="L147" s="2" t="s">
        <v>6462</v>
      </c>
      <c r="M147" s="2"/>
      <c r="N147" s="2" t="s">
        <v>6484</v>
      </c>
    </row>
    <row r="148" spans="1:14">
      <c r="A148" s="1">
        <v>43197.526491539349</v>
      </c>
      <c r="B148" s="2">
        <v>1991</v>
      </c>
      <c r="C148" s="2">
        <v>12</v>
      </c>
      <c r="D148" s="2">
        <v>1</v>
      </c>
      <c r="E148" s="2">
        <v>0</v>
      </c>
      <c r="F148" s="2">
        <v>0</v>
      </c>
      <c r="G148" s="2">
        <v>2</v>
      </c>
      <c r="H148" s="2">
        <v>0</v>
      </c>
      <c r="I148" s="2">
        <v>2</v>
      </c>
      <c r="J148" s="2">
        <v>0</v>
      </c>
      <c r="K148" s="2">
        <v>1</v>
      </c>
      <c r="L148" s="2" t="s">
        <v>6088</v>
      </c>
      <c r="M148" s="2" t="s">
        <v>6491</v>
      </c>
      <c r="N148" s="2"/>
    </row>
    <row r="149" spans="1:14">
      <c r="A149" s="1">
        <v>43197.596028148146</v>
      </c>
      <c r="B149" s="2">
        <v>1991</v>
      </c>
      <c r="C149" s="2">
        <v>19</v>
      </c>
      <c r="D149" s="2">
        <v>1</v>
      </c>
      <c r="E149" s="2">
        <v>0</v>
      </c>
      <c r="F149" s="2">
        <v>1</v>
      </c>
      <c r="G149" s="2">
        <v>0</v>
      </c>
      <c r="H149" s="2">
        <v>0</v>
      </c>
      <c r="I149" s="2">
        <v>5</v>
      </c>
      <c r="J149" s="2">
        <v>0</v>
      </c>
      <c r="K149" s="2">
        <v>1</v>
      </c>
      <c r="L149" s="2" t="s">
        <v>6490</v>
      </c>
      <c r="M149" s="2" t="s">
        <v>6525</v>
      </c>
      <c r="N149" s="2"/>
    </row>
    <row r="150" spans="1:14">
      <c r="A150" s="1">
        <v>43197.596076250004</v>
      </c>
      <c r="B150" s="2">
        <v>1991</v>
      </c>
      <c r="C150" s="2">
        <v>19</v>
      </c>
      <c r="D150" s="2">
        <v>1</v>
      </c>
      <c r="E150" s="2">
        <v>0</v>
      </c>
      <c r="F150" s="2">
        <v>1</v>
      </c>
      <c r="G150" s="2">
        <v>0</v>
      </c>
      <c r="H150" s="2">
        <v>0</v>
      </c>
      <c r="I150" s="2">
        <v>5</v>
      </c>
      <c r="J150" s="2">
        <v>0</v>
      </c>
      <c r="K150" s="2">
        <v>1</v>
      </c>
      <c r="L150" s="2" t="s">
        <v>6088</v>
      </c>
      <c r="M150" s="2" t="s">
        <v>6525</v>
      </c>
      <c r="N150" s="2" t="s">
        <v>6540</v>
      </c>
    </row>
    <row r="151" spans="1:14">
      <c r="A151" s="1">
        <v>43197.634593518516</v>
      </c>
      <c r="B151" s="2">
        <v>1991</v>
      </c>
      <c r="C151" s="2">
        <v>26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1</v>
      </c>
      <c r="L151" s="2" t="s">
        <v>6088</v>
      </c>
      <c r="M151" s="2" t="s">
        <v>6491</v>
      </c>
      <c r="N151" s="2" t="s">
        <v>6579</v>
      </c>
    </row>
    <row r="152" spans="1:14">
      <c r="A152" s="1">
        <v>43197.664740856482</v>
      </c>
      <c r="B152" s="2">
        <v>1991</v>
      </c>
      <c r="C152" s="2">
        <v>32</v>
      </c>
      <c r="D152" s="2">
        <v>1</v>
      </c>
      <c r="E152" s="2">
        <v>0</v>
      </c>
      <c r="F152" s="2">
        <v>0</v>
      </c>
      <c r="G152" s="2">
        <v>3</v>
      </c>
      <c r="H152" s="2">
        <v>0</v>
      </c>
      <c r="I152" s="2">
        <v>0</v>
      </c>
      <c r="J152" s="2">
        <v>0</v>
      </c>
      <c r="K152" s="2">
        <v>1</v>
      </c>
      <c r="L152" s="2" t="s">
        <v>6088</v>
      </c>
      <c r="M152" s="2" t="s">
        <v>6491</v>
      </c>
      <c r="N152" s="2"/>
    </row>
    <row r="153" spans="1:14">
      <c r="A153" s="1">
        <v>43197.689738425928</v>
      </c>
      <c r="B153" s="2">
        <v>1991</v>
      </c>
      <c r="C153" s="2">
        <v>37</v>
      </c>
      <c r="D153" s="2">
        <v>1</v>
      </c>
      <c r="E153" s="2">
        <v>1</v>
      </c>
      <c r="F153" s="2">
        <v>0</v>
      </c>
      <c r="G153" s="2">
        <v>1</v>
      </c>
      <c r="H153" s="2">
        <v>0</v>
      </c>
      <c r="I153" s="2">
        <v>3</v>
      </c>
      <c r="J153" s="2">
        <v>0</v>
      </c>
      <c r="K153" s="2">
        <v>0</v>
      </c>
      <c r="L153" s="2"/>
      <c r="M153" s="2" t="s">
        <v>6467</v>
      </c>
      <c r="N153" s="2" t="s">
        <v>6629</v>
      </c>
    </row>
    <row r="154" spans="1:14">
      <c r="A154" s="1">
        <v>43197.724883831019</v>
      </c>
      <c r="B154" s="2">
        <v>1991</v>
      </c>
      <c r="C154" s="2">
        <v>43</v>
      </c>
      <c r="D154" s="2">
        <v>1</v>
      </c>
      <c r="E154" s="2">
        <v>0</v>
      </c>
      <c r="F154" s="2">
        <v>1</v>
      </c>
      <c r="G154" s="2">
        <v>0</v>
      </c>
      <c r="H154" s="2">
        <v>0</v>
      </c>
      <c r="I154" s="2">
        <v>0</v>
      </c>
      <c r="J154" s="2">
        <v>0</v>
      </c>
      <c r="K154" s="2">
        <v>1</v>
      </c>
      <c r="L154" s="2" t="s">
        <v>6088</v>
      </c>
      <c r="M154" s="2" t="s">
        <v>6491</v>
      </c>
      <c r="N154" s="2" t="s">
        <v>6644</v>
      </c>
    </row>
    <row r="155" spans="1:14">
      <c r="A155" s="1">
        <v>43197.787771585645</v>
      </c>
      <c r="B155" s="2">
        <v>1991</v>
      </c>
      <c r="C155" s="2">
        <v>53</v>
      </c>
      <c r="D155" s="2">
        <v>1</v>
      </c>
      <c r="E155" s="2">
        <v>0</v>
      </c>
      <c r="F155" s="2">
        <v>0</v>
      </c>
      <c r="G155" s="2">
        <v>1</v>
      </c>
      <c r="H155" s="2">
        <v>2</v>
      </c>
      <c r="I155" s="2">
        <v>1</v>
      </c>
      <c r="J155" s="2">
        <v>0</v>
      </c>
      <c r="K155" s="2">
        <v>1</v>
      </c>
      <c r="L155" s="2" t="s">
        <v>6088</v>
      </c>
      <c r="M155" s="2" t="s">
        <v>6467</v>
      </c>
      <c r="N155" s="2"/>
    </row>
    <row r="156" spans="1:14">
      <c r="A156" s="1">
        <v>43197.471268333335</v>
      </c>
      <c r="B156" s="2">
        <v>2064</v>
      </c>
      <c r="C156" s="2">
        <v>2</v>
      </c>
      <c r="D156" s="2">
        <v>1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3</v>
      </c>
      <c r="K156" s="2">
        <v>1</v>
      </c>
      <c r="L156" s="2" t="s">
        <v>6088</v>
      </c>
      <c r="M156" s="2" t="s">
        <v>6088</v>
      </c>
      <c r="N156" s="2"/>
    </row>
    <row r="157" spans="1:14">
      <c r="A157" s="1">
        <v>43197.47145863426</v>
      </c>
      <c r="B157" s="2">
        <v>2064</v>
      </c>
      <c r="C157" s="2">
        <v>2</v>
      </c>
      <c r="D157" s="2">
        <v>1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4</v>
      </c>
      <c r="K157" s="2">
        <v>1</v>
      </c>
      <c r="L157" s="2" t="s">
        <v>6462</v>
      </c>
      <c r="M157" s="2" t="s">
        <v>6468</v>
      </c>
      <c r="N157" s="2" t="s">
        <v>6469</v>
      </c>
    </row>
    <row r="158" spans="1:14">
      <c r="A158" s="1">
        <v>43197.471554583331</v>
      </c>
      <c r="B158" s="2">
        <v>2064</v>
      </c>
      <c r="C158" s="2">
        <v>2</v>
      </c>
      <c r="D158" s="2">
        <v>1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3</v>
      </c>
      <c r="K158" s="2">
        <v>1</v>
      </c>
      <c r="L158" s="2" t="s">
        <v>6088</v>
      </c>
      <c r="M158" s="2" t="s">
        <v>6088</v>
      </c>
      <c r="N158" s="2"/>
    </row>
    <row r="159" spans="1:14">
      <c r="A159" s="1">
        <v>43197.510907881944</v>
      </c>
      <c r="B159" s="2">
        <v>2064</v>
      </c>
      <c r="C159" s="2">
        <v>9</v>
      </c>
      <c r="D159" s="2">
        <v>1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9</v>
      </c>
      <c r="K159" s="2">
        <v>0</v>
      </c>
      <c r="L159" s="2" t="s">
        <v>12</v>
      </c>
      <c r="M159" s="2" t="s">
        <v>6491</v>
      </c>
      <c r="N159" s="2" t="s">
        <v>6499</v>
      </c>
    </row>
    <row r="160" spans="1:14">
      <c r="A160" s="1">
        <v>43197.546973194447</v>
      </c>
      <c r="B160" s="2">
        <v>2064</v>
      </c>
      <c r="C160" s="2">
        <v>16</v>
      </c>
      <c r="D160" s="2">
        <v>0</v>
      </c>
      <c r="E160" s="2">
        <v>0</v>
      </c>
      <c r="F160" s="2">
        <v>0</v>
      </c>
      <c r="G160" s="2">
        <v>1</v>
      </c>
      <c r="H160" s="2">
        <v>0</v>
      </c>
      <c r="I160" s="2">
        <v>0</v>
      </c>
      <c r="J160" s="2">
        <v>6</v>
      </c>
      <c r="K160" s="2">
        <v>0</v>
      </c>
      <c r="L160" s="2" t="s">
        <v>6462</v>
      </c>
      <c r="M160" s="2" t="s">
        <v>6482</v>
      </c>
      <c r="N160" s="2"/>
    </row>
    <row r="161" spans="1:14">
      <c r="A161" s="1">
        <v>43197.606487106481</v>
      </c>
      <c r="B161" s="2">
        <v>2064</v>
      </c>
      <c r="C161" s="2">
        <v>21</v>
      </c>
      <c r="D161" s="2">
        <v>1</v>
      </c>
      <c r="E161" s="2">
        <v>1</v>
      </c>
      <c r="F161" s="2">
        <v>0</v>
      </c>
      <c r="G161" s="2">
        <v>0</v>
      </c>
      <c r="H161" s="2">
        <v>0</v>
      </c>
      <c r="I161" s="2">
        <v>0</v>
      </c>
      <c r="J161" s="2">
        <v>8</v>
      </c>
      <c r="K161" s="2">
        <v>1</v>
      </c>
      <c r="L161" s="2" t="s">
        <v>6088</v>
      </c>
      <c r="M161" s="2" t="s">
        <v>6491</v>
      </c>
      <c r="N161" s="2"/>
    </row>
    <row r="162" spans="1:14">
      <c r="A162" s="1">
        <v>43197.674782430557</v>
      </c>
      <c r="B162" s="2">
        <v>2064</v>
      </c>
      <c r="C162" s="2">
        <v>34</v>
      </c>
      <c r="D162" s="2">
        <v>1</v>
      </c>
      <c r="E162" s="2">
        <v>1</v>
      </c>
      <c r="F162" s="2">
        <v>0</v>
      </c>
      <c r="G162" s="2">
        <v>0</v>
      </c>
      <c r="H162" s="2">
        <v>0</v>
      </c>
      <c r="I162" s="2">
        <v>0</v>
      </c>
      <c r="J162" s="2">
        <v>9</v>
      </c>
      <c r="K162" s="2">
        <v>1</v>
      </c>
      <c r="L162" s="2" t="s">
        <v>6088</v>
      </c>
      <c r="M162" s="2" t="s">
        <v>6491</v>
      </c>
      <c r="N162" s="2" t="s">
        <v>6601</v>
      </c>
    </row>
    <row r="163" spans="1:14">
      <c r="A163" s="1">
        <v>43197.689909143519</v>
      </c>
      <c r="B163" s="2">
        <v>2064</v>
      </c>
      <c r="C163" s="2">
        <v>37</v>
      </c>
      <c r="D163" s="2">
        <v>1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4</v>
      </c>
      <c r="K163" s="2">
        <v>0</v>
      </c>
      <c r="L163" s="2" t="s">
        <v>6462</v>
      </c>
      <c r="M163" s="2" t="s">
        <v>6491</v>
      </c>
      <c r="N163" s="2"/>
    </row>
    <row r="164" spans="1:14">
      <c r="A164" s="1">
        <v>43197.754286053241</v>
      </c>
      <c r="B164" s="2">
        <v>2064</v>
      </c>
      <c r="C164" s="2">
        <v>48</v>
      </c>
      <c r="D164" s="2">
        <v>1</v>
      </c>
      <c r="E164" s="2">
        <v>1</v>
      </c>
      <c r="F164" s="2">
        <v>0</v>
      </c>
      <c r="G164" s="2">
        <v>1</v>
      </c>
      <c r="H164" s="2">
        <v>0</v>
      </c>
      <c r="I164" s="2">
        <v>4</v>
      </c>
      <c r="J164" s="2">
        <v>1</v>
      </c>
      <c r="K164" s="2">
        <v>1</v>
      </c>
      <c r="L164" s="2" t="s">
        <v>6088</v>
      </c>
      <c r="M164" s="2" t="s">
        <v>6582</v>
      </c>
      <c r="N164" s="2"/>
    </row>
    <row r="165" spans="1:14">
      <c r="A165" s="1">
        <v>43197.754980324076</v>
      </c>
      <c r="B165" s="2">
        <v>2064</v>
      </c>
      <c r="C165" s="2">
        <v>48</v>
      </c>
      <c r="D165" s="2">
        <v>1</v>
      </c>
      <c r="E165" s="2">
        <v>1</v>
      </c>
      <c r="F165" s="2">
        <v>0</v>
      </c>
      <c r="G165" s="2">
        <v>0</v>
      </c>
      <c r="H165" s="2">
        <v>0</v>
      </c>
      <c r="I165" s="2">
        <v>5</v>
      </c>
      <c r="J165" s="2">
        <v>0</v>
      </c>
      <c r="K165" s="2">
        <v>0</v>
      </c>
      <c r="L165" s="2"/>
      <c r="M165" s="2" t="s">
        <v>6582</v>
      </c>
      <c r="N165" s="2"/>
    </row>
    <row r="166" spans="1:14">
      <c r="A166" s="1">
        <v>43197.780781481481</v>
      </c>
      <c r="B166" s="2">
        <v>2064</v>
      </c>
      <c r="C166" s="2">
        <v>53</v>
      </c>
      <c r="D166" s="2">
        <v>1</v>
      </c>
      <c r="E166" s="2">
        <v>1</v>
      </c>
      <c r="F166" s="2">
        <v>0</v>
      </c>
      <c r="G166" s="2">
        <v>1</v>
      </c>
      <c r="H166" s="2">
        <v>0</v>
      </c>
      <c r="I166" s="2">
        <v>4</v>
      </c>
      <c r="J166" s="2">
        <v>0</v>
      </c>
      <c r="K166" s="2">
        <v>1</v>
      </c>
      <c r="L166" s="2" t="s">
        <v>6088</v>
      </c>
      <c r="M166" s="2" t="s">
        <v>6688</v>
      </c>
      <c r="N166" s="2"/>
    </row>
    <row r="167" spans="1:14">
      <c r="A167" s="1">
        <v>43197.464199629627</v>
      </c>
      <c r="B167" s="2">
        <v>2067</v>
      </c>
      <c r="C167" s="2">
        <v>1</v>
      </c>
      <c r="D167" s="2">
        <v>1</v>
      </c>
      <c r="E167" s="2">
        <v>0</v>
      </c>
      <c r="F167" s="2">
        <v>1</v>
      </c>
      <c r="G167" s="2">
        <v>0</v>
      </c>
      <c r="H167" s="2">
        <v>3</v>
      </c>
      <c r="I167" s="2">
        <v>5</v>
      </c>
      <c r="J167" s="2">
        <v>0</v>
      </c>
      <c r="K167" s="2">
        <v>1</v>
      </c>
      <c r="L167" s="2" t="s">
        <v>12</v>
      </c>
      <c r="M167" s="2" t="s">
        <v>6088</v>
      </c>
      <c r="N167" s="2" t="s">
        <v>6466</v>
      </c>
    </row>
    <row r="168" spans="1:14">
      <c r="A168" s="1">
        <v>43197.510987465277</v>
      </c>
      <c r="B168" s="2">
        <v>2067</v>
      </c>
      <c r="C168" s="2">
        <v>9</v>
      </c>
      <c r="D168" s="2">
        <v>1</v>
      </c>
      <c r="E168" s="2">
        <v>0</v>
      </c>
      <c r="F168" s="2">
        <v>0</v>
      </c>
      <c r="G168" s="2">
        <v>0</v>
      </c>
      <c r="H168" s="2">
        <v>0</v>
      </c>
      <c r="I168" s="2">
        <v>2</v>
      </c>
      <c r="J168" s="2">
        <v>1</v>
      </c>
      <c r="K168" s="2">
        <v>1</v>
      </c>
      <c r="L168" s="2" t="s">
        <v>6088</v>
      </c>
      <c r="M168" s="2" t="s">
        <v>6491</v>
      </c>
      <c r="N168" s="2" t="s">
        <v>6500</v>
      </c>
    </row>
    <row r="169" spans="1:14">
      <c r="A169" s="1">
        <v>43197.639705358793</v>
      </c>
      <c r="B169" s="2">
        <v>2067</v>
      </c>
      <c r="C169" s="2">
        <v>27</v>
      </c>
      <c r="D169" s="2">
        <v>1</v>
      </c>
      <c r="E169" s="2">
        <v>0</v>
      </c>
      <c r="F169" s="2">
        <v>0</v>
      </c>
      <c r="G169" s="2">
        <v>1</v>
      </c>
      <c r="H169" s="2">
        <v>1</v>
      </c>
      <c r="I169" s="2">
        <v>3</v>
      </c>
      <c r="J169" s="2">
        <v>0</v>
      </c>
      <c r="K169" s="2">
        <v>0</v>
      </c>
      <c r="L169" s="2" t="s">
        <v>12</v>
      </c>
      <c r="M169" s="2" t="s">
        <v>6479</v>
      </c>
      <c r="N169" s="2" t="s">
        <v>6583</v>
      </c>
    </row>
    <row r="170" spans="1:14">
      <c r="A170" s="1">
        <v>43197.670149074074</v>
      </c>
      <c r="B170" s="2">
        <v>2067</v>
      </c>
      <c r="C170" s="2">
        <v>33</v>
      </c>
      <c r="D170" s="2">
        <v>1</v>
      </c>
      <c r="E170" s="2">
        <v>1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1</v>
      </c>
      <c r="L170" s="2" t="s">
        <v>12</v>
      </c>
      <c r="M170" s="2"/>
      <c r="N170" s="2" t="s">
        <v>6542</v>
      </c>
    </row>
    <row r="171" spans="1:14">
      <c r="A171" s="1">
        <v>43197.70538028935</v>
      </c>
      <c r="B171" s="2">
        <v>2067</v>
      </c>
      <c r="C171" s="2">
        <v>39</v>
      </c>
      <c r="D171" s="2">
        <v>0</v>
      </c>
      <c r="E171" s="2">
        <v>1</v>
      </c>
      <c r="F171" s="2">
        <v>0</v>
      </c>
      <c r="G171" s="2">
        <v>2</v>
      </c>
      <c r="H171" s="2">
        <v>3</v>
      </c>
      <c r="I171" s="2">
        <v>3</v>
      </c>
      <c r="J171" s="2">
        <v>9</v>
      </c>
      <c r="K171" s="2">
        <v>0</v>
      </c>
      <c r="L171" s="2" t="s">
        <v>6462</v>
      </c>
      <c r="M171" s="2" t="s">
        <v>6491</v>
      </c>
      <c r="N171" s="2"/>
    </row>
    <row r="172" spans="1:14">
      <c r="A172" s="1">
        <v>43197.787793020834</v>
      </c>
      <c r="B172" s="2">
        <v>2067</v>
      </c>
      <c r="C172" s="2">
        <v>54</v>
      </c>
      <c r="D172" s="2">
        <v>1</v>
      </c>
      <c r="E172" s="2">
        <v>1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1</v>
      </c>
      <c r="L172" s="2" t="s">
        <v>6088</v>
      </c>
      <c r="M172" s="2" t="s">
        <v>6467</v>
      </c>
      <c r="N172" s="2" t="s">
        <v>6693</v>
      </c>
    </row>
    <row r="173" spans="1:14">
      <c r="A173" s="1">
        <v>43197.501434490739</v>
      </c>
      <c r="B173" s="2">
        <v>2170</v>
      </c>
      <c r="C173" s="2">
        <v>7</v>
      </c>
      <c r="D173" s="2">
        <v>1</v>
      </c>
      <c r="E173" s="2">
        <v>1</v>
      </c>
      <c r="F173" s="2">
        <v>0</v>
      </c>
      <c r="G173" s="2">
        <v>0</v>
      </c>
      <c r="H173" s="2">
        <v>2</v>
      </c>
      <c r="I173" s="2">
        <v>0</v>
      </c>
      <c r="J173" s="2">
        <v>9</v>
      </c>
      <c r="K173" s="2">
        <v>0</v>
      </c>
      <c r="L173" s="2" t="s">
        <v>6462</v>
      </c>
      <c r="M173" s="2" t="s">
        <v>6491</v>
      </c>
      <c r="N173" s="2"/>
    </row>
    <row r="174" spans="1:14">
      <c r="A174" s="1">
        <v>43197.639478923615</v>
      </c>
      <c r="B174" s="2">
        <v>2170</v>
      </c>
      <c r="C174" s="2">
        <v>27</v>
      </c>
      <c r="D174" s="2">
        <v>1</v>
      </c>
      <c r="E174" s="2">
        <v>1</v>
      </c>
      <c r="F174" s="2">
        <v>0</v>
      </c>
      <c r="G174" s="2">
        <v>7</v>
      </c>
      <c r="H174" s="2">
        <v>0</v>
      </c>
      <c r="I174" s="2">
        <v>0</v>
      </c>
      <c r="J174" s="2">
        <v>4</v>
      </c>
      <c r="K174" s="2">
        <v>0</v>
      </c>
      <c r="L174" s="2" t="s">
        <v>6462</v>
      </c>
      <c r="M174" s="2" t="s">
        <v>6467</v>
      </c>
      <c r="N174" s="2"/>
    </row>
    <row r="175" spans="1:14">
      <c r="A175" s="1">
        <v>43197.659658935183</v>
      </c>
      <c r="B175" s="2">
        <v>2170</v>
      </c>
      <c r="C175" s="2">
        <v>31</v>
      </c>
      <c r="D175" s="2">
        <v>1</v>
      </c>
      <c r="E175" s="2">
        <v>1</v>
      </c>
      <c r="F175" s="2">
        <v>0</v>
      </c>
      <c r="G175" s="2">
        <v>4</v>
      </c>
      <c r="H175" s="2">
        <v>5</v>
      </c>
      <c r="I175" s="2">
        <v>3</v>
      </c>
      <c r="J175" s="2">
        <v>7</v>
      </c>
      <c r="K175" s="2">
        <v>0</v>
      </c>
      <c r="L175" s="2" t="s">
        <v>6462</v>
      </c>
      <c r="M175" s="2" t="s">
        <v>6512</v>
      </c>
      <c r="N175" s="2"/>
    </row>
    <row r="176" spans="1:14">
      <c r="A176" s="1">
        <v>43197.710209710647</v>
      </c>
      <c r="B176" s="2">
        <v>2170</v>
      </c>
      <c r="C176" s="2">
        <v>40</v>
      </c>
      <c r="D176" s="2">
        <v>1</v>
      </c>
      <c r="E176" s="2">
        <v>1</v>
      </c>
      <c r="F176" s="2">
        <v>0</v>
      </c>
      <c r="G176" s="2">
        <v>2</v>
      </c>
      <c r="H176" s="2">
        <v>0</v>
      </c>
      <c r="I176" s="2">
        <v>0</v>
      </c>
      <c r="J176" s="2">
        <v>8</v>
      </c>
      <c r="K176" s="2">
        <v>0</v>
      </c>
      <c r="L176" s="2" t="s">
        <v>6462</v>
      </c>
      <c r="M176" s="2" t="s">
        <v>6512</v>
      </c>
      <c r="N176" s="2"/>
    </row>
    <row r="177" spans="1:14">
      <c r="A177" s="1">
        <v>43197.769862962959</v>
      </c>
      <c r="B177" s="2">
        <v>2170</v>
      </c>
      <c r="C177" s="2">
        <v>51</v>
      </c>
      <c r="D177" s="2">
        <v>1</v>
      </c>
      <c r="E177" s="2">
        <v>1</v>
      </c>
      <c r="F177" s="2">
        <v>0</v>
      </c>
      <c r="G177" s="2">
        <v>0</v>
      </c>
      <c r="H177" s="2">
        <v>3</v>
      </c>
      <c r="I177" s="2">
        <v>0</v>
      </c>
      <c r="J177" s="2">
        <v>7</v>
      </c>
      <c r="K177" s="2">
        <v>1</v>
      </c>
      <c r="L177" s="2" t="s">
        <v>6088</v>
      </c>
      <c r="M177" s="2" t="s">
        <v>6640</v>
      </c>
      <c r="N177" s="2" t="s">
        <v>6685</v>
      </c>
    </row>
    <row r="178" spans="1:14">
      <c r="A178" s="1">
        <v>43197.501666759257</v>
      </c>
      <c r="B178" s="2">
        <v>2785</v>
      </c>
      <c r="C178" s="2">
        <v>7</v>
      </c>
      <c r="D178" s="2">
        <v>1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 t="s">
        <v>6462</v>
      </c>
      <c r="M178" s="2" t="s">
        <v>6491</v>
      </c>
      <c r="N178" s="2" t="s">
        <v>6494</v>
      </c>
    </row>
    <row r="179" spans="1:14">
      <c r="A179" s="1">
        <v>43197.520835069445</v>
      </c>
      <c r="B179" s="2">
        <v>2785</v>
      </c>
      <c r="C179" s="2">
        <v>11</v>
      </c>
      <c r="D179" s="2">
        <v>1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5</v>
      </c>
      <c r="K179" s="2">
        <v>1</v>
      </c>
      <c r="L179" s="2" t="s">
        <v>6088</v>
      </c>
      <c r="M179" s="2" t="s">
        <v>6468</v>
      </c>
      <c r="N179" s="2"/>
    </row>
    <row r="180" spans="1:14">
      <c r="A180" s="1">
        <v>43197.590345104167</v>
      </c>
      <c r="B180" s="2">
        <v>2785</v>
      </c>
      <c r="C180" s="2">
        <v>18</v>
      </c>
      <c r="D180" s="2">
        <v>1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2</v>
      </c>
      <c r="K180" s="2">
        <v>1</v>
      </c>
      <c r="L180" s="2" t="s">
        <v>6490</v>
      </c>
      <c r="M180" s="2" t="s">
        <v>6479</v>
      </c>
      <c r="N180" s="2" t="s">
        <v>6534</v>
      </c>
    </row>
    <row r="181" spans="1:14">
      <c r="A181" s="1">
        <v>43197.606563900466</v>
      </c>
      <c r="B181" s="2">
        <v>2785</v>
      </c>
      <c r="C181" s="2">
        <v>21</v>
      </c>
      <c r="D181" s="2">
        <v>1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 t="s">
        <v>6462</v>
      </c>
      <c r="M181" s="2"/>
      <c r="N181" s="2" t="s">
        <v>6564</v>
      </c>
    </row>
    <row r="182" spans="1:14">
      <c r="A182" s="1">
        <v>43197.649446203701</v>
      </c>
      <c r="B182" s="2">
        <v>2785</v>
      </c>
      <c r="C182" s="2">
        <v>29</v>
      </c>
      <c r="D182" s="2">
        <v>1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3</v>
      </c>
      <c r="K182" s="2">
        <v>0</v>
      </c>
      <c r="L182" s="2" t="s">
        <v>6462</v>
      </c>
      <c r="M182" s="2" t="s">
        <v>6088</v>
      </c>
      <c r="N182" s="2" t="s">
        <v>6589</v>
      </c>
    </row>
    <row r="183" spans="1:14">
      <c r="A183" s="1">
        <v>43197.684873252314</v>
      </c>
      <c r="B183" s="2">
        <v>2785</v>
      </c>
      <c r="C183" s="2">
        <v>36</v>
      </c>
      <c r="D183" s="2">
        <v>1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2</v>
      </c>
      <c r="K183" s="2">
        <v>0</v>
      </c>
      <c r="L183" s="2" t="s">
        <v>6462</v>
      </c>
      <c r="M183" s="2"/>
      <c r="N183" s="2"/>
    </row>
    <row r="184" spans="1:14">
      <c r="A184" s="1">
        <v>43197.735172141205</v>
      </c>
      <c r="B184" s="2">
        <v>2785</v>
      </c>
      <c r="C184" s="2">
        <v>45</v>
      </c>
      <c r="D184" s="2">
        <v>1</v>
      </c>
      <c r="E184" s="2">
        <v>0</v>
      </c>
      <c r="F184" s="2">
        <v>0</v>
      </c>
      <c r="G184" s="2">
        <v>0</v>
      </c>
      <c r="H184" s="2">
        <v>1</v>
      </c>
      <c r="I184" s="2">
        <v>0</v>
      </c>
      <c r="J184" s="2">
        <v>2</v>
      </c>
      <c r="K184" s="2">
        <v>1</v>
      </c>
      <c r="L184" s="2" t="s">
        <v>6088</v>
      </c>
      <c r="M184" s="2" t="s">
        <v>6649</v>
      </c>
      <c r="N184" s="2" t="s">
        <v>6650</v>
      </c>
    </row>
    <row r="185" spans="1:14">
      <c r="A185" s="1">
        <v>43197.760152187497</v>
      </c>
      <c r="B185" s="2">
        <v>2785</v>
      </c>
      <c r="C185" s="2">
        <v>49</v>
      </c>
      <c r="D185" s="2">
        <v>1</v>
      </c>
      <c r="E185" s="2">
        <v>0</v>
      </c>
      <c r="F185" s="2">
        <v>0</v>
      </c>
      <c r="G185" s="2">
        <v>2</v>
      </c>
      <c r="H185" s="2">
        <v>0</v>
      </c>
      <c r="I185" s="2">
        <v>0</v>
      </c>
      <c r="J185" s="2">
        <v>1</v>
      </c>
      <c r="K185" s="2">
        <v>1</v>
      </c>
      <c r="L185" s="2" t="s">
        <v>6088</v>
      </c>
      <c r="M185" s="2" t="s">
        <v>6231</v>
      </c>
      <c r="N185" s="2" t="s">
        <v>6661</v>
      </c>
    </row>
    <row r="186" spans="1:14">
      <c r="A186" s="1">
        <v>43197.496560671294</v>
      </c>
      <c r="B186" s="2">
        <v>2836</v>
      </c>
      <c r="C186" s="2">
        <v>6</v>
      </c>
      <c r="D186" s="2">
        <v>1</v>
      </c>
      <c r="E186" s="2">
        <v>1</v>
      </c>
      <c r="F186" s="2">
        <v>0</v>
      </c>
      <c r="G186" s="2">
        <v>5</v>
      </c>
      <c r="H186" s="2">
        <v>0</v>
      </c>
      <c r="I186" s="2">
        <v>0</v>
      </c>
      <c r="J186" s="2">
        <v>3</v>
      </c>
      <c r="K186" s="2">
        <v>1</v>
      </c>
      <c r="L186" s="2" t="s">
        <v>12</v>
      </c>
      <c r="M186" s="2" t="s">
        <v>6487</v>
      </c>
      <c r="N186" s="2"/>
    </row>
    <row r="187" spans="1:14">
      <c r="A187" s="1">
        <v>43197.536408391206</v>
      </c>
      <c r="B187" s="2">
        <v>2836</v>
      </c>
      <c r="C187" s="2">
        <v>14</v>
      </c>
      <c r="D187" s="2">
        <v>1</v>
      </c>
      <c r="E187" s="2">
        <v>0</v>
      </c>
      <c r="F187" s="2">
        <v>0</v>
      </c>
      <c r="G187" s="2">
        <v>1</v>
      </c>
      <c r="H187" s="2">
        <v>0</v>
      </c>
      <c r="I187" s="2">
        <v>0</v>
      </c>
      <c r="J187" s="2">
        <v>0</v>
      </c>
      <c r="K187" s="2">
        <v>1</v>
      </c>
      <c r="L187" s="2" t="s">
        <v>12</v>
      </c>
      <c r="M187" s="2" t="s">
        <v>6491</v>
      </c>
      <c r="N187" s="2" t="s">
        <v>6524</v>
      </c>
    </row>
    <row r="188" spans="1:14">
      <c r="A188" s="1">
        <v>43197.595838912035</v>
      </c>
      <c r="B188" s="2">
        <v>2836</v>
      </c>
      <c r="C188" s="2">
        <v>19</v>
      </c>
      <c r="D188" s="2">
        <v>1</v>
      </c>
      <c r="E188" s="2">
        <v>0</v>
      </c>
      <c r="F188" s="2">
        <v>0</v>
      </c>
      <c r="G188" s="2">
        <v>3</v>
      </c>
      <c r="H188" s="2">
        <v>0</v>
      </c>
      <c r="I188" s="2">
        <v>3</v>
      </c>
      <c r="J188" s="2">
        <v>0</v>
      </c>
      <c r="K188" s="2">
        <v>1</v>
      </c>
      <c r="L188" s="2" t="s">
        <v>6088</v>
      </c>
      <c r="M188" s="2" t="s">
        <v>6479</v>
      </c>
      <c r="N188" s="2"/>
    </row>
    <row r="189" spans="1:14">
      <c r="A189" s="1">
        <v>43197.612208379629</v>
      </c>
      <c r="B189" s="2">
        <v>2836</v>
      </c>
      <c r="C189" s="2">
        <v>22</v>
      </c>
      <c r="D189" s="2">
        <v>1</v>
      </c>
      <c r="E189" s="2">
        <v>0</v>
      </c>
      <c r="F189" s="2">
        <v>0</v>
      </c>
      <c r="G189" s="2">
        <v>1</v>
      </c>
      <c r="H189" s="2">
        <v>0</v>
      </c>
      <c r="I189" s="2">
        <v>2</v>
      </c>
      <c r="J189" s="2">
        <v>0</v>
      </c>
      <c r="K189" s="2">
        <v>0</v>
      </c>
      <c r="L189" s="2" t="s">
        <v>12</v>
      </c>
      <c r="M189" s="2" t="s">
        <v>6088</v>
      </c>
      <c r="N189" s="2" t="s">
        <v>6567</v>
      </c>
    </row>
    <row r="190" spans="1:14">
      <c r="A190" s="1">
        <v>43197.669909687502</v>
      </c>
      <c r="B190" s="2">
        <v>2836</v>
      </c>
      <c r="C190" s="2">
        <v>33</v>
      </c>
      <c r="D190" s="2">
        <v>1</v>
      </c>
      <c r="E190" s="2">
        <v>0</v>
      </c>
      <c r="F190" s="2">
        <v>0</v>
      </c>
      <c r="G190" s="2">
        <v>0</v>
      </c>
      <c r="H190" s="2">
        <v>4</v>
      </c>
      <c r="I190" s="2">
        <v>0</v>
      </c>
      <c r="J190" s="2">
        <v>0</v>
      </c>
      <c r="K190" s="2">
        <v>0</v>
      </c>
      <c r="L190" s="2" t="s">
        <v>6462</v>
      </c>
      <c r="M190" s="2" t="s">
        <v>6479</v>
      </c>
      <c r="N190" s="2" t="s">
        <v>6599</v>
      </c>
    </row>
    <row r="191" spans="1:14">
      <c r="A191" s="1">
        <v>43197.781271944441</v>
      </c>
      <c r="B191" s="2">
        <v>2838</v>
      </c>
      <c r="C191" s="2">
        <v>53</v>
      </c>
      <c r="D191" s="2">
        <v>1</v>
      </c>
      <c r="E191" s="2">
        <v>1</v>
      </c>
      <c r="F191" s="2">
        <v>0</v>
      </c>
      <c r="G191" s="2">
        <v>0</v>
      </c>
      <c r="H191" s="2">
        <v>0</v>
      </c>
      <c r="I191" s="2">
        <v>3</v>
      </c>
      <c r="J191" s="2">
        <v>0</v>
      </c>
      <c r="K191" s="2">
        <v>1</v>
      </c>
      <c r="L191" s="2" t="s">
        <v>6088</v>
      </c>
      <c r="M191" s="2" t="s">
        <v>6689</v>
      </c>
      <c r="N191" s="2" t="s">
        <v>6690</v>
      </c>
    </row>
    <row r="192" spans="1:14">
      <c r="A192" s="1">
        <v>43197.482159282408</v>
      </c>
      <c r="B192" s="2">
        <v>3146</v>
      </c>
      <c r="C192" s="2">
        <v>4</v>
      </c>
      <c r="D192" s="2">
        <v>1</v>
      </c>
      <c r="E192" s="2">
        <v>1</v>
      </c>
      <c r="F192" s="2">
        <v>0</v>
      </c>
      <c r="G192" s="2">
        <v>2</v>
      </c>
      <c r="H192" s="2">
        <v>2</v>
      </c>
      <c r="I192" s="2">
        <v>0</v>
      </c>
      <c r="J192" s="2">
        <v>2</v>
      </c>
      <c r="K192" s="2">
        <v>1</v>
      </c>
      <c r="L192" s="2" t="s">
        <v>12</v>
      </c>
      <c r="M192" s="2" t="s">
        <v>6478</v>
      </c>
      <c r="N192" s="2"/>
    </row>
    <row r="193" spans="1:14">
      <c r="A193" s="1">
        <v>43197.629270219906</v>
      </c>
      <c r="B193" s="2">
        <v>3146</v>
      </c>
      <c r="C193" s="2">
        <v>25</v>
      </c>
      <c r="D193" s="2">
        <v>1</v>
      </c>
      <c r="E193" s="2">
        <v>0</v>
      </c>
      <c r="F193" s="2">
        <v>0</v>
      </c>
      <c r="G193" s="2">
        <v>2</v>
      </c>
      <c r="H193" s="2">
        <v>1</v>
      </c>
      <c r="I193" s="2">
        <v>0</v>
      </c>
      <c r="J193" s="2">
        <v>3</v>
      </c>
      <c r="K193" s="2">
        <v>0</v>
      </c>
      <c r="L193" s="2" t="s">
        <v>6462</v>
      </c>
      <c r="M193" s="2" t="s">
        <v>6231</v>
      </c>
      <c r="N193" s="2"/>
    </row>
    <row r="194" spans="1:14">
      <c r="A194" s="1">
        <v>43197.665218217589</v>
      </c>
      <c r="B194" s="2">
        <v>3146</v>
      </c>
      <c r="C194" s="2">
        <v>32</v>
      </c>
      <c r="D194" s="2">
        <v>1</v>
      </c>
      <c r="E194" s="2">
        <v>0</v>
      </c>
      <c r="F194" s="2">
        <v>0</v>
      </c>
      <c r="G194" s="2">
        <v>3</v>
      </c>
      <c r="H194" s="2">
        <v>0</v>
      </c>
      <c r="I194" s="2">
        <v>0</v>
      </c>
      <c r="J194" s="2">
        <v>8</v>
      </c>
      <c r="K194" s="2">
        <v>1</v>
      </c>
      <c r="L194" s="2" t="s">
        <v>12</v>
      </c>
      <c r="M194" s="2" t="s">
        <v>6231</v>
      </c>
      <c r="N194" s="2"/>
    </row>
    <row r="195" spans="1:14">
      <c r="A195" s="1">
        <v>43197.689623379629</v>
      </c>
      <c r="B195" s="2">
        <v>3146</v>
      </c>
      <c r="C195" s="2">
        <v>36</v>
      </c>
      <c r="D195" s="2">
        <v>1</v>
      </c>
      <c r="E195" s="2">
        <v>1</v>
      </c>
      <c r="F195" s="2">
        <v>0</v>
      </c>
      <c r="G195" s="2">
        <v>1</v>
      </c>
      <c r="H195" s="2">
        <v>1</v>
      </c>
      <c r="I195" s="2">
        <v>0</v>
      </c>
      <c r="J195" s="2">
        <v>0</v>
      </c>
      <c r="K195" s="2">
        <v>1</v>
      </c>
      <c r="L195" s="2" t="s">
        <v>6490</v>
      </c>
      <c r="M195" s="2" t="s">
        <v>6491</v>
      </c>
      <c r="N195" s="2"/>
    </row>
    <row r="196" spans="1:14">
      <c r="A196" s="1">
        <v>43197.759755451392</v>
      </c>
      <c r="B196" s="2">
        <v>3146</v>
      </c>
      <c r="C196" s="2">
        <v>49</v>
      </c>
      <c r="D196" s="2">
        <v>0</v>
      </c>
      <c r="E196" s="2">
        <v>0</v>
      </c>
      <c r="F196" s="2">
        <v>0</v>
      </c>
      <c r="G196" s="2">
        <v>1</v>
      </c>
      <c r="H196" s="2">
        <v>0</v>
      </c>
      <c r="I196" s="2">
        <v>0</v>
      </c>
      <c r="J196" s="2">
        <v>8</v>
      </c>
      <c r="K196" s="2">
        <v>1</v>
      </c>
      <c r="L196" s="2" t="s">
        <v>12</v>
      </c>
      <c r="M196" s="2" t="s">
        <v>6491</v>
      </c>
      <c r="N196" s="2"/>
    </row>
    <row r="197" spans="1:14">
      <c r="A197" s="1">
        <v>43197.510816203707</v>
      </c>
      <c r="B197" s="2">
        <v>3147</v>
      </c>
      <c r="C197" s="2">
        <v>9</v>
      </c>
      <c r="D197" s="2">
        <v>1</v>
      </c>
      <c r="E197" s="2">
        <v>0</v>
      </c>
      <c r="F197" s="2">
        <v>0</v>
      </c>
      <c r="G197" s="2">
        <v>2</v>
      </c>
      <c r="H197" s="2">
        <v>3</v>
      </c>
      <c r="I197" s="2">
        <v>0</v>
      </c>
      <c r="J197" s="2">
        <v>4</v>
      </c>
      <c r="K197" s="2">
        <v>1</v>
      </c>
      <c r="L197" s="2" t="s">
        <v>12</v>
      </c>
      <c r="M197" s="2" t="s">
        <v>6491</v>
      </c>
      <c r="N197" s="2"/>
    </row>
    <row r="198" spans="1:14">
      <c r="A198" s="1">
        <v>43197.482071689818</v>
      </c>
      <c r="B198" s="2">
        <v>3182</v>
      </c>
      <c r="C198" s="2">
        <v>4</v>
      </c>
      <c r="D198" s="2">
        <v>1</v>
      </c>
      <c r="E198" s="2">
        <v>0</v>
      </c>
      <c r="F198" s="2">
        <v>0</v>
      </c>
      <c r="G198" s="2">
        <v>0</v>
      </c>
      <c r="H198" s="2">
        <v>1</v>
      </c>
      <c r="I198" s="2">
        <v>0</v>
      </c>
      <c r="J198" s="2">
        <v>0</v>
      </c>
      <c r="K198" s="2">
        <v>1</v>
      </c>
      <c r="L198" s="2" t="s">
        <v>6088</v>
      </c>
      <c r="M198" s="2" t="s">
        <v>6476</v>
      </c>
      <c r="N198" s="2" t="s">
        <v>6477</v>
      </c>
    </row>
    <row r="199" spans="1:14">
      <c r="A199" s="1">
        <v>43197.506011863428</v>
      </c>
      <c r="B199" s="2">
        <v>3182</v>
      </c>
      <c r="C199" s="2">
        <v>8</v>
      </c>
      <c r="D199" s="2">
        <v>1</v>
      </c>
      <c r="E199" s="2">
        <v>0</v>
      </c>
      <c r="F199" s="2">
        <v>0</v>
      </c>
      <c r="G199" s="2">
        <v>2</v>
      </c>
      <c r="H199" s="2">
        <v>0</v>
      </c>
      <c r="I199" s="2">
        <v>0</v>
      </c>
      <c r="J199" s="2">
        <v>2</v>
      </c>
      <c r="K199" s="2">
        <v>0</v>
      </c>
      <c r="L199" s="2" t="s">
        <v>6462</v>
      </c>
      <c r="M199" s="2" t="s">
        <v>6463</v>
      </c>
      <c r="N199" s="2" t="s">
        <v>6495</v>
      </c>
    </row>
    <row r="200" spans="1:14">
      <c r="A200" s="1">
        <v>43197.55171777778</v>
      </c>
      <c r="B200" s="2">
        <v>3182</v>
      </c>
      <c r="C200" s="2">
        <v>17</v>
      </c>
      <c r="D200" s="2">
        <v>1</v>
      </c>
      <c r="E200" s="2">
        <v>0</v>
      </c>
      <c r="F200" s="2">
        <v>0</v>
      </c>
      <c r="G200" s="2">
        <v>3</v>
      </c>
      <c r="H200" s="2">
        <v>0</v>
      </c>
      <c r="I200" s="2">
        <v>0</v>
      </c>
      <c r="J200" s="2">
        <v>0</v>
      </c>
      <c r="K200" s="2">
        <v>0</v>
      </c>
      <c r="L200" s="2"/>
      <c r="M200" s="2" t="s">
        <v>6491</v>
      </c>
      <c r="N200" s="2" t="s">
        <v>6531</v>
      </c>
    </row>
    <row r="201" spans="1:14">
      <c r="A201" s="1">
        <v>43197.618135335651</v>
      </c>
      <c r="B201" s="2">
        <v>3182</v>
      </c>
      <c r="C201" s="2">
        <v>23</v>
      </c>
      <c r="D201" s="2">
        <v>1</v>
      </c>
      <c r="E201" s="2">
        <v>0</v>
      </c>
      <c r="F201" s="2">
        <v>0</v>
      </c>
      <c r="G201" s="2">
        <v>4</v>
      </c>
      <c r="H201" s="2">
        <v>0</v>
      </c>
      <c r="I201" s="2">
        <v>0</v>
      </c>
      <c r="J201" s="2">
        <v>0</v>
      </c>
      <c r="K201" s="2">
        <v>0</v>
      </c>
      <c r="L201" s="2" t="s">
        <v>6462</v>
      </c>
      <c r="M201" s="2"/>
      <c r="N201" s="2" t="s">
        <v>6572</v>
      </c>
    </row>
    <row r="202" spans="1:14">
      <c r="A202" s="1">
        <v>43197.644240891204</v>
      </c>
      <c r="B202" s="2">
        <v>3182</v>
      </c>
      <c r="C202" s="2">
        <v>28</v>
      </c>
      <c r="D202" s="2">
        <v>1</v>
      </c>
      <c r="E202" s="2">
        <v>0</v>
      </c>
      <c r="F202" s="2">
        <v>0</v>
      </c>
      <c r="G202" s="2">
        <v>3</v>
      </c>
      <c r="H202" s="2">
        <v>0</v>
      </c>
      <c r="I202" s="2">
        <v>0</v>
      </c>
      <c r="J202" s="2">
        <v>0</v>
      </c>
      <c r="K202" s="2">
        <v>1</v>
      </c>
      <c r="L202" s="2" t="s">
        <v>6088</v>
      </c>
      <c r="M202" s="2" t="s">
        <v>6088</v>
      </c>
      <c r="N202" s="2"/>
    </row>
    <row r="203" spans="1:14">
      <c r="A203" s="1">
        <v>43197.680102511571</v>
      </c>
      <c r="B203" s="2">
        <v>3182</v>
      </c>
      <c r="C203" s="2">
        <v>35</v>
      </c>
      <c r="D203" s="2">
        <v>1</v>
      </c>
      <c r="E203" s="2">
        <v>0</v>
      </c>
      <c r="F203" s="2">
        <v>0</v>
      </c>
      <c r="G203" s="2">
        <v>2</v>
      </c>
      <c r="H203" s="2">
        <v>0</v>
      </c>
      <c r="I203" s="2">
        <v>0</v>
      </c>
      <c r="J203" s="2">
        <v>1</v>
      </c>
      <c r="K203" s="2">
        <v>1</v>
      </c>
      <c r="L203" s="2" t="s">
        <v>6088</v>
      </c>
      <c r="M203" s="2" t="s">
        <v>6623</v>
      </c>
      <c r="N203" s="2" t="s">
        <v>6624</v>
      </c>
    </row>
    <row r="204" spans="1:14">
      <c r="A204" s="1">
        <v>43197.751821458332</v>
      </c>
      <c r="B204" s="2">
        <v>3182</v>
      </c>
      <c r="C204" s="2">
        <v>47</v>
      </c>
      <c r="D204" s="2">
        <v>1</v>
      </c>
      <c r="E204" s="2">
        <v>0</v>
      </c>
      <c r="F204" s="2">
        <v>0</v>
      </c>
      <c r="G204" s="2">
        <v>3</v>
      </c>
      <c r="H204" s="2">
        <v>0</v>
      </c>
      <c r="I204" s="2">
        <v>0</v>
      </c>
      <c r="J204" s="2">
        <v>1</v>
      </c>
      <c r="K204" s="2">
        <v>1</v>
      </c>
      <c r="L204" s="2" t="s">
        <v>6088</v>
      </c>
      <c r="M204" s="2" t="s">
        <v>6637</v>
      </c>
      <c r="N204" s="2" t="s">
        <v>6658</v>
      </c>
    </row>
    <row r="205" spans="1:14">
      <c r="A205" s="1">
        <v>43197.787755081015</v>
      </c>
      <c r="B205" s="2">
        <v>3182</v>
      </c>
      <c r="C205" s="2">
        <v>54</v>
      </c>
      <c r="D205" s="2">
        <v>1</v>
      </c>
      <c r="E205" s="2">
        <v>1</v>
      </c>
      <c r="F205" s="2">
        <v>0</v>
      </c>
      <c r="G205" s="2">
        <v>0</v>
      </c>
      <c r="H205" s="2">
        <v>0</v>
      </c>
      <c r="I205" s="2">
        <v>0</v>
      </c>
      <c r="J205" s="2">
        <v>4</v>
      </c>
      <c r="K205" s="2">
        <v>1</v>
      </c>
      <c r="L205" s="2" t="s">
        <v>12</v>
      </c>
      <c r="M205" s="2" t="s">
        <v>6625</v>
      </c>
      <c r="N205" s="2" t="s">
        <v>6691</v>
      </c>
    </row>
    <row r="206" spans="1:14">
      <c r="A206" s="1">
        <v>43197.464225891206</v>
      </c>
      <c r="B206" s="2">
        <v>3464</v>
      </c>
      <c r="C206" s="2">
        <v>1</v>
      </c>
      <c r="D206" s="2">
        <v>1</v>
      </c>
      <c r="E206" s="2">
        <v>1</v>
      </c>
      <c r="F206" s="2">
        <v>0</v>
      </c>
      <c r="G206" s="2">
        <v>3</v>
      </c>
      <c r="H206" s="2">
        <v>0</v>
      </c>
      <c r="I206" s="2">
        <v>0</v>
      </c>
      <c r="J206" s="2">
        <v>0</v>
      </c>
      <c r="K206" s="2">
        <v>0</v>
      </c>
      <c r="L206" s="2" t="s">
        <v>6462</v>
      </c>
      <c r="M206" s="2" t="s">
        <v>6088</v>
      </c>
      <c r="N206" s="2"/>
    </row>
    <row r="207" spans="1:14">
      <c r="A207" s="1">
        <v>43197.505907500003</v>
      </c>
      <c r="B207" s="2">
        <v>3464</v>
      </c>
      <c r="C207" s="2">
        <v>8</v>
      </c>
      <c r="D207" s="2">
        <v>0</v>
      </c>
      <c r="E207" s="2">
        <v>0</v>
      </c>
      <c r="F207" s="2">
        <v>0</v>
      </c>
      <c r="G207" s="2">
        <v>2</v>
      </c>
      <c r="H207" s="2">
        <v>0</v>
      </c>
      <c r="I207" s="2">
        <v>0</v>
      </c>
      <c r="J207" s="2">
        <v>2</v>
      </c>
      <c r="K207" s="2">
        <v>1</v>
      </c>
      <c r="L207" s="2" t="s">
        <v>6490</v>
      </c>
      <c r="M207" s="2" t="s">
        <v>6463</v>
      </c>
      <c r="N207" s="2"/>
    </row>
    <row r="208" spans="1:14">
      <c r="A208" s="1">
        <v>43197.590493090276</v>
      </c>
      <c r="B208" s="2">
        <v>3464</v>
      </c>
      <c r="C208" s="2">
        <v>18</v>
      </c>
      <c r="D208" s="2">
        <v>1</v>
      </c>
      <c r="E208" s="2">
        <v>1</v>
      </c>
      <c r="F208" s="2">
        <v>0</v>
      </c>
      <c r="G208" s="2">
        <v>1</v>
      </c>
      <c r="H208" s="2">
        <v>1</v>
      </c>
      <c r="I208" s="2">
        <v>0</v>
      </c>
      <c r="J208" s="2">
        <v>0</v>
      </c>
      <c r="K208" s="2">
        <v>0</v>
      </c>
      <c r="L208" s="2" t="s">
        <v>12</v>
      </c>
      <c r="M208" s="2" t="s">
        <v>6525</v>
      </c>
      <c r="N208" s="2" t="s">
        <v>6535</v>
      </c>
    </row>
    <row r="209" spans="1:14">
      <c r="A209" s="1">
        <v>43197.590878298608</v>
      </c>
      <c r="B209" s="2">
        <v>3464</v>
      </c>
      <c r="C209" s="2">
        <v>18</v>
      </c>
      <c r="D209" s="2">
        <v>1</v>
      </c>
      <c r="E209" s="2">
        <v>1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/>
      <c r="M209" s="2" t="s">
        <v>6525</v>
      </c>
      <c r="N209" s="2" t="s">
        <v>6538</v>
      </c>
    </row>
    <row r="210" spans="1:14">
      <c r="A210" s="1">
        <v>43197.634830173614</v>
      </c>
      <c r="B210" s="2">
        <v>3464</v>
      </c>
      <c r="C210" s="2">
        <v>26</v>
      </c>
      <c r="D210" s="2">
        <v>0</v>
      </c>
      <c r="E210" s="2">
        <v>1</v>
      </c>
      <c r="F210" s="2">
        <v>0</v>
      </c>
      <c r="G210" s="2">
        <v>3</v>
      </c>
      <c r="H210" s="2">
        <v>5</v>
      </c>
      <c r="I210" s="2">
        <v>2</v>
      </c>
      <c r="J210" s="2">
        <v>9</v>
      </c>
      <c r="K210" s="2">
        <v>1</v>
      </c>
      <c r="L210" s="2" t="s">
        <v>12</v>
      </c>
      <c r="M210" s="2" t="s">
        <v>6491</v>
      </c>
      <c r="N210" s="2"/>
    </row>
    <row r="211" spans="1:14">
      <c r="A211" s="1">
        <v>43197.649727453703</v>
      </c>
      <c r="B211" s="2">
        <v>3464</v>
      </c>
      <c r="C211" s="2">
        <v>29</v>
      </c>
      <c r="D211" s="2">
        <v>0</v>
      </c>
      <c r="E211" s="2">
        <v>1</v>
      </c>
      <c r="F211" s="2">
        <v>0</v>
      </c>
      <c r="G211" s="2">
        <v>2</v>
      </c>
      <c r="H211" s="2">
        <v>4</v>
      </c>
      <c r="I211" s="2">
        <v>5</v>
      </c>
      <c r="J211" s="2">
        <v>3</v>
      </c>
      <c r="K211" s="2">
        <v>1</v>
      </c>
      <c r="L211" s="2" t="s">
        <v>12</v>
      </c>
      <c r="M211" s="2" t="s">
        <v>6565</v>
      </c>
      <c r="N211" s="2"/>
    </row>
    <row r="212" spans="1:14">
      <c r="A212" s="1">
        <v>43197.684775057867</v>
      </c>
      <c r="B212" s="2">
        <v>3464</v>
      </c>
      <c r="C212" s="2">
        <v>36</v>
      </c>
      <c r="D212" s="2">
        <v>1</v>
      </c>
      <c r="E212" s="2">
        <v>0</v>
      </c>
      <c r="F212" s="2">
        <v>0</v>
      </c>
      <c r="G212" s="2">
        <v>1</v>
      </c>
      <c r="H212" s="2">
        <v>4</v>
      </c>
      <c r="I212" s="2">
        <v>0</v>
      </c>
      <c r="J212" s="2">
        <v>0</v>
      </c>
      <c r="K212" s="2">
        <v>1</v>
      </c>
      <c r="L212" s="2" t="s">
        <v>12</v>
      </c>
      <c r="M212" s="2" t="s">
        <v>6491</v>
      </c>
      <c r="N212" s="2"/>
    </row>
    <row r="213" spans="1:14">
      <c r="A213" s="1">
        <v>43197.754350266201</v>
      </c>
      <c r="B213" s="2">
        <v>3464</v>
      </c>
      <c r="C213" s="2">
        <v>48</v>
      </c>
      <c r="D213" s="2">
        <v>1</v>
      </c>
      <c r="E213" s="2">
        <v>1</v>
      </c>
      <c r="F213" s="2">
        <v>0</v>
      </c>
      <c r="G213" s="2">
        <v>2</v>
      </c>
      <c r="H213" s="2">
        <v>3</v>
      </c>
      <c r="I213" s="2">
        <v>0</v>
      </c>
      <c r="J213" s="2">
        <v>0</v>
      </c>
      <c r="K213" s="2">
        <v>1</v>
      </c>
      <c r="L213" s="2" t="s">
        <v>6088</v>
      </c>
      <c r="M213" s="2" t="s">
        <v>6640</v>
      </c>
      <c r="N213" s="2"/>
    </row>
    <row r="214" spans="1:14">
      <c r="A214" s="1">
        <v>43197.792560868053</v>
      </c>
      <c r="B214" s="2">
        <v>3464</v>
      </c>
      <c r="C214" s="2">
        <v>55</v>
      </c>
      <c r="D214" s="2">
        <v>1</v>
      </c>
      <c r="E214" s="2">
        <v>1</v>
      </c>
      <c r="F214" s="2">
        <v>0</v>
      </c>
      <c r="G214" s="2">
        <v>2</v>
      </c>
      <c r="H214" s="2">
        <v>0</v>
      </c>
      <c r="I214" s="2">
        <v>0</v>
      </c>
      <c r="J214" s="2">
        <v>3</v>
      </c>
      <c r="K214" s="2">
        <v>1</v>
      </c>
      <c r="L214" s="2" t="s">
        <v>6088</v>
      </c>
      <c r="M214" s="2" t="s">
        <v>6699</v>
      </c>
      <c r="N214" s="2"/>
    </row>
    <row r="215" spans="1:14">
      <c r="A215" s="1">
        <v>43197.482575613423</v>
      </c>
      <c r="B215" s="2">
        <v>3634</v>
      </c>
      <c r="C215" s="2">
        <v>4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2</v>
      </c>
      <c r="K215" s="2">
        <v>0</v>
      </c>
      <c r="L215" s="2" t="s">
        <v>6462</v>
      </c>
      <c r="M215" s="2" t="s">
        <v>6482</v>
      </c>
      <c r="N215" s="2"/>
    </row>
    <row r="216" spans="1:14">
      <c r="A216" s="1">
        <v>43197.541479768515</v>
      </c>
      <c r="B216" s="2">
        <v>3634</v>
      </c>
      <c r="C216" s="2">
        <v>15</v>
      </c>
      <c r="D216" s="2">
        <v>1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/>
      <c r="M216" s="2" t="s">
        <v>6512</v>
      </c>
      <c r="N216" s="2"/>
    </row>
    <row r="217" spans="1:14">
      <c r="A217" s="1">
        <v>43197.612497685186</v>
      </c>
      <c r="B217" s="2">
        <v>3634</v>
      </c>
      <c r="C217" s="2">
        <v>22</v>
      </c>
      <c r="D217" s="2">
        <v>1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2</v>
      </c>
      <c r="K217" s="2">
        <v>1</v>
      </c>
      <c r="L217" s="2" t="s">
        <v>6088</v>
      </c>
      <c r="M217" s="2" t="s">
        <v>6536</v>
      </c>
      <c r="N217" s="2" t="s">
        <v>6569</v>
      </c>
    </row>
    <row r="218" spans="1:14">
      <c r="A218" s="1">
        <v>43197.649923576391</v>
      </c>
      <c r="B218" s="2">
        <v>3634</v>
      </c>
      <c r="C218" s="2">
        <v>29</v>
      </c>
      <c r="D218" s="2">
        <v>1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1</v>
      </c>
      <c r="L218" s="2" t="s">
        <v>6088</v>
      </c>
      <c r="M218" s="2" t="s">
        <v>6536</v>
      </c>
      <c r="N218" s="2" t="s">
        <v>6590</v>
      </c>
    </row>
    <row r="219" spans="1:14">
      <c r="A219" s="1">
        <v>43197.715861585646</v>
      </c>
      <c r="B219" s="2">
        <v>3634</v>
      </c>
      <c r="C219" s="2">
        <v>41</v>
      </c>
      <c r="D219" s="2">
        <v>1</v>
      </c>
      <c r="E219" s="2">
        <v>0</v>
      </c>
      <c r="F219" s="2">
        <v>0</v>
      </c>
      <c r="G219" s="2">
        <v>0</v>
      </c>
      <c r="H219" s="2">
        <v>0</v>
      </c>
      <c r="I219" s="2">
        <v>3</v>
      </c>
      <c r="J219" s="2">
        <v>0</v>
      </c>
      <c r="K219" s="2">
        <v>0</v>
      </c>
      <c r="L219" s="2" t="s">
        <v>6462</v>
      </c>
      <c r="M219" s="2"/>
      <c r="N219" s="2"/>
    </row>
    <row r="220" spans="1:14">
      <c r="A220" s="1">
        <v>43197.741572881947</v>
      </c>
      <c r="B220" s="2">
        <v>3634</v>
      </c>
      <c r="C220" s="2">
        <v>46</v>
      </c>
      <c r="D220" s="2">
        <v>1</v>
      </c>
      <c r="E220" s="2">
        <v>0</v>
      </c>
      <c r="F220" s="2">
        <v>0</v>
      </c>
      <c r="G220" s="2">
        <v>2</v>
      </c>
      <c r="H220" s="2">
        <v>0</v>
      </c>
      <c r="I220" s="2">
        <v>0</v>
      </c>
      <c r="J220" s="2">
        <v>0</v>
      </c>
      <c r="K220" s="2">
        <v>0</v>
      </c>
      <c r="L220" s="2" t="s">
        <v>6462</v>
      </c>
      <c r="M220" s="2"/>
      <c r="N220" s="2" t="s">
        <v>6653</v>
      </c>
    </row>
    <row r="221" spans="1:14">
      <c r="A221" s="1">
        <v>43197.769896030091</v>
      </c>
      <c r="B221" s="2">
        <v>3634</v>
      </c>
      <c r="C221" s="2">
        <v>51</v>
      </c>
      <c r="D221" s="2">
        <v>1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3</v>
      </c>
      <c r="K221" s="2">
        <v>0</v>
      </c>
      <c r="L221" s="2" t="s">
        <v>6462</v>
      </c>
      <c r="M221" s="2" t="s">
        <v>6491</v>
      </c>
      <c r="N221" s="2"/>
    </row>
    <row r="222" spans="1:14">
      <c r="A222" s="1">
        <v>43197.496559537038</v>
      </c>
      <c r="B222" s="2">
        <v>3654</v>
      </c>
      <c r="C222" s="2">
        <v>6</v>
      </c>
      <c r="D222" s="2">
        <v>1</v>
      </c>
      <c r="E222" s="2">
        <v>0</v>
      </c>
      <c r="F222" s="2">
        <v>0</v>
      </c>
      <c r="G222" s="2">
        <v>0</v>
      </c>
      <c r="H222" s="2">
        <v>3</v>
      </c>
      <c r="I222" s="2">
        <v>0</v>
      </c>
      <c r="J222" s="2">
        <v>0</v>
      </c>
      <c r="K222" s="2">
        <v>0</v>
      </c>
      <c r="L222" s="2" t="s">
        <v>6462</v>
      </c>
      <c r="M222" s="2" t="s">
        <v>6487</v>
      </c>
      <c r="N222" s="2" t="s">
        <v>6488</v>
      </c>
    </row>
    <row r="223" spans="1:14">
      <c r="A223" s="1">
        <v>43197.531521238423</v>
      </c>
      <c r="B223" s="2">
        <v>3654</v>
      </c>
      <c r="C223" s="2">
        <v>13</v>
      </c>
      <c r="D223" s="2">
        <v>1</v>
      </c>
      <c r="E223" s="2">
        <v>0</v>
      </c>
      <c r="F223" s="2">
        <v>0</v>
      </c>
      <c r="G223" s="2">
        <v>2</v>
      </c>
      <c r="H223" s="2">
        <v>2</v>
      </c>
      <c r="I223" s="2">
        <v>1</v>
      </c>
      <c r="J223" s="2">
        <v>0</v>
      </c>
      <c r="K223" s="2">
        <v>1</v>
      </c>
      <c r="L223" s="2" t="s">
        <v>6088</v>
      </c>
      <c r="M223" s="2" t="s">
        <v>6491</v>
      </c>
      <c r="N223" s="2" t="s">
        <v>6522</v>
      </c>
    </row>
    <row r="224" spans="1:14">
      <c r="A224" s="1">
        <v>43197.547061631944</v>
      </c>
      <c r="B224" s="2">
        <v>3654</v>
      </c>
      <c r="C224" s="2">
        <v>16</v>
      </c>
      <c r="D224" s="2">
        <v>1</v>
      </c>
      <c r="E224" s="2">
        <v>0</v>
      </c>
      <c r="F224" s="2">
        <v>0</v>
      </c>
      <c r="G224" s="2">
        <v>0</v>
      </c>
      <c r="H224" s="2">
        <v>0</v>
      </c>
      <c r="I224" s="2">
        <v>3</v>
      </c>
      <c r="J224" s="2">
        <v>0</v>
      </c>
      <c r="K224" s="2">
        <v>0</v>
      </c>
      <c r="L224" s="2" t="s">
        <v>6462</v>
      </c>
      <c r="M224" s="2" t="s">
        <v>6482</v>
      </c>
      <c r="N224" s="2" t="s">
        <v>6529</v>
      </c>
    </row>
    <row r="225" spans="1:14">
      <c r="A225" s="1">
        <v>43197.635025208336</v>
      </c>
      <c r="B225" s="2">
        <v>3654</v>
      </c>
      <c r="C225" s="2">
        <v>26</v>
      </c>
      <c r="D225" s="2">
        <v>1</v>
      </c>
      <c r="E225" s="2">
        <v>0</v>
      </c>
      <c r="F225" s="2">
        <v>0</v>
      </c>
      <c r="G225" s="2">
        <v>1</v>
      </c>
      <c r="H225" s="2">
        <v>0</v>
      </c>
      <c r="I225" s="2">
        <v>2</v>
      </c>
      <c r="J225" s="2">
        <v>0</v>
      </c>
      <c r="K225" s="2">
        <v>1</v>
      </c>
      <c r="L225" s="2" t="s">
        <v>6088</v>
      </c>
      <c r="M225" s="2" t="s">
        <v>6491</v>
      </c>
      <c r="N225" s="2"/>
    </row>
    <row r="226" spans="1:14">
      <c r="A226" s="1">
        <v>43197.660889826388</v>
      </c>
      <c r="B226" s="2">
        <v>3654</v>
      </c>
      <c r="C226" s="2">
        <v>31</v>
      </c>
      <c r="D226" s="2">
        <v>1</v>
      </c>
      <c r="E226" s="2">
        <v>0</v>
      </c>
      <c r="F226" s="2">
        <v>0</v>
      </c>
      <c r="G226" s="2">
        <v>3</v>
      </c>
      <c r="H226" s="2">
        <v>0</v>
      </c>
      <c r="I226" s="2">
        <v>1</v>
      </c>
      <c r="J226" s="2">
        <v>0</v>
      </c>
      <c r="K226" s="2">
        <v>1</v>
      </c>
      <c r="L226" s="2" t="s">
        <v>6088</v>
      </c>
      <c r="M226" s="2" t="s">
        <v>6088</v>
      </c>
      <c r="N226" s="2" t="s">
        <v>6596</v>
      </c>
    </row>
    <row r="227" spans="1:14">
      <c r="A227" s="1">
        <v>43197.694806782405</v>
      </c>
      <c r="B227" s="2">
        <v>3654</v>
      </c>
      <c r="C227" s="2">
        <v>38</v>
      </c>
      <c r="D227" s="2">
        <v>1</v>
      </c>
      <c r="E227" s="2">
        <v>0</v>
      </c>
      <c r="F227" s="2">
        <v>0</v>
      </c>
      <c r="G227" s="2">
        <v>2</v>
      </c>
      <c r="H227" s="2">
        <v>0</v>
      </c>
      <c r="I227" s="2">
        <v>3</v>
      </c>
      <c r="J227" s="2">
        <v>0</v>
      </c>
      <c r="K227" s="2">
        <v>1</v>
      </c>
      <c r="L227" s="2" t="s">
        <v>6088</v>
      </c>
      <c r="M227" s="2" t="s">
        <v>6479</v>
      </c>
      <c r="N227" s="2"/>
    </row>
    <row r="228" spans="1:14">
      <c r="A228" s="1">
        <v>43197.724059745371</v>
      </c>
      <c r="B228" s="2">
        <v>3654</v>
      </c>
      <c r="C228" s="2">
        <v>43</v>
      </c>
      <c r="D228" s="2">
        <v>1</v>
      </c>
      <c r="E228" s="2">
        <v>0</v>
      </c>
      <c r="F228" s="2">
        <v>0</v>
      </c>
      <c r="G228" s="2">
        <v>2</v>
      </c>
      <c r="H228" s="2">
        <v>0</v>
      </c>
      <c r="I228" s="2">
        <v>1</v>
      </c>
      <c r="J228" s="2">
        <v>0</v>
      </c>
      <c r="K228" s="2">
        <v>1</v>
      </c>
      <c r="L228" s="2" t="s">
        <v>6088</v>
      </c>
      <c r="M228" s="2" t="s">
        <v>6491</v>
      </c>
      <c r="N228" s="2"/>
    </row>
    <row r="229" spans="1:14">
      <c r="A229" s="1">
        <v>43197.759440393522</v>
      </c>
      <c r="B229" s="2">
        <v>3654</v>
      </c>
      <c r="C229" s="2">
        <v>49</v>
      </c>
      <c r="D229" s="2">
        <v>1</v>
      </c>
      <c r="E229" s="2">
        <v>0</v>
      </c>
      <c r="F229" s="2">
        <v>0</v>
      </c>
      <c r="G229" s="2">
        <v>3</v>
      </c>
      <c r="H229" s="2">
        <v>0</v>
      </c>
      <c r="I229" s="2">
        <v>2</v>
      </c>
      <c r="J229" s="2">
        <v>0</v>
      </c>
      <c r="K229" s="2">
        <v>0</v>
      </c>
      <c r="L229" s="2" t="s">
        <v>6462</v>
      </c>
      <c r="M229" s="2" t="s">
        <v>6468</v>
      </c>
      <c r="N229" s="2"/>
    </row>
    <row r="230" spans="1:14">
      <c r="A230" s="1">
        <v>43197.759937129631</v>
      </c>
      <c r="B230" s="2">
        <v>3654</v>
      </c>
      <c r="C230" s="2">
        <v>48</v>
      </c>
      <c r="D230" s="2">
        <v>1</v>
      </c>
      <c r="E230" s="2">
        <v>0</v>
      </c>
      <c r="F230" s="2">
        <v>0</v>
      </c>
      <c r="G230" s="2">
        <v>3</v>
      </c>
      <c r="H230" s="2">
        <v>0</v>
      </c>
      <c r="I230" s="2">
        <v>2</v>
      </c>
      <c r="J230" s="2">
        <v>0</v>
      </c>
      <c r="K230" s="2">
        <v>1</v>
      </c>
      <c r="L230" s="2" t="s">
        <v>6088</v>
      </c>
      <c r="M230" s="2" t="s">
        <v>6468</v>
      </c>
      <c r="N230" s="2" t="s">
        <v>6660</v>
      </c>
    </row>
    <row r="231" spans="1:14">
      <c r="A231" s="1">
        <v>43197.490320243058</v>
      </c>
      <c r="B231" s="2">
        <v>4987</v>
      </c>
      <c r="C231" s="2">
        <v>5</v>
      </c>
      <c r="D231" s="2">
        <v>1</v>
      </c>
      <c r="E231" s="2">
        <v>0</v>
      </c>
      <c r="F231" s="2">
        <v>0</v>
      </c>
      <c r="G231" s="2">
        <v>0</v>
      </c>
      <c r="H231" s="2">
        <v>0</v>
      </c>
      <c r="I231" s="2">
        <v>0</v>
      </c>
      <c r="J231" s="2">
        <v>2</v>
      </c>
      <c r="K231" s="2">
        <v>0</v>
      </c>
      <c r="L231" s="2" t="s">
        <v>6462</v>
      </c>
      <c r="M231" s="2" t="s">
        <v>6479</v>
      </c>
      <c r="N231" s="2" t="s">
        <v>6486</v>
      </c>
    </row>
    <row r="232" spans="1:14">
      <c r="A232" s="1">
        <v>43197.490993946762</v>
      </c>
      <c r="B232" s="2">
        <v>4987</v>
      </c>
      <c r="C232" s="2">
        <v>5</v>
      </c>
      <c r="D232" s="2">
        <v>1</v>
      </c>
      <c r="E232" s="2">
        <v>0</v>
      </c>
      <c r="F232" s="2">
        <v>0</v>
      </c>
      <c r="G232" s="2">
        <v>0</v>
      </c>
      <c r="H232" s="2">
        <v>0</v>
      </c>
      <c r="I232" s="2">
        <v>0</v>
      </c>
      <c r="J232" s="2">
        <v>1</v>
      </c>
      <c r="K232" s="2">
        <v>1</v>
      </c>
      <c r="L232" s="2" t="s">
        <v>6088</v>
      </c>
      <c r="M232" s="2" t="s">
        <v>6482</v>
      </c>
      <c r="N232" s="2"/>
    </row>
    <row r="233" spans="1:14">
      <c r="A233" s="1">
        <v>43197.516090520832</v>
      </c>
      <c r="B233" s="2">
        <v>4987</v>
      </c>
      <c r="C233" s="2">
        <v>10</v>
      </c>
      <c r="D233" s="2">
        <v>1</v>
      </c>
      <c r="E233" s="2">
        <v>0</v>
      </c>
      <c r="F233" s="2">
        <v>0</v>
      </c>
      <c r="G233" s="2">
        <v>3</v>
      </c>
      <c r="H233" s="2">
        <v>0</v>
      </c>
      <c r="I233" s="2">
        <v>0</v>
      </c>
      <c r="J233" s="2">
        <v>0</v>
      </c>
      <c r="K233" s="2">
        <v>0</v>
      </c>
      <c r="L233" s="2"/>
      <c r="M233" s="2"/>
      <c r="N233" s="2"/>
    </row>
    <row r="234" spans="1:14">
      <c r="A234" s="1">
        <v>43197.55194351852</v>
      </c>
      <c r="B234" s="2">
        <v>4987</v>
      </c>
      <c r="C234" s="2">
        <v>17</v>
      </c>
      <c r="D234" s="2">
        <v>1</v>
      </c>
      <c r="E234" s="2">
        <v>0</v>
      </c>
      <c r="F234" s="2">
        <v>0</v>
      </c>
      <c r="G234" s="2">
        <v>2</v>
      </c>
      <c r="H234" s="2">
        <v>1</v>
      </c>
      <c r="I234" s="2">
        <v>0</v>
      </c>
      <c r="J234" s="2">
        <v>0</v>
      </c>
      <c r="K234" s="2">
        <v>1</v>
      </c>
      <c r="L234" s="2" t="s">
        <v>6088</v>
      </c>
      <c r="M234" s="2" t="s">
        <v>6491</v>
      </c>
      <c r="N234" s="2" t="s">
        <v>6532</v>
      </c>
    </row>
    <row r="235" spans="1:14">
      <c r="A235" s="1">
        <v>43197.624277465278</v>
      </c>
      <c r="B235" s="2">
        <v>4987</v>
      </c>
      <c r="C235" s="2">
        <v>24</v>
      </c>
      <c r="D235" s="2">
        <v>1</v>
      </c>
      <c r="E235" s="2">
        <v>0</v>
      </c>
      <c r="F235" s="2">
        <v>0</v>
      </c>
      <c r="G235" s="2">
        <v>0</v>
      </c>
      <c r="H235" s="2">
        <v>0</v>
      </c>
      <c r="I235" s="2">
        <v>0</v>
      </c>
      <c r="J235" s="2">
        <v>4</v>
      </c>
      <c r="K235" s="2">
        <v>0</v>
      </c>
      <c r="L235" s="2" t="s">
        <v>6462</v>
      </c>
      <c r="M235" s="2" t="s">
        <v>6088</v>
      </c>
      <c r="N235" s="2" t="s">
        <v>6576</v>
      </c>
    </row>
    <row r="236" spans="1:14">
      <c r="A236" s="1">
        <v>43197.644464212965</v>
      </c>
      <c r="B236" s="2">
        <v>4987</v>
      </c>
      <c r="C236" s="2">
        <v>28</v>
      </c>
      <c r="D236" s="2">
        <v>1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2</v>
      </c>
      <c r="K236" s="2">
        <v>0</v>
      </c>
      <c r="L236" s="2" t="s">
        <v>6462</v>
      </c>
      <c r="M236" s="2" t="s">
        <v>6088</v>
      </c>
      <c r="N236" s="2" t="s">
        <v>6587</v>
      </c>
    </row>
    <row r="237" spans="1:14">
      <c r="A237" s="1">
        <v>43197.714717372684</v>
      </c>
      <c r="B237" s="2">
        <v>4987</v>
      </c>
      <c r="C237" s="2">
        <v>41</v>
      </c>
      <c r="D237" s="2">
        <v>1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4</v>
      </c>
      <c r="K237" s="2">
        <v>1</v>
      </c>
      <c r="L237" s="2" t="s">
        <v>6088</v>
      </c>
      <c r="M237" s="2" t="s">
        <v>6479</v>
      </c>
      <c r="N237" s="2"/>
    </row>
    <row r="238" spans="1:14">
      <c r="A238" s="1">
        <v>43197.728916446758</v>
      </c>
      <c r="B238" s="2">
        <v>4987</v>
      </c>
      <c r="C238" s="2">
        <v>44</v>
      </c>
      <c r="D238" s="2">
        <v>1</v>
      </c>
      <c r="E238" s="2">
        <v>0</v>
      </c>
      <c r="F238" s="2">
        <v>0</v>
      </c>
      <c r="G238" s="2">
        <v>1</v>
      </c>
      <c r="H238" s="2">
        <v>0</v>
      </c>
      <c r="I238" s="2">
        <v>0</v>
      </c>
      <c r="J238" s="2">
        <v>1</v>
      </c>
      <c r="K238" s="2">
        <v>0</v>
      </c>
      <c r="L238" s="2" t="s">
        <v>6462</v>
      </c>
      <c r="M238" s="2"/>
      <c r="N238" s="2"/>
    </row>
    <row r="239" spans="1:14">
      <c r="A239" s="1">
        <v>43197.780814131947</v>
      </c>
      <c r="B239" s="2">
        <v>4987</v>
      </c>
      <c r="C239" s="2">
        <v>53</v>
      </c>
      <c r="D239" s="2">
        <v>1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5</v>
      </c>
      <c r="K239" s="2">
        <v>1</v>
      </c>
      <c r="L239" s="2" t="s">
        <v>6088</v>
      </c>
      <c r="M239" s="2" t="s">
        <v>6482</v>
      </c>
      <c r="N239" s="2"/>
    </row>
    <row r="240" spans="1:14">
      <c r="A240" s="1">
        <v>43197.464275532409</v>
      </c>
      <c r="B240" s="2">
        <v>5129</v>
      </c>
      <c r="C240" s="2">
        <v>1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5</v>
      </c>
      <c r="K240" s="2">
        <v>1</v>
      </c>
      <c r="L240" s="2" t="s">
        <v>6088</v>
      </c>
      <c r="M240" s="2" t="s">
        <v>6467</v>
      </c>
      <c r="N240" s="2"/>
    </row>
    <row r="241" spans="1:14">
      <c r="A241" s="1">
        <v>43197.506105509259</v>
      </c>
      <c r="B241" s="2">
        <v>5129</v>
      </c>
      <c r="C241" s="2">
        <v>8</v>
      </c>
      <c r="D241" s="2">
        <v>1</v>
      </c>
      <c r="E241" s="2">
        <v>0</v>
      </c>
      <c r="F241" s="2">
        <v>0</v>
      </c>
      <c r="G241" s="2">
        <v>1</v>
      </c>
      <c r="H241" s="2">
        <v>0</v>
      </c>
      <c r="I241" s="2">
        <v>0</v>
      </c>
      <c r="J241" s="2">
        <v>6</v>
      </c>
      <c r="K241" s="2">
        <v>0</v>
      </c>
      <c r="L241" s="2" t="s">
        <v>12</v>
      </c>
      <c r="M241" s="2" t="s">
        <v>6491</v>
      </c>
      <c r="N241" s="2"/>
    </row>
    <row r="242" spans="1:14">
      <c r="A242" s="1">
        <v>43197.600822199071</v>
      </c>
      <c r="B242" s="2">
        <v>5129</v>
      </c>
      <c r="C242" s="2">
        <v>20</v>
      </c>
      <c r="D242" s="2">
        <v>1</v>
      </c>
      <c r="E242" s="2">
        <v>0</v>
      </c>
      <c r="F242" s="2">
        <v>0</v>
      </c>
      <c r="G242" s="2">
        <v>1</v>
      </c>
      <c r="H242" s="2">
        <v>0</v>
      </c>
      <c r="I242" s="2">
        <v>0</v>
      </c>
      <c r="J242" s="2">
        <v>5</v>
      </c>
      <c r="K242" s="2">
        <v>0</v>
      </c>
      <c r="L242" s="2" t="s">
        <v>6462</v>
      </c>
      <c r="M242" s="2" t="s">
        <v>6525</v>
      </c>
      <c r="N242" s="2"/>
    </row>
    <row r="243" spans="1:14">
      <c r="A243" s="1">
        <v>43197.62394002315</v>
      </c>
      <c r="B243" s="2">
        <v>5129</v>
      </c>
      <c r="C243" s="2">
        <v>24</v>
      </c>
      <c r="D243" s="2">
        <v>1</v>
      </c>
      <c r="E243" s="2">
        <v>0</v>
      </c>
      <c r="F243" s="2">
        <v>0</v>
      </c>
      <c r="G243" s="2">
        <v>1</v>
      </c>
      <c r="H243" s="2">
        <v>0</v>
      </c>
      <c r="I243" s="2">
        <v>0</v>
      </c>
      <c r="J243" s="2">
        <v>3</v>
      </c>
      <c r="K243" s="2">
        <v>0</v>
      </c>
      <c r="L243" s="2" t="s">
        <v>6462</v>
      </c>
      <c r="M243" s="2" t="s">
        <v>6088</v>
      </c>
      <c r="N243" s="2"/>
    </row>
    <row r="244" spans="1:14">
      <c r="A244" s="1">
        <v>43197.674827997682</v>
      </c>
      <c r="B244" s="2">
        <v>5129</v>
      </c>
      <c r="C244" s="2">
        <v>34</v>
      </c>
      <c r="D244" s="2">
        <v>0</v>
      </c>
      <c r="E244" s="2">
        <v>0</v>
      </c>
      <c r="F244" s="2">
        <v>0</v>
      </c>
      <c r="G244" s="2">
        <v>3</v>
      </c>
      <c r="H244" s="2">
        <v>0</v>
      </c>
      <c r="I244" s="2">
        <v>0</v>
      </c>
      <c r="J244" s="2">
        <v>0</v>
      </c>
      <c r="K244" s="2">
        <v>1</v>
      </c>
      <c r="L244" s="2" t="s">
        <v>12</v>
      </c>
      <c r="M244" s="2"/>
      <c r="N244" s="2" t="s">
        <v>6602</v>
      </c>
    </row>
    <row r="245" spans="1:14">
      <c r="A245" s="1">
        <v>43197.714675416668</v>
      </c>
      <c r="B245" s="2">
        <v>5129</v>
      </c>
      <c r="C245" s="2">
        <v>41</v>
      </c>
      <c r="D245" s="2">
        <v>1</v>
      </c>
      <c r="E245" s="2">
        <v>0</v>
      </c>
      <c r="F245" s="2">
        <v>0</v>
      </c>
      <c r="G245" s="2">
        <v>0</v>
      </c>
      <c r="H245" s="2">
        <v>0</v>
      </c>
      <c r="I245" s="2">
        <v>0</v>
      </c>
      <c r="J245" s="2">
        <v>6</v>
      </c>
      <c r="K245" s="2">
        <v>1</v>
      </c>
      <c r="L245" s="2" t="s">
        <v>6088</v>
      </c>
      <c r="M245" s="2" t="s">
        <v>6479</v>
      </c>
      <c r="N245" s="2"/>
    </row>
    <row r="246" spans="1:14">
      <c r="A246" s="1">
        <v>43197.729247453703</v>
      </c>
      <c r="B246" s="2">
        <v>5129</v>
      </c>
      <c r="C246" s="2">
        <v>44</v>
      </c>
      <c r="D246" s="2">
        <v>1</v>
      </c>
      <c r="E246" s="2">
        <v>0</v>
      </c>
      <c r="F246" s="2">
        <v>0</v>
      </c>
      <c r="G246" s="2">
        <v>1</v>
      </c>
      <c r="H246" s="2">
        <v>0</v>
      </c>
      <c r="I246" s="2">
        <v>0</v>
      </c>
      <c r="J246" s="2">
        <v>0</v>
      </c>
      <c r="K246" s="2">
        <v>0</v>
      </c>
      <c r="L246" s="2" t="s">
        <v>6088</v>
      </c>
      <c r="M246" s="2" t="s">
        <v>6491</v>
      </c>
      <c r="N246" s="2" t="s">
        <v>6645</v>
      </c>
    </row>
    <row r="247" spans="1:14">
      <c r="A247" s="1">
        <v>43197.75953959491</v>
      </c>
      <c r="B247" s="2">
        <v>5129</v>
      </c>
      <c r="C247" s="2">
        <v>49</v>
      </c>
      <c r="D247" s="2">
        <v>1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3</v>
      </c>
      <c r="K247" s="2">
        <v>0</v>
      </c>
      <c r="L247" s="2" t="s">
        <v>6462</v>
      </c>
      <c r="M247" s="2" t="s">
        <v>6536</v>
      </c>
      <c r="N247" s="2"/>
    </row>
    <row r="248" spans="1:14">
      <c r="A248" s="1">
        <v>43197.775320740744</v>
      </c>
      <c r="B248" s="2">
        <v>5132</v>
      </c>
      <c r="C248" s="2">
        <v>52</v>
      </c>
      <c r="D248" s="2">
        <v>1</v>
      </c>
      <c r="E248" s="2">
        <v>0</v>
      </c>
      <c r="F248" s="2">
        <v>0</v>
      </c>
      <c r="G248" s="2">
        <v>3</v>
      </c>
      <c r="H248" s="2">
        <v>4</v>
      </c>
      <c r="I248" s="2">
        <v>4</v>
      </c>
      <c r="J248" s="2">
        <v>3</v>
      </c>
      <c r="K248" s="2">
        <v>0</v>
      </c>
      <c r="L248" s="2" t="s">
        <v>6462</v>
      </c>
      <c r="M248" s="2" t="s">
        <v>6565</v>
      </c>
      <c r="N248" s="2"/>
    </row>
    <row r="249" spans="1:14">
      <c r="A249" s="1">
        <v>43197.465127256946</v>
      </c>
      <c r="B249" s="2">
        <v>5142</v>
      </c>
      <c r="C249" s="2">
        <v>1</v>
      </c>
      <c r="D249" s="2">
        <v>1</v>
      </c>
      <c r="E249" s="2">
        <v>1</v>
      </c>
      <c r="F249" s="2">
        <v>0</v>
      </c>
      <c r="G249" s="2">
        <v>1</v>
      </c>
      <c r="H249" s="2">
        <v>0</v>
      </c>
      <c r="I249" s="2">
        <v>0</v>
      </c>
      <c r="J249" s="2">
        <v>3</v>
      </c>
      <c r="K249" s="2">
        <v>1</v>
      </c>
      <c r="L249" s="2" t="s">
        <v>12</v>
      </c>
      <c r="M249" s="2"/>
      <c r="N249" s="2"/>
    </row>
    <row r="250" spans="1:14">
      <c r="A250" s="1">
        <v>43197.520976157408</v>
      </c>
      <c r="B250" s="2">
        <v>5142</v>
      </c>
      <c r="C250" s="2">
        <v>11</v>
      </c>
      <c r="D250" s="2">
        <v>1</v>
      </c>
      <c r="E250" s="2">
        <v>0</v>
      </c>
      <c r="F250" s="2">
        <v>0</v>
      </c>
      <c r="G250" s="2">
        <v>2</v>
      </c>
      <c r="H250" s="2">
        <v>0</v>
      </c>
      <c r="I250" s="2">
        <v>0</v>
      </c>
      <c r="J250" s="2">
        <v>4</v>
      </c>
      <c r="K250" s="2">
        <v>0</v>
      </c>
      <c r="L250" s="2" t="s">
        <v>6462</v>
      </c>
      <c r="M250" s="2" t="s">
        <v>6468</v>
      </c>
      <c r="N250" s="2" t="s">
        <v>6517</v>
      </c>
    </row>
    <row r="251" spans="1:14">
      <c r="A251" s="1">
        <v>43197.548188506946</v>
      </c>
      <c r="B251" s="2">
        <v>5142</v>
      </c>
      <c r="C251" s="2">
        <v>16</v>
      </c>
      <c r="D251" s="2">
        <v>1</v>
      </c>
      <c r="E251" s="2">
        <v>0</v>
      </c>
      <c r="F251" s="2">
        <v>0</v>
      </c>
      <c r="G251" s="2">
        <v>4</v>
      </c>
      <c r="H251" s="2">
        <v>0</v>
      </c>
      <c r="I251" s="2">
        <v>0</v>
      </c>
      <c r="J251" s="2">
        <v>0</v>
      </c>
      <c r="K251" s="2">
        <v>1</v>
      </c>
      <c r="L251" s="2" t="s">
        <v>6462</v>
      </c>
      <c r="M251" s="2"/>
      <c r="N251" s="2" t="s">
        <v>6530</v>
      </c>
    </row>
    <row r="252" spans="1:14">
      <c r="A252" s="1">
        <v>43197.617994583336</v>
      </c>
      <c r="B252" s="2">
        <v>5142</v>
      </c>
      <c r="C252" s="2">
        <v>23</v>
      </c>
      <c r="D252" s="2">
        <v>1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4</v>
      </c>
      <c r="K252" s="2">
        <v>0</v>
      </c>
      <c r="L252" s="2" t="s">
        <v>6462</v>
      </c>
      <c r="M252" s="2" t="s">
        <v>6479</v>
      </c>
      <c r="N252" s="2"/>
    </row>
    <row r="253" spans="1:14">
      <c r="A253" s="1">
        <v>43197.654820543983</v>
      </c>
      <c r="B253" s="2">
        <v>5142</v>
      </c>
      <c r="C253" s="2">
        <v>30</v>
      </c>
      <c r="D253" s="2">
        <v>1</v>
      </c>
      <c r="E253" s="2">
        <v>0</v>
      </c>
      <c r="F253" s="2">
        <v>0</v>
      </c>
      <c r="G253" s="2">
        <v>0</v>
      </c>
      <c r="H253" s="2">
        <v>1</v>
      </c>
      <c r="I253" s="2">
        <v>0</v>
      </c>
      <c r="J253" s="2">
        <v>0</v>
      </c>
      <c r="K253" s="2">
        <v>0</v>
      </c>
      <c r="L253" s="2"/>
      <c r="M253" s="2" t="s">
        <v>6565</v>
      </c>
      <c r="N253" s="2" t="s">
        <v>6592</v>
      </c>
    </row>
    <row r="254" spans="1:14">
      <c r="A254" s="1">
        <v>43197.715526759261</v>
      </c>
      <c r="B254" s="2">
        <v>5142</v>
      </c>
      <c r="C254" s="2">
        <v>41</v>
      </c>
      <c r="D254" s="2">
        <v>1</v>
      </c>
      <c r="E254" s="2">
        <v>0</v>
      </c>
      <c r="F254" s="2">
        <v>0</v>
      </c>
      <c r="G254" s="2">
        <v>1</v>
      </c>
      <c r="H254" s="2">
        <v>0</v>
      </c>
      <c r="I254" s="2">
        <v>0</v>
      </c>
      <c r="J254" s="2">
        <v>3</v>
      </c>
      <c r="K254" s="2">
        <v>1</v>
      </c>
      <c r="L254" s="2" t="s">
        <v>6088</v>
      </c>
      <c r="M254" s="2" t="s">
        <v>6637</v>
      </c>
      <c r="N254" s="2" t="s">
        <v>6638</v>
      </c>
    </row>
    <row r="255" spans="1:14">
      <c r="A255" s="1">
        <v>43197.734934768516</v>
      </c>
      <c r="B255" s="2">
        <v>5142</v>
      </c>
      <c r="C255" s="2">
        <v>45</v>
      </c>
      <c r="D255" s="2">
        <v>1</v>
      </c>
      <c r="E255" s="2">
        <v>0</v>
      </c>
      <c r="F255" s="2">
        <v>0</v>
      </c>
      <c r="G255" s="2">
        <v>1</v>
      </c>
      <c r="H255" s="2">
        <v>0</v>
      </c>
      <c r="I255" s="2">
        <v>0</v>
      </c>
      <c r="J255" s="2">
        <v>0</v>
      </c>
      <c r="K255" s="2">
        <v>0</v>
      </c>
      <c r="L255" s="2"/>
      <c r="M255" s="2" t="s">
        <v>6525</v>
      </c>
      <c r="N255" s="2"/>
    </row>
    <row r="256" spans="1:14">
      <c r="A256" s="1">
        <v>43197.735659502316</v>
      </c>
      <c r="B256" s="2">
        <v>5142</v>
      </c>
      <c r="C256" s="2">
        <v>45</v>
      </c>
      <c r="D256" s="2">
        <v>1</v>
      </c>
      <c r="E256" s="2">
        <v>0</v>
      </c>
      <c r="F256" s="2">
        <v>0</v>
      </c>
      <c r="G256" s="2">
        <v>2</v>
      </c>
      <c r="H256" s="2">
        <v>0</v>
      </c>
      <c r="I256" s="2">
        <v>0</v>
      </c>
      <c r="J256" s="2">
        <v>0</v>
      </c>
      <c r="K256" s="2">
        <v>0</v>
      </c>
      <c r="L256" s="2" t="s">
        <v>6462</v>
      </c>
      <c r="M256" s="2" t="s">
        <v>6525</v>
      </c>
      <c r="N256" s="2" t="s">
        <v>6651</v>
      </c>
    </row>
    <row r="257" spans="1:14">
      <c r="A257" s="1">
        <v>43197.496570381947</v>
      </c>
      <c r="B257" s="2">
        <v>5686</v>
      </c>
      <c r="C257" s="2">
        <v>6</v>
      </c>
      <c r="D257" s="2">
        <v>1</v>
      </c>
      <c r="E257" s="2">
        <v>0</v>
      </c>
      <c r="F257" s="2">
        <v>0</v>
      </c>
      <c r="G257" s="2">
        <v>5</v>
      </c>
      <c r="H257" s="2">
        <v>1</v>
      </c>
      <c r="I257" s="2">
        <v>0</v>
      </c>
      <c r="J257" s="2">
        <v>4</v>
      </c>
      <c r="K257" s="2">
        <v>0</v>
      </c>
      <c r="L257" s="2" t="s">
        <v>6462</v>
      </c>
      <c r="M257" s="2" t="s">
        <v>6481</v>
      </c>
      <c r="N257" s="2"/>
    </row>
    <row r="258" spans="1:14">
      <c r="A258" s="1">
        <v>43197.526707395831</v>
      </c>
      <c r="B258" s="2">
        <v>5686</v>
      </c>
      <c r="C258" s="2">
        <v>12</v>
      </c>
      <c r="D258" s="2">
        <v>1</v>
      </c>
      <c r="E258" s="2">
        <v>1</v>
      </c>
      <c r="F258" s="2">
        <v>0</v>
      </c>
      <c r="G258" s="2">
        <v>0</v>
      </c>
      <c r="H258" s="2">
        <v>1</v>
      </c>
      <c r="I258" s="2">
        <v>0</v>
      </c>
      <c r="J258" s="2">
        <v>9</v>
      </c>
      <c r="K258" s="2">
        <v>0</v>
      </c>
      <c r="L258" s="2" t="s">
        <v>6462</v>
      </c>
      <c r="M258" s="2" t="s">
        <v>6491</v>
      </c>
      <c r="N258" s="2" t="s">
        <v>6520</v>
      </c>
    </row>
    <row r="259" spans="1:14">
      <c r="A259" s="1">
        <v>43197.541836655095</v>
      </c>
      <c r="B259" s="2">
        <v>5686</v>
      </c>
      <c r="C259" s="2">
        <v>15</v>
      </c>
      <c r="D259" s="2">
        <v>1</v>
      </c>
      <c r="E259" s="2">
        <v>1</v>
      </c>
      <c r="F259" s="2">
        <v>0</v>
      </c>
      <c r="G259" s="2">
        <v>3</v>
      </c>
      <c r="H259" s="2">
        <v>1</v>
      </c>
      <c r="I259" s="2">
        <v>0</v>
      </c>
      <c r="J259" s="2">
        <v>7</v>
      </c>
      <c r="K259" s="2">
        <v>0</v>
      </c>
      <c r="L259" s="2" t="s">
        <v>6462</v>
      </c>
      <c r="M259" s="2" t="s">
        <v>6512</v>
      </c>
      <c r="N259" s="2"/>
    </row>
    <row r="260" spans="1:14">
      <c r="A260" s="1">
        <v>43197.639353738428</v>
      </c>
      <c r="B260" s="2">
        <v>5686</v>
      </c>
      <c r="C260" s="2">
        <v>27</v>
      </c>
      <c r="D260" s="2">
        <v>0</v>
      </c>
      <c r="E260" s="2">
        <v>1</v>
      </c>
      <c r="F260" s="2">
        <v>0</v>
      </c>
      <c r="G260" s="2">
        <v>4</v>
      </c>
      <c r="H260" s="2">
        <v>5</v>
      </c>
      <c r="I260" s="2">
        <v>3</v>
      </c>
      <c r="J260" s="2">
        <v>6</v>
      </c>
      <c r="K260" s="2">
        <v>0</v>
      </c>
      <c r="L260" s="2" t="s">
        <v>6462</v>
      </c>
      <c r="M260" s="2" t="s">
        <v>6478</v>
      </c>
      <c r="N260" s="2"/>
    </row>
    <row r="261" spans="1:14">
      <c r="A261" s="1">
        <v>43197.654563993055</v>
      </c>
      <c r="B261" s="2">
        <v>5686</v>
      </c>
      <c r="C261" s="2">
        <v>30</v>
      </c>
      <c r="D261" s="2">
        <v>0</v>
      </c>
      <c r="E261" s="2">
        <v>1</v>
      </c>
      <c r="F261" s="2">
        <v>0</v>
      </c>
      <c r="G261" s="2">
        <v>3</v>
      </c>
      <c r="H261" s="2">
        <v>1</v>
      </c>
      <c r="I261" s="2">
        <v>6</v>
      </c>
      <c r="J261" s="2">
        <v>5</v>
      </c>
      <c r="K261" s="2">
        <v>0</v>
      </c>
      <c r="L261" s="2" t="s">
        <v>6462</v>
      </c>
      <c r="M261" s="2" t="s">
        <v>6464</v>
      </c>
      <c r="N261" s="2"/>
    </row>
    <row r="262" spans="1:14">
      <c r="A262" s="1">
        <v>43197.684968449073</v>
      </c>
      <c r="B262" s="2">
        <v>5686</v>
      </c>
      <c r="C262" s="2">
        <v>36</v>
      </c>
      <c r="D262" s="2">
        <v>0</v>
      </c>
      <c r="E262" s="2">
        <v>0</v>
      </c>
      <c r="F262" s="2">
        <v>0</v>
      </c>
      <c r="G262" s="2">
        <v>3</v>
      </c>
      <c r="H262" s="2">
        <v>2</v>
      </c>
      <c r="I262" s="2">
        <v>0</v>
      </c>
      <c r="J262" s="2">
        <v>9</v>
      </c>
      <c r="K262" s="2">
        <v>0</v>
      </c>
      <c r="L262" s="2" t="s">
        <v>6462</v>
      </c>
      <c r="M262" s="2" t="s">
        <v>6491</v>
      </c>
      <c r="N262" s="2" t="s">
        <v>6626</v>
      </c>
    </row>
    <row r="263" spans="1:14">
      <c r="A263" s="1">
        <v>43197.719274861112</v>
      </c>
      <c r="B263" s="2">
        <v>5686</v>
      </c>
      <c r="C263" s="2">
        <v>42</v>
      </c>
      <c r="D263" s="2">
        <v>1</v>
      </c>
      <c r="E263" s="2">
        <v>1</v>
      </c>
      <c r="F263" s="2">
        <v>0</v>
      </c>
      <c r="G263" s="2">
        <v>1</v>
      </c>
      <c r="H263" s="2">
        <v>0</v>
      </c>
      <c r="I263" s="2">
        <v>0</v>
      </c>
      <c r="J263" s="2">
        <v>9</v>
      </c>
      <c r="K263" s="2">
        <v>0</v>
      </c>
      <c r="L263" s="2" t="s">
        <v>6462</v>
      </c>
      <c r="M263" s="2" t="s">
        <v>6491</v>
      </c>
      <c r="N263" s="2" t="s">
        <v>6639</v>
      </c>
    </row>
    <row r="264" spans="1:14">
      <c r="A264" s="1">
        <v>43197.759721018519</v>
      </c>
      <c r="B264" s="2">
        <v>5686</v>
      </c>
      <c r="C264" s="2">
        <v>49</v>
      </c>
      <c r="D264" s="2">
        <v>1</v>
      </c>
      <c r="E264" s="2">
        <v>0</v>
      </c>
      <c r="F264" s="2">
        <v>0</v>
      </c>
      <c r="G264" s="2">
        <v>0</v>
      </c>
      <c r="H264" s="2">
        <v>1</v>
      </c>
      <c r="I264" s="2">
        <v>0</v>
      </c>
      <c r="J264" s="2">
        <v>3</v>
      </c>
      <c r="K264" s="2">
        <v>1</v>
      </c>
      <c r="L264" s="2" t="s">
        <v>6490</v>
      </c>
      <c r="M264" s="2" t="s">
        <v>6491</v>
      </c>
      <c r="N264" s="2"/>
    </row>
    <row r="265" spans="1:14">
      <c r="A265" s="1">
        <v>43197.490254305558</v>
      </c>
      <c r="B265" s="2">
        <v>5746</v>
      </c>
      <c r="C265" s="2">
        <v>5</v>
      </c>
      <c r="D265" s="2">
        <v>1</v>
      </c>
      <c r="E265" s="2">
        <v>0</v>
      </c>
      <c r="F265" s="2">
        <v>0</v>
      </c>
      <c r="G265" s="2">
        <v>2</v>
      </c>
      <c r="H265" s="2">
        <v>0</v>
      </c>
      <c r="I265" s="2">
        <v>1</v>
      </c>
      <c r="J265" s="2">
        <v>0</v>
      </c>
      <c r="K265" s="2">
        <v>0</v>
      </c>
      <c r="L265" s="2" t="s">
        <v>6462</v>
      </c>
      <c r="M265" s="2"/>
      <c r="N265" s="2" t="s">
        <v>6485</v>
      </c>
    </row>
    <row r="266" spans="1:14">
      <c r="A266" s="1">
        <v>43197.510724571759</v>
      </c>
      <c r="B266" s="2">
        <v>5746</v>
      </c>
      <c r="C266" s="2">
        <v>9</v>
      </c>
      <c r="D266" s="2">
        <v>1</v>
      </c>
      <c r="E266" s="2">
        <v>1</v>
      </c>
      <c r="F266" s="2">
        <v>0</v>
      </c>
      <c r="G266" s="2">
        <v>2</v>
      </c>
      <c r="H266" s="2">
        <v>0</v>
      </c>
      <c r="I266" s="2">
        <v>0</v>
      </c>
      <c r="J266" s="2">
        <v>0</v>
      </c>
      <c r="K266" s="2">
        <v>0</v>
      </c>
      <c r="L266" s="2" t="s">
        <v>6462</v>
      </c>
      <c r="M266" s="2"/>
      <c r="N266" s="2" t="s">
        <v>6498</v>
      </c>
    </row>
    <row r="267" spans="1:14">
      <c r="A267" s="1">
        <v>43197.541694594911</v>
      </c>
      <c r="B267" s="2">
        <v>5746</v>
      </c>
      <c r="C267" s="2">
        <v>15</v>
      </c>
      <c r="D267" s="2">
        <v>1</v>
      </c>
      <c r="E267" s="2">
        <v>0</v>
      </c>
      <c r="F267" s="2">
        <v>0</v>
      </c>
      <c r="G267" s="2">
        <v>0</v>
      </c>
      <c r="H267" s="2">
        <v>0</v>
      </c>
      <c r="I267" s="2">
        <v>0</v>
      </c>
      <c r="J267" s="2">
        <v>5</v>
      </c>
      <c r="K267" s="2">
        <v>1</v>
      </c>
      <c r="L267" s="2" t="s">
        <v>6088</v>
      </c>
      <c r="M267" s="2" t="s">
        <v>6525</v>
      </c>
      <c r="N267" s="2" t="s">
        <v>6526</v>
      </c>
    </row>
    <row r="268" spans="1:14">
      <c r="A268" s="1">
        <v>43197.629933472221</v>
      </c>
      <c r="B268" s="2">
        <v>5746</v>
      </c>
      <c r="C268" s="2">
        <v>25</v>
      </c>
      <c r="D268" s="2">
        <v>1</v>
      </c>
      <c r="E268" s="2">
        <v>0</v>
      </c>
      <c r="F268" s="2">
        <v>0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 t="s">
        <v>6462</v>
      </c>
      <c r="M268" s="2" t="s">
        <v>6231</v>
      </c>
      <c r="N268" s="2" t="s">
        <v>6578</v>
      </c>
    </row>
    <row r="269" spans="1:14">
      <c r="A269" s="1">
        <v>43197.649582685182</v>
      </c>
      <c r="B269" s="2">
        <v>5746</v>
      </c>
      <c r="C269" s="2">
        <v>29</v>
      </c>
      <c r="D269" s="2">
        <v>1</v>
      </c>
      <c r="E269" s="2">
        <v>0</v>
      </c>
      <c r="F269" s="2">
        <v>0</v>
      </c>
      <c r="G269" s="2">
        <v>0</v>
      </c>
      <c r="H269" s="2">
        <v>0</v>
      </c>
      <c r="I269" s="2">
        <v>1</v>
      </c>
      <c r="J269" s="2">
        <v>6</v>
      </c>
      <c r="K269" s="2">
        <v>1</v>
      </c>
      <c r="L269" s="2" t="s">
        <v>6088</v>
      </c>
      <c r="M269" s="2" t="s">
        <v>6536</v>
      </c>
      <c r="N269" s="2"/>
    </row>
    <row r="270" spans="1:14">
      <c r="A270" s="1">
        <v>43197.694179282407</v>
      </c>
      <c r="B270" s="2">
        <v>5746</v>
      </c>
      <c r="C270" s="2">
        <v>38</v>
      </c>
      <c r="D270" s="2">
        <v>1</v>
      </c>
      <c r="E270" s="2">
        <v>0</v>
      </c>
      <c r="F270" s="2">
        <v>0</v>
      </c>
      <c r="G270" s="2">
        <v>0</v>
      </c>
      <c r="H270" s="2">
        <v>0</v>
      </c>
      <c r="I270" s="2">
        <v>0</v>
      </c>
      <c r="J270" s="2">
        <v>3</v>
      </c>
      <c r="K270" s="2">
        <v>0</v>
      </c>
      <c r="L270" s="2" t="s">
        <v>6462</v>
      </c>
      <c r="M270" s="2" t="s">
        <v>6476</v>
      </c>
      <c r="N270" s="2"/>
    </row>
    <row r="271" spans="1:14">
      <c r="A271" s="1">
        <v>43197.765100937497</v>
      </c>
      <c r="B271" s="2">
        <v>5746</v>
      </c>
      <c r="C271" s="2">
        <v>50</v>
      </c>
      <c r="D271" s="2">
        <v>1</v>
      </c>
      <c r="E271" s="2">
        <v>0</v>
      </c>
      <c r="F271" s="2">
        <v>0</v>
      </c>
      <c r="G271" s="2">
        <v>1</v>
      </c>
      <c r="H271" s="2">
        <v>0</v>
      </c>
      <c r="I271" s="2">
        <v>0</v>
      </c>
      <c r="J271" s="2">
        <v>3</v>
      </c>
      <c r="K271" s="2">
        <v>0</v>
      </c>
      <c r="L271" s="2" t="s">
        <v>6462</v>
      </c>
      <c r="M271" s="2" t="s">
        <v>6491</v>
      </c>
      <c r="N271" s="2"/>
    </row>
    <row r="272" spans="1:14">
      <c r="A272" s="1">
        <v>43197.792528298611</v>
      </c>
      <c r="B272" s="2">
        <v>5746</v>
      </c>
      <c r="C272" s="2">
        <v>55</v>
      </c>
      <c r="D272" s="2">
        <v>1</v>
      </c>
      <c r="E272" s="2">
        <v>0</v>
      </c>
      <c r="F272" s="2">
        <v>0</v>
      </c>
      <c r="G272" s="2">
        <v>0</v>
      </c>
      <c r="H272" s="2">
        <v>2</v>
      </c>
      <c r="I272" s="2">
        <v>1</v>
      </c>
      <c r="J272" s="2">
        <v>3</v>
      </c>
      <c r="K272" s="2">
        <v>0</v>
      </c>
      <c r="L272" s="2" t="s">
        <v>6088</v>
      </c>
      <c r="M272" s="2" t="s">
        <v>6463</v>
      </c>
      <c r="N272" s="2"/>
    </row>
    <row r="273" spans="1:14">
      <c r="A273" s="1">
        <v>43197.723998692127</v>
      </c>
      <c r="B273" s="2">
        <v>5748</v>
      </c>
      <c r="C273" s="2">
        <v>42</v>
      </c>
      <c r="D273" s="2">
        <v>0</v>
      </c>
      <c r="E273" s="2">
        <v>0</v>
      </c>
      <c r="F273" s="2">
        <v>0</v>
      </c>
      <c r="G273" s="2">
        <v>2</v>
      </c>
      <c r="H273" s="2">
        <v>0</v>
      </c>
      <c r="I273" s="2">
        <v>1</v>
      </c>
      <c r="J273" s="2">
        <v>0</v>
      </c>
      <c r="K273" s="2">
        <v>1</v>
      </c>
      <c r="L273" s="2" t="s">
        <v>6088</v>
      </c>
      <c r="M273" s="2" t="s">
        <v>6491</v>
      </c>
      <c r="N273" s="2"/>
    </row>
    <row r="274" spans="1:14">
      <c r="A274" s="1">
        <v>43197.789042800927</v>
      </c>
      <c r="B274" s="2">
        <v>5812</v>
      </c>
      <c r="C274" s="2">
        <v>54</v>
      </c>
      <c r="D274" s="2">
        <v>1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2</v>
      </c>
      <c r="K274" s="2">
        <v>0</v>
      </c>
      <c r="L274" s="2" t="s">
        <v>6462</v>
      </c>
      <c r="M274" s="2"/>
      <c r="N274" s="2"/>
    </row>
    <row r="275" spans="1:14">
      <c r="A275" s="1">
        <v>43197.501565914354</v>
      </c>
      <c r="B275" s="2">
        <v>6333</v>
      </c>
      <c r="C275" s="2">
        <v>7</v>
      </c>
      <c r="D275" s="2">
        <v>1</v>
      </c>
      <c r="E275" s="2">
        <v>0</v>
      </c>
      <c r="F275" s="2">
        <v>0</v>
      </c>
      <c r="G275" s="2">
        <v>0</v>
      </c>
      <c r="H275" s="2">
        <v>0</v>
      </c>
      <c r="I275" s="2">
        <v>1</v>
      </c>
      <c r="J275" s="2">
        <v>0</v>
      </c>
      <c r="K275" s="2">
        <v>1</v>
      </c>
      <c r="L275" s="2" t="s">
        <v>6088</v>
      </c>
      <c r="M275" s="2" t="s">
        <v>6088</v>
      </c>
      <c r="N275" s="2" t="s">
        <v>6492</v>
      </c>
    </row>
    <row r="276" spans="1:14">
      <c r="A276" s="1">
        <v>43197.516120416665</v>
      </c>
      <c r="B276" s="2">
        <v>6333</v>
      </c>
      <c r="C276" s="2">
        <v>10</v>
      </c>
      <c r="D276" s="2">
        <v>1</v>
      </c>
      <c r="E276" s="2">
        <v>0</v>
      </c>
      <c r="F276" s="2">
        <v>0</v>
      </c>
      <c r="G276" s="2">
        <v>1</v>
      </c>
      <c r="H276" s="2">
        <v>0</v>
      </c>
      <c r="I276" s="2">
        <v>1</v>
      </c>
      <c r="J276" s="2">
        <v>0</v>
      </c>
      <c r="K276" s="2">
        <v>0</v>
      </c>
      <c r="L276" s="2" t="s">
        <v>6462</v>
      </c>
      <c r="M276" s="2"/>
      <c r="N276" s="2"/>
    </row>
    <row r="277" spans="1:14">
      <c r="A277" s="1">
        <v>43197.639725474539</v>
      </c>
      <c r="B277" s="2">
        <v>6333</v>
      </c>
      <c r="C277" s="2">
        <v>27</v>
      </c>
      <c r="D277" s="2">
        <v>0</v>
      </c>
      <c r="E277" s="2">
        <v>1</v>
      </c>
      <c r="F277" s="2">
        <v>0</v>
      </c>
      <c r="G277" s="2">
        <v>0</v>
      </c>
      <c r="H277" s="2">
        <v>1</v>
      </c>
      <c r="I277" s="2">
        <v>0</v>
      </c>
      <c r="J277" s="2">
        <v>2</v>
      </c>
      <c r="K277" s="2">
        <v>1</v>
      </c>
      <c r="L277" s="2" t="s">
        <v>6088</v>
      </c>
      <c r="M277" s="2" t="s">
        <v>6584</v>
      </c>
      <c r="N277" s="2" t="s">
        <v>6585</v>
      </c>
    </row>
    <row r="278" spans="1:14">
      <c r="A278" s="1">
        <v>43197.664817500001</v>
      </c>
      <c r="B278" s="2">
        <v>6333</v>
      </c>
      <c r="C278" s="2">
        <v>32</v>
      </c>
      <c r="D278" s="2">
        <v>1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 t="s">
        <v>6088</v>
      </c>
      <c r="M278" s="2" t="s">
        <v>6468</v>
      </c>
      <c r="N278" s="2" t="s">
        <v>6597</v>
      </c>
    </row>
    <row r="279" spans="1:14">
      <c r="A279" s="1">
        <v>43197.680187361111</v>
      </c>
      <c r="B279" s="2">
        <v>6333</v>
      </c>
      <c r="C279" s="2">
        <v>35</v>
      </c>
      <c r="D279" s="2">
        <v>1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4</v>
      </c>
      <c r="K279" s="2">
        <v>1</v>
      </c>
      <c r="L279" s="2" t="s">
        <v>6088</v>
      </c>
      <c r="M279" s="2" t="s">
        <v>6625</v>
      </c>
      <c r="N279" s="2"/>
    </row>
    <row r="280" spans="1:14">
      <c r="A280" s="1">
        <v>43197.719396469911</v>
      </c>
      <c r="B280" s="2">
        <v>6333</v>
      </c>
      <c r="C280" s="2">
        <v>42</v>
      </c>
      <c r="D280" s="2">
        <v>1</v>
      </c>
      <c r="E280" s="2">
        <v>0</v>
      </c>
      <c r="F280" s="2">
        <v>0</v>
      </c>
      <c r="G280" s="2">
        <v>3</v>
      </c>
      <c r="H280" s="2">
        <v>0</v>
      </c>
      <c r="I280" s="2">
        <v>0</v>
      </c>
      <c r="J280" s="2">
        <v>0</v>
      </c>
      <c r="K280" s="2">
        <v>0</v>
      </c>
      <c r="L280" s="2" t="s">
        <v>6462</v>
      </c>
      <c r="M280" s="2" t="s">
        <v>6625</v>
      </c>
      <c r="N280" s="2"/>
    </row>
    <row r="281" spans="1:14">
      <c r="A281" s="1">
        <v>43197.719601307872</v>
      </c>
      <c r="B281" s="2">
        <v>6333</v>
      </c>
      <c r="C281" s="2">
        <v>42</v>
      </c>
      <c r="D281" s="2">
        <v>1</v>
      </c>
      <c r="E281" s="2">
        <v>0</v>
      </c>
      <c r="F281" s="2">
        <v>0</v>
      </c>
      <c r="G281" s="2">
        <v>1</v>
      </c>
      <c r="H281" s="2">
        <v>0</v>
      </c>
      <c r="I281" s="2">
        <v>0</v>
      </c>
      <c r="J281" s="2">
        <v>1</v>
      </c>
      <c r="K281" s="2">
        <v>0</v>
      </c>
      <c r="L281" s="2"/>
      <c r="M281" s="2" t="s">
        <v>6525</v>
      </c>
      <c r="N281" s="2"/>
    </row>
    <row r="282" spans="1:14">
      <c r="A282" s="1">
        <v>43197.792453518516</v>
      </c>
      <c r="B282" s="2">
        <v>6333</v>
      </c>
      <c r="C282" s="2">
        <v>55</v>
      </c>
      <c r="D282" s="2">
        <v>1</v>
      </c>
      <c r="E282" s="2">
        <v>0</v>
      </c>
      <c r="F282" s="2">
        <v>0</v>
      </c>
      <c r="G282" s="2">
        <v>0</v>
      </c>
      <c r="H282" s="2">
        <v>1</v>
      </c>
      <c r="I282" s="2">
        <v>0</v>
      </c>
      <c r="J282" s="2">
        <v>0</v>
      </c>
      <c r="K282" s="2">
        <v>0</v>
      </c>
      <c r="L282" s="2" t="s">
        <v>6462</v>
      </c>
      <c r="M282" s="2" t="s">
        <v>6491</v>
      </c>
      <c r="N282" s="2"/>
    </row>
    <row r="283" spans="1:14">
      <c r="A283" s="1">
        <v>43197.792821319446</v>
      </c>
      <c r="B283" s="2">
        <v>6333</v>
      </c>
      <c r="C283" s="2">
        <v>55</v>
      </c>
      <c r="D283" s="2">
        <v>1</v>
      </c>
      <c r="E283" s="2">
        <v>0</v>
      </c>
      <c r="F283" s="2">
        <v>0</v>
      </c>
      <c r="G283" s="2">
        <v>0</v>
      </c>
      <c r="H283" s="2">
        <v>1</v>
      </c>
      <c r="I283" s="2">
        <v>0</v>
      </c>
      <c r="J283" s="2">
        <v>0</v>
      </c>
      <c r="K283" s="2">
        <v>0</v>
      </c>
      <c r="L283" s="2" t="s">
        <v>6462</v>
      </c>
      <c r="M283" s="2" t="s">
        <v>6491</v>
      </c>
      <c r="N283" s="2"/>
    </row>
    <row r="284" spans="1:14">
      <c r="A284" s="1">
        <v>43197.464045439818</v>
      </c>
      <c r="B284" s="2">
        <v>6346</v>
      </c>
      <c r="C284" s="2">
        <v>1</v>
      </c>
      <c r="D284" s="2">
        <v>1</v>
      </c>
      <c r="E284" s="2">
        <v>0</v>
      </c>
      <c r="F284" s="2">
        <v>0</v>
      </c>
      <c r="G284" s="2">
        <v>0</v>
      </c>
      <c r="H284" s="2">
        <v>0</v>
      </c>
      <c r="I284" s="2">
        <v>0</v>
      </c>
      <c r="J284" s="2">
        <v>2</v>
      </c>
      <c r="K284" s="2">
        <v>0</v>
      </c>
      <c r="L284" s="2" t="s">
        <v>6462</v>
      </c>
      <c r="M284" s="2" t="s">
        <v>6463</v>
      </c>
      <c r="N284" s="2"/>
    </row>
    <row r="285" spans="1:14">
      <c r="A285" s="1">
        <v>43197.464124375001</v>
      </c>
      <c r="B285" s="2">
        <v>6346</v>
      </c>
      <c r="C285" s="2">
        <v>1</v>
      </c>
      <c r="D285" s="2">
        <v>1</v>
      </c>
      <c r="E285" s="2">
        <v>0</v>
      </c>
      <c r="F285" s="2">
        <v>0</v>
      </c>
      <c r="G285" s="2">
        <v>1</v>
      </c>
      <c r="H285" s="2">
        <v>0</v>
      </c>
      <c r="I285" s="2">
        <v>0</v>
      </c>
      <c r="J285" s="2">
        <v>2</v>
      </c>
      <c r="K285" s="2">
        <v>1</v>
      </c>
      <c r="L285" s="2" t="s">
        <v>6462</v>
      </c>
      <c r="M285" s="2" t="s">
        <v>6464</v>
      </c>
      <c r="N285" s="2" t="s">
        <v>6465</v>
      </c>
    </row>
    <row r="286" spans="1:14">
      <c r="A286" s="1">
        <v>43197.531555613423</v>
      </c>
      <c r="B286" s="2">
        <v>6346</v>
      </c>
      <c r="C286" s="2">
        <v>13</v>
      </c>
      <c r="D286" s="2">
        <v>1</v>
      </c>
      <c r="E286" s="2">
        <v>0</v>
      </c>
      <c r="F286" s="2">
        <v>0</v>
      </c>
      <c r="G286" s="2">
        <v>1</v>
      </c>
      <c r="H286" s="2">
        <v>0</v>
      </c>
      <c r="I286" s="2">
        <v>0</v>
      </c>
      <c r="J286" s="2">
        <v>4</v>
      </c>
      <c r="K286" s="2">
        <v>0</v>
      </c>
      <c r="L286" s="2"/>
      <c r="M286" s="2" t="s">
        <v>6088</v>
      </c>
      <c r="N286" s="2" t="s">
        <v>6522</v>
      </c>
    </row>
    <row r="287" spans="1:14">
      <c r="A287" s="1">
        <v>43197.53169462963</v>
      </c>
      <c r="B287" s="2">
        <v>6346</v>
      </c>
      <c r="C287" s="2">
        <v>13</v>
      </c>
      <c r="D287" s="2">
        <v>1</v>
      </c>
      <c r="E287" s="2">
        <v>0</v>
      </c>
      <c r="F287" s="2">
        <v>0</v>
      </c>
      <c r="G287" s="2">
        <v>1</v>
      </c>
      <c r="H287" s="2">
        <v>0</v>
      </c>
      <c r="I287" s="2">
        <v>0</v>
      </c>
      <c r="J287" s="2">
        <v>3</v>
      </c>
      <c r="K287" s="2">
        <v>0</v>
      </c>
      <c r="L287" s="2" t="s">
        <v>6462</v>
      </c>
      <c r="M287" s="2" t="s">
        <v>6088</v>
      </c>
      <c r="N287" s="2"/>
    </row>
    <row r="288" spans="1:14">
      <c r="A288" s="1">
        <v>43197.600723437499</v>
      </c>
      <c r="B288" s="2">
        <v>6346</v>
      </c>
      <c r="C288" s="2">
        <v>20</v>
      </c>
      <c r="D288" s="2">
        <v>1</v>
      </c>
      <c r="E288" s="2">
        <v>1</v>
      </c>
      <c r="F288" s="2">
        <v>0</v>
      </c>
      <c r="G288" s="2">
        <v>2</v>
      </c>
      <c r="H288" s="2">
        <v>0</v>
      </c>
      <c r="I288" s="2">
        <v>0</v>
      </c>
      <c r="J288" s="2">
        <v>0</v>
      </c>
      <c r="K288" s="2">
        <v>1</v>
      </c>
      <c r="L288" s="2" t="s">
        <v>6088</v>
      </c>
      <c r="M288" s="2" t="s">
        <v>6525</v>
      </c>
      <c r="N288" s="2" t="s">
        <v>6542</v>
      </c>
    </row>
    <row r="289" spans="1:14">
      <c r="A289" s="1">
        <v>43197.629238437497</v>
      </c>
      <c r="B289" s="2">
        <v>6346</v>
      </c>
      <c r="C289" s="2">
        <v>25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  <c r="I289" s="2">
        <v>0</v>
      </c>
      <c r="J289" s="2">
        <v>4</v>
      </c>
      <c r="K289" s="2">
        <v>0</v>
      </c>
      <c r="L289" s="2"/>
      <c r="M289" s="2" t="s">
        <v>6467</v>
      </c>
      <c r="N289" s="2" t="s">
        <v>6577</v>
      </c>
    </row>
    <row r="290" spans="1:14">
      <c r="A290" s="1">
        <v>43197.670061006946</v>
      </c>
      <c r="B290" s="2">
        <v>6346</v>
      </c>
      <c r="C290" s="2">
        <v>33</v>
      </c>
      <c r="D290" s="2">
        <v>1</v>
      </c>
      <c r="E290" s="2">
        <v>0</v>
      </c>
      <c r="F290" s="2">
        <v>0</v>
      </c>
      <c r="G290" s="2">
        <v>1</v>
      </c>
      <c r="H290" s="2">
        <v>0</v>
      </c>
      <c r="I290" s="2">
        <v>0</v>
      </c>
      <c r="J290" s="2">
        <v>2</v>
      </c>
      <c r="K290" s="2">
        <v>1</v>
      </c>
      <c r="L290" s="2" t="s">
        <v>6088</v>
      </c>
      <c r="M290" s="2" t="s">
        <v>6088</v>
      </c>
      <c r="N290" s="2" t="s">
        <v>6600</v>
      </c>
    </row>
    <row r="291" spans="1:14">
      <c r="A291" s="1">
        <v>43197.685686273151</v>
      </c>
      <c r="B291" s="2">
        <v>6346</v>
      </c>
      <c r="C291" s="2">
        <v>36</v>
      </c>
      <c r="D291" s="2">
        <v>0</v>
      </c>
      <c r="E291" s="2">
        <v>0</v>
      </c>
      <c r="F291" s="2">
        <v>0</v>
      </c>
      <c r="G291" s="2">
        <v>0</v>
      </c>
      <c r="H291" s="2">
        <v>0</v>
      </c>
      <c r="I291" s="2">
        <v>0</v>
      </c>
      <c r="J291" s="2">
        <v>0</v>
      </c>
      <c r="K291" s="2">
        <v>1</v>
      </c>
      <c r="L291" s="2" t="s">
        <v>6088</v>
      </c>
      <c r="M291" s="2" t="s">
        <v>6491</v>
      </c>
      <c r="N291" s="2"/>
    </row>
    <row r="292" spans="1:14">
      <c r="A292" s="1">
        <v>43197.74934545139</v>
      </c>
      <c r="B292" s="2">
        <v>6346</v>
      </c>
      <c r="C292" s="2">
        <v>47</v>
      </c>
      <c r="D292" s="2">
        <v>1</v>
      </c>
      <c r="E292" s="2">
        <v>0</v>
      </c>
      <c r="F292" s="2">
        <v>0</v>
      </c>
      <c r="G292" s="2">
        <v>0</v>
      </c>
      <c r="H292" s="2">
        <v>0</v>
      </c>
      <c r="I292" s="2">
        <v>0</v>
      </c>
      <c r="J292" s="2">
        <v>5</v>
      </c>
      <c r="K292" s="2">
        <v>0</v>
      </c>
      <c r="L292" s="2" t="s">
        <v>6462</v>
      </c>
      <c r="M292" s="2" t="s">
        <v>6482</v>
      </c>
      <c r="N292" s="2" t="s">
        <v>6657</v>
      </c>
    </row>
    <row r="293" spans="1:14">
      <c r="A293" s="1">
        <v>43197.775453275462</v>
      </c>
      <c r="B293" s="2">
        <v>6346</v>
      </c>
      <c r="C293" s="2">
        <v>52</v>
      </c>
      <c r="D293" s="2">
        <v>1</v>
      </c>
      <c r="E293" s="2">
        <v>0</v>
      </c>
      <c r="F293" s="2">
        <v>0</v>
      </c>
      <c r="G293" s="2">
        <v>0</v>
      </c>
      <c r="H293" s="2">
        <v>0</v>
      </c>
      <c r="I293" s="2">
        <v>2</v>
      </c>
      <c r="J293" s="2">
        <v>0</v>
      </c>
      <c r="K293" s="2">
        <v>1</v>
      </c>
      <c r="L293" s="2" t="s">
        <v>6088</v>
      </c>
      <c r="M293" s="2" t="s">
        <v>6582</v>
      </c>
      <c r="N293" s="2"/>
    </row>
    <row r="294" spans="1:14">
      <c r="A294" s="1">
        <v>43197.477059247685</v>
      </c>
      <c r="B294" s="2">
        <v>6811</v>
      </c>
      <c r="C294" s="2">
        <v>3</v>
      </c>
      <c r="D294" s="2">
        <v>1</v>
      </c>
      <c r="E294" s="2">
        <v>0</v>
      </c>
      <c r="F294" s="2">
        <v>0</v>
      </c>
      <c r="G294" s="2">
        <v>2</v>
      </c>
      <c r="H294" s="2">
        <v>0</v>
      </c>
      <c r="I294" s="2">
        <v>0</v>
      </c>
      <c r="J294" s="2">
        <v>0</v>
      </c>
      <c r="K294" s="2">
        <v>0</v>
      </c>
      <c r="L294" s="2" t="s">
        <v>6462</v>
      </c>
      <c r="M294" s="2" t="s">
        <v>6473</v>
      </c>
      <c r="N294" s="2" t="s">
        <v>6474</v>
      </c>
    </row>
    <row r="295" spans="1:14">
      <c r="A295" s="1">
        <v>43197.510942499997</v>
      </c>
      <c r="B295" s="2">
        <v>6811</v>
      </c>
      <c r="C295" s="2">
        <v>9</v>
      </c>
      <c r="D295" s="2">
        <v>1</v>
      </c>
      <c r="E295" s="2">
        <v>0</v>
      </c>
      <c r="F295" s="2">
        <v>0</v>
      </c>
      <c r="G295" s="2">
        <v>2</v>
      </c>
      <c r="H295" s="2">
        <v>1</v>
      </c>
      <c r="I295" s="2">
        <v>0</v>
      </c>
      <c r="J295" s="2">
        <v>0</v>
      </c>
      <c r="K295" s="2">
        <v>1</v>
      </c>
      <c r="L295" s="2" t="s">
        <v>6088</v>
      </c>
      <c r="M295" s="2" t="s">
        <v>6491</v>
      </c>
      <c r="N295" s="2"/>
    </row>
    <row r="296" spans="1:14">
      <c r="A296" s="1">
        <v>43197.536394571762</v>
      </c>
      <c r="B296" s="2">
        <v>6811</v>
      </c>
      <c r="C296" s="2">
        <v>14</v>
      </c>
      <c r="D296" s="2">
        <v>1</v>
      </c>
      <c r="E296" s="2">
        <v>0</v>
      </c>
      <c r="F296" s="2">
        <v>0</v>
      </c>
      <c r="G296" s="2">
        <v>4</v>
      </c>
      <c r="H296" s="2">
        <v>0</v>
      </c>
      <c r="I296" s="2">
        <v>0</v>
      </c>
      <c r="J296" s="2">
        <v>0</v>
      </c>
      <c r="K296" s="2">
        <v>0</v>
      </c>
      <c r="L296" s="2"/>
      <c r="M296" s="2" t="s">
        <v>6491</v>
      </c>
      <c r="N296" s="2"/>
    </row>
    <row r="297" spans="1:14">
      <c r="A297" s="1">
        <v>43197.606689641201</v>
      </c>
      <c r="B297" s="2">
        <v>6811</v>
      </c>
      <c r="C297" s="2">
        <v>21</v>
      </c>
      <c r="D297" s="2">
        <v>0</v>
      </c>
      <c r="E297" s="2">
        <v>0</v>
      </c>
      <c r="F297" s="2">
        <v>0</v>
      </c>
      <c r="G297" s="2">
        <v>3</v>
      </c>
      <c r="H297" s="2">
        <v>2</v>
      </c>
      <c r="I297" s="2">
        <v>0</v>
      </c>
      <c r="J297" s="2">
        <v>3</v>
      </c>
      <c r="K297" s="2">
        <v>0</v>
      </c>
      <c r="L297" s="2" t="s">
        <v>6462</v>
      </c>
      <c r="M297" s="2" t="s">
        <v>6565</v>
      </c>
      <c r="N297" s="2"/>
    </row>
    <row r="298" spans="1:14">
      <c r="A298" s="1">
        <v>43197.645317523151</v>
      </c>
      <c r="B298" s="2">
        <v>6811</v>
      </c>
      <c r="C298" s="2">
        <v>28</v>
      </c>
      <c r="D298" s="2">
        <v>1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1</v>
      </c>
      <c r="L298" s="2" t="s">
        <v>6088</v>
      </c>
      <c r="M298" s="2" t="s">
        <v>6088</v>
      </c>
      <c r="N298" s="2" t="s">
        <v>6588</v>
      </c>
    </row>
    <row r="299" spans="1:14">
      <c r="A299" s="1">
        <v>43197.694348611112</v>
      </c>
      <c r="B299" s="2">
        <v>6811</v>
      </c>
      <c r="C299" s="2">
        <v>38</v>
      </c>
      <c r="D299" s="2">
        <v>1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3</v>
      </c>
      <c r="K299" s="2">
        <v>0</v>
      </c>
      <c r="L299" s="2" t="s">
        <v>6462</v>
      </c>
      <c r="M299" s="2" t="s">
        <v>6479</v>
      </c>
      <c r="N299" s="2"/>
    </row>
    <row r="300" spans="1:14">
      <c r="A300" s="1">
        <v>43197.719500925923</v>
      </c>
      <c r="B300" s="2">
        <v>6811</v>
      </c>
      <c r="C300" s="2">
        <v>42</v>
      </c>
      <c r="D300" s="2">
        <v>1</v>
      </c>
      <c r="E300" s="2">
        <v>0</v>
      </c>
      <c r="F300" s="2">
        <v>0</v>
      </c>
      <c r="G300" s="2">
        <v>0</v>
      </c>
      <c r="H300" s="2">
        <v>0</v>
      </c>
      <c r="I300" s="2">
        <v>0</v>
      </c>
      <c r="J300" s="2">
        <v>4</v>
      </c>
      <c r="K300" s="2">
        <v>1</v>
      </c>
      <c r="L300" s="2" t="s">
        <v>6088</v>
      </c>
      <c r="M300" s="2" t="s">
        <v>6625</v>
      </c>
      <c r="N300" s="2"/>
    </row>
    <row r="301" spans="1:14">
      <c r="A301" s="1">
        <v>43197.78781263889</v>
      </c>
      <c r="B301" s="2">
        <v>6811</v>
      </c>
      <c r="C301" s="2">
        <v>54</v>
      </c>
      <c r="D301" s="2">
        <v>0</v>
      </c>
      <c r="E301" s="2">
        <v>1</v>
      </c>
      <c r="F301" s="2">
        <v>0</v>
      </c>
      <c r="G301" s="2">
        <v>1</v>
      </c>
      <c r="H301" s="2">
        <v>4</v>
      </c>
      <c r="I301" s="2">
        <v>0</v>
      </c>
      <c r="J301" s="2">
        <v>4</v>
      </c>
      <c r="K301" s="2">
        <v>0</v>
      </c>
      <c r="L301" s="2" t="s">
        <v>6462</v>
      </c>
      <c r="M301" s="2" t="s">
        <v>6694</v>
      </c>
      <c r="N301" s="2"/>
    </row>
    <row r="302" spans="1:14">
      <c r="A302" s="1">
        <v>43197.607086435186</v>
      </c>
      <c r="B302" s="2">
        <v>6812</v>
      </c>
      <c r="C302" s="2">
        <v>21</v>
      </c>
      <c r="D302" s="2">
        <v>1</v>
      </c>
      <c r="E302" s="2">
        <v>0</v>
      </c>
      <c r="F302" s="2">
        <v>0</v>
      </c>
      <c r="G302" s="2">
        <v>0</v>
      </c>
      <c r="H302" s="2">
        <v>0</v>
      </c>
      <c r="I302" s="2">
        <v>0</v>
      </c>
      <c r="J302" s="2">
        <v>0</v>
      </c>
      <c r="K302" s="2">
        <v>1</v>
      </c>
      <c r="L302" s="2" t="s">
        <v>6088</v>
      </c>
      <c r="M302" s="2" t="s">
        <v>6491</v>
      </c>
      <c r="N302" s="2" t="s">
        <v>6566</v>
      </c>
    </row>
    <row r="303" spans="1:14">
      <c r="A303" s="1">
        <v>43197.623654988427</v>
      </c>
      <c r="B303" s="2">
        <v>6812</v>
      </c>
      <c r="C303" s="2">
        <v>24</v>
      </c>
      <c r="D303" s="2">
        <v>0</v>
      </c>
      <c r="E303" s="2">
        <v>0</v>
      </c>
      <c r="F303" s="2">
        <v>0</v>
      </c>
      <c r="G303" s="2">
        <v>0</v>
      </c>
      <c r="H303" s="2">
        <v>0</v>
      </c>
      <c r="I303" s="2">
        <v>0</v>
      </c>
      <c r="J303" s="2">
        <v>0</v>
      </c>
      <c r="K303" s="2">
        <v>1</v>
      </c>
      <c r="L303" s="2" t="s">
        <v>6088</v>
      </c>
      <c r="M303" s="2" t="s">
        <v>6088</v>
      </c>
      <c r="N303" s="2" t="s">
        <v>6575</v>
      </c>
    </row>
    <row r="304" spans="1:14">
      <c r="A304" s="1">
        <v>43197.65526521991</v>
      </c>
      <c r="B304" s="2">
        <v>6812</v>
      </c>
      <c r="C304" s="2">
        <v>30</v>
      </c>
      <c r="D304" s="2">
        <v>1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2</v>
      </c>
      <c r="K304" s="2">
        <v>1</v>
      </c>
      <c r="L304" s="2" t="s">
        <v>6088</v>
      </c>
      <c r="M304" s="2" t="s">
        <v>6088</v>
      </c>
      <c r="N304" s="2" t="s">
        <v>6594</v>
      </c>
    </row>
    <row r="305" spans="1:14">
      <c r="A305" s="1">
        <v>43197.685151678241</v>
      </c>
      <c r="B305" s="2">
        <v>6812</v>
      </c>
      <c r="C305" s="2">
        <v>36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1</v>
      </c>
      <c r="K305" s="2">
        <v>1</v>
      </c>
      <c r="L305" s="2" t="s">
        <v>6088</v>
      </c>
      <c r="M305" s="2" t="s">
        <v>6088</v>
      </c>
      <c r="N305" s="2" t="s">
        <v>6628</v>
      </c>
    </row>
    <row r="306" spans="1:14">
      <c r="A306" s="1">
        <v>43197.74133488426</v>
      </c>
      <c r="B306" s="2">
        <v>6872</v>
      </c>
      <c r="C306" s="2">
        <v>26</v>
      </c>
      <c r="D306" s="2">
        <v>1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 t="s">
        <v>6462</v>
      </c>
      <c r="M306" s="2"/>
      <c r="N306" s="2" t="s">
        <v>6652</v>
      </c>
    </row>
    <row r="307" spans="1:14">
      <c r="A307" s="1">
        <v>43197.477032581017</v>
      </c>
      <c r="B307" s="2">
        <v>6895</v>
      </c>
      <c r="C307" s="2">
        <v>3</v>
      </c>
      <c r="D307" s="2">
        <v>1</v>
      </c>
      <c r="E307" s="2">
        <v>0</v>
      </c>
      <c r="F307" s="2">
        <v>0</v>
      </c>
      <c r="G307" s="2">
        <v>0</v>
      </c>
      <c r="H307" s="2">
        <v>1</v>
      </c>
      <c r="I307" s="2">
        <v>0</v>
      </c>
      <c r="J307" s="2">
        <v>2</v>
      </c>
      <c r="K307" s="2">
        <v>1</v>
      </c>
      <c r="L307" s="2" t="s">
        <v>6088</v>
      </c>
      <c r="M307" s="2" t="s">
        <v>6088</v>
      </c>
      <c r="N307" s="2"/>
    </row>
    <row r="308" spans="1:14">
      <c r="A308" s="1">
        <v>43197.526714097221</v>
      </c>
      <c r="B308" s="2">
        <v>6895</v>
      </c>
      <c r="C308" s="2">
        <v>12</v>
      </c>
      <c r="D308" s="2">
        <v>1</v>
      </c>
      <c r="E308" s="2">
        <v>0</v>
      </c>
      <c r="F308" s="2">
        <v>0</v>
      </c>
      <c r="G308" s="2">
        <v>0</v>
      </c>
      <c r="H308" s="2">
        <v>1</v>
      </c>
      <c r="I308" s="2">
        <v>0</v>
      </c>
      <c r="J308" s="2">
        <v>0</v>
      </c>
      <c r="K308" s="2">
        <v>0</v>
      </c>
      <c r="L308" s="2" t="s">
        <v>6462</v>
      </c>
      <c r="M308" s="2"/>
      <c r="N308" s="2" t="s">
        <v>6521</v>
      </c>
    </row>
    <row r="309" spans="1:14">
      <c r="A309" s="1">
        <v>43197.526863564817</v>
      </c>
      <c r="B309" s="2">
        <v>6895</v>
      </c>
      <c r="C309" s="2">
        <v>12</v>
      </c>
      <c r="D309" s="2">
        <v>1</v>
      </c>
      <c r="E309" s="2">
        <v>0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 t="s">
        <v>6462</v>
      </c>
      <c r="M309" s="2" t="s">
        <v>6088</v>
      </c>
      <c r="N309" s="2"/>
    </row>
    <row r="310" spans="1:14">
      <c r="A310" s="1">
        <v>43197.59013488426</v>
      </c>
      <c r="B310" s="2">
        <v>6895</v>
      </c>
      <c r="C310" s="2">
        <v>18</v>
      </c>
      <c r="D310" s="2">
        <v>1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 t="s">
        <v>6462</v>
      </c>
      <c r="M310" s="2" t="s">
        <v>6525</v>
      </c>
      <c r="N310" s="2"/>
    </row>
    <row r="311" spans="1:14">
      <c r="A311" s="1">
        <v>43197.64449770833</v>
      </c>
      <c r="B311" s="2">
        <v>6895</v>
      </c>
      <c r="C311" s="2">
        <v>28</v>
      </c>
      <c r="D311" s="2">
        <v>1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5</v>
      </c>
      <c r="K311" s="2">
        <v>0</v>
      </c>
      <c r="L311" s="2" t="s">
        <v>6462</v>
      </c>
      <c r="M311" s="2" t="s">
        <v>6088</v>
      </c>
      <c r="N311" s="2"/>
    </row>
    <row r="312" spans="1:14">
      <c r="A312" s="1">
        <v>43197.67481945602</v>
      </c>
      <c r="B312" s="2">
        <v>6895</v>
      </c>
      <c r="C312" s="2">
        <v>34</v>
      </c>
      <c r="D312" s="2">
        <v>1</v>
      </c>
      <c r="E312" s="2">
        <v>0</v>
      </c>
      <c r="F312" s="2">
        <v>0</v>
      </c>
      <c r="G312" s="2">
        <v>1</v>
      </c>
      <c r="H312" s="2">
        <v>0</v>
      </c>
      <c r="I312" s="2">
        <v>0</v>
      </c>
      <c r="J312" s="2">
        <v>2</v>
      </c>
      <c r="K312" s="2">
        <v>0</v>
      </c>
      <c r="L312" s="2" t="s">
        <v>6462</v>
      </c>
      <c r="M312" s="2"/>
      <c r="N312" s="2"/>
    </row>
    <row r="313" spans="1:14">
      <c r="A313" s="1">
        <v>43197.705310405094</v>
      </c>
      <c r="B313" s="2">
        <v>6895</v>
      </c>
      <c r="C313" s="2">
        <v>39</v>
      </c>
      <c r="D313" s="2">
        <v>1</v>
      </c>
      <c r="E313" s="2">
        <v>0</v>
      </c>
      <c r="F313" s="2">
        <v>0</v>
      </c>
      <c r="G313" s="2">
        <v>0</v>
      </c>
      <c r="H313" s="2">
        <v>0</v>
      </c>
      <c r="I313" s="2">
        <v>0</v>
      </c>
      <c r="J313" s="2">
        <v>2</v>
      </c>
      <c r="K313" s="2">
        <v>1</v>
      </c>
      <c r="L313" s="2" t="s">
        <v>6088</v>
      </c>
      <c r="M313" s="2" t="s">
        <v>6525</v>
      </c>
      <c r="N313" s="2"/>
    </row>
    <row r="314" spans="1:14">
      <c r="A314" s="1">
        <v>43197.750968425928</v>
      </c>
      <c r="B314" s="2">
        <v>6895</v>
      </c>
      <c r="C314" s="2">
        <v>48</v>
      </c>
      <c r="D314" s="2">
        <v>1</v>
      </c>
      <c r="E314" s="2">
        <v>0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1</v>
      </c>
      <c r="L314" s="2" t="s">
        <v>12</v>
      </c>
      <c r="M314" s="2" t="s">
        <v>6655</v>
      </c>
      <c r="N314" s="2"/>
    </row>
    <row r="315" spans="1:14">
      <c r="A315" s="1">
        <v>43197.793111203704</v>
      </c>
      <c r="B315" s="2">
        <v>6895</v>
      </c>
      <c r="C315" s="2">
        <v>55</v>
      </c>
      <c r="D315" s="2">
        <v>1</v>
      </c>
      <c r="E315" s="2">
        <v>0</v>
      </c>
      <c r="F315" s="2">
        <v>0</v>
      </c>
      <c r="G315" s="2">
        <v>2</v>
      </c>
      <c r="H315" s="2">
        <v>0</v>
      </c>
      <c r="I315" s="2">
        <v>0</v>
      </c>
      <c r="J315" s="2">
        <v>0</v>
      </c>
      <c r="K315" s="2">
        <v>0</v>
      </c>
      <c r="L315" s="2" t="s">
        <v>6462</v>
      </c>
      <c r="M315" s="2"/>
      <c r="N315" s="2"/>
    </row>
    <row r="316" spans="1:14">
      <c r="A316" s="1">
        <v>43197.501578506941</v>
      </c>
      <c r="B316" s="2">
        <v>7127</v>
      </c>
      <c r="C316" s="2">
        <v>7</v>
      </c>
      <c r="D316" s="2">
        <v>1</v>
      </c>
      <c r="E316" s="2">
        <v>0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 t="s">
        <v>6088</v>
      </c>
      <c r="M316" s="2" t="s">
        <v>6481</v>
      </c>
      <c r="N316" s="2" t="s">
        <v>6493</v>
      </c>
    </row>
    <row r="317" spans="1:14">
      <c r="A317" s="1">
        <v>43197.531953958336</v>
      </c>
      <c r="B317" s="2">
        <v>7127</v>
      </c>
      <c r="C317" s="2">
        <v>13</v>
      </c>
      <c r="D317" s="2">
        <v>1</v>
      </c>
      <c r="E317" s="2">
        <v>0</v>
      </c>
      <c r="F317" s="2">
        <v>0</v>
      </c>
      <c r="G317" s="2">
        <v>0</v>
      </c>
      <c r="H317" s="2">
        <v>0</v>
      </c>
      <c r="I317" s="2">
        <v>0</v>
      </c>
      <c r="J317" s="2">
        <v>6</v>
      </c>
      <c r="K317" s="2">
        <v>0</v>
      </c>
      <c r="L317" s="2" t="s">
        <v>6462</v>
      </c>
      <c r="M317" s="2" t="s">
        <v>6491</v>
      </c>
      <c r="N317" s="2"/>
    </row>
    <row r="318" spans="1:14">
      <c r="A318" s="1">
        <v>43197.600794432874</v>
      </c>
      <c r="B318" s="2">
        <v>7127</v>
      </c>
      <c r="C318" s="2">
        <v>20</v>
      </c>
      <c r="D318" s="2">
        <v>1</v>
      </c>
      <c r="E318" s="2">
        <v>0</v>
      </c>
      <c r="F318" s="2">
        <v>0</v>
      </c>
      <c r="G318" s="2">
        <v>0</v>
      </c>
      <c r="H318" s="2">
        <v>1</v>
      </c>
      <c r="I318" s="2">
        <v>0</v>
      </c>
      <c r="J318" s="2">
        <v>0</v>
      </c>
      <c r="K318" s="2">
        <v>0</v>
      </c>
      <c r="L318" s="2" t="s">
        <v>6462</v>
      </c>
      <c r="M318" s="2" t="s">
        <v>6525</v>
      </c>
      <c r="N318" s="2" t="s">
        <v>6543</v>
      </c>
    </row>
    <row r="319" spans="1:14">
      <c r="A319" s="1">
        <v>43197.618294675929</v>
      </c>
      <c r="B319" s="2">
        <v>7127</v>
      </c>
      <c r="C319" s="2">
        <v>23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 t="s">
        <v>6462</v>
      </c>
      <c r="M319" s="2"/>
      <c r="N319" s="2" t="s">
        <v>6573</v>
      </c>
    </row>
    <row r="320" spans="1:14">
      <c r="A320" s="1">
        <v>43197.705344085647</v>
      </c>
      <c r="B320" s="2">
        <v>7127</v>
      </c>
      <c r="C320" s="2">
        <v>39</v>
      </c>
      <c r="D320" s="2">
        <v>1</v>
      </c>
      <c r="E320" s="2">
        <v>0</v>
      </c>
      <c r="F320" s="2">
        <v>0</v>
      </c>
      <c r="G320" s="2">
        <v>0</v>
      </c>
      <c r="H320" s="2">
        <v>4</v>
      </c>
      <c r="I320" s="2">
        <v>0</v>
      </c>
      <c r="J320" s="2">
        <v>0</v>
      </c>
      <c r="K320" s="2">
        <v>1</v>
      </c>
      <c r="L320" s="2" t="s">
        <v>6088</v>
      </c>
      <c r="M320" s="2" t="s">
        <v>6525</v>
      </c>
      <c r="N320" s="2"/>
    </row>
    <row r="321" spans="1:14">
      <c r="A321" s="1">
        <v>43197.742096967595</v>
      </c>
      <c r="B321" s="2">
        <v>7127</v>
      </c>
      <c r="C321" s="2">
        <v>46</v>
      </c>
      <c r="D321" s="2">
        <v>1</v>
      </c>
      <c r="E321" s="2">
        <v>0</v>
      </c>
      <c r="F321" s="2">
        <v>0</v>
      </c>
      <c r="G321" s="2">
        <v>0</v>
      </c>
      <c r="H321" s="2">
        <v>2</v>
      </c>
      <c r="I321" s="2">
        <v>0</v>
      </c>
      <c r="J321" s="2">
        <v>0</v>
      </c>
      <c r="K321" s="2">
        <v>0</v>
      </c>
      <c r="L321" s="2" t="s">
        <v>6462</v>
      </c>
      <c r="M321" s="2" t="s">
        <v>6491</v>
      </c>
      <c r="N321" s="2"/>
    </row>
    <row r="322" spans="1:14">
      <c r="A322" s="1">
        <v>43197.742638912037</v>
      </c>
      <c r="B322" s="2">
        <v>7127</v>
      </c>
      <c r="C322" s="2">
        <v>46</v>
      </c>
      <c r="D322" s="2">
        <v>1</v>
      </c>
      <c r="E322" s="2">
        <v>0</v>
      </c>
      <c r="F322" s="2">
        <v>0</v>
      </c>
      <c r="G322" s="2">
        <v>0</v>
      </c>
      <c r="H322" s="2">
        <v>4</v>
      </c>
      <c r="I322" s="2">
        <v>0</v>
      </c>
      <c r="J322" s="2">
        <v>0</v>
      </c>
      <c r="K322" s="2">
        <v>0</v>
      </c>
      <c r="L322" s="2" t="s">
        <v>6088</v>
      </c>
      <c r="M322" s="2" t="s">
        <v>6491</v>
      </c>
      <c r="N322" s="2"/>
    </row>
    <row r="323" spans="1:14">
      <c r="A323" s="1">
        <v>43197.781016226851</v>
      </c>
      <c r="B323" s="2">
        <v>7127</v>
      </c>
      <c r="C323" s="2">
        <v>52</v>
      </c>
      <c r="D323" s="2">
        <v>0</v>
      </c>
      <c r="E323" s="2">
        <v>1</v>
      </c>
      <c r="F323" s="2">
        <v>0</v>
      </c>
      <c r="G323" s="2">
        <v>3</v>
      </c>
      <c r="H323" s="2">
        <v>4</v>
      </c>
      <c r="I323" s="2">
        <v>4</v>
      </c>
      <c r="J323" s="2">
        <v>6</v>
      </c>
      <c r="K323" s="2">
        <v>0</v>
      </c>
      <c r="L323" s="2" t="s">
        <v>6462</v>
      </c>
      <c r="M323" s="2" t="s">
        <v>6536</v>
      </c>
      <c r="N323" s="2"/>
    </row>
    <row r="324" spans="1:14">
      <c r="A324" s="1">
        <v>43197.477147129626</v>
      </c>
      <c r="B324" s="2">
        <v>7153</v>
      </c>
      <c r="C324" s="2">
        <v>3</v>
      </c>
      <c r="D324" s="2">
        <v>1</v>
      </c>
      <c r="E324" s="2">
        <v>0</v>
      </c>
      <c r="F324" s="2">
        <v>0</v>
      </c>
      <c r="G324" s="2">
        <v>1</v>
      </c>
      <c r="H324" s="2">
        <v>0</v>
      </c>
      <c r="I324" s="2">
        <v>0</v>
      </c>
      <c r="J324" s="2">
        <v>1</v>
      </c>
      <c r="K324" s="2">
        <v>0</v>
      </c>
      <c r="L324" s="2" t="s">
        <v>6462</v>
      </c>
      <c r="M324" s="2" t="s">
        <v>6473</v>
      </c>
      <c r="N324" s="2" t="s">
        <v>6475</v>
      </c>
    </row>
    <row r="325" spans="1:14">
      <c r="A325" s="1">
        <v>43197.516049537036</v>
      </c>
      <c r="B325" s="2">
        <v>7153</v>
      </c>
      <c r="C325" s="2">
        <v>10</v>
      </c>
      <c r="D325" s="2">
        <v>1</v>
      </c>
      <c r="E325" s="2">
        <v>0</v>
      </c>
      <c r="F325" s="2">
        <v>0</v>
      </c>
      <c r="G325" s="2">
        <v>6</v>
      </c>
      <c r="H325" s="2">
        <v>0</v>
      </c>
      <c r="I325" s="2">
        <v>0</v>
      </c>
      <c r="J325" s="2">
        <v>0</v>
      </c>
      <c r="K325" s="2">
        <v>0</v>
      </c>
      <c r="L325" s="2" t="s">
        <v>6462</v>
      </c>
      <c r="M325" s="2"/>
      <c r="N325" s="2"/>
    </row>
    <row r="326" spans="1:14">
      <c r="A326" s="1">
        <v>43197.547026087967</v>
      </c>
      <c r="B326" s="2">
        <v>7153</v>
      </c>
      <c r="C326" s="2">
        <v>16</v>
      </c>
      <c r="D326" s="2">
        <v>1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  <c r="J326" s="2">
        <v>8</v>
      </c>
      <c r="K326" s="2">
        <v>0</v>
      </c>
      <c r="L326" s="2" t="s">
        <v>6462</v>
      </c>
      <c r="M326" s="2" t="s">
        <v>6479</v>
      </c>
      <c r="N326" s="2"/>
    </row>
    <row r="327" spans="1:14">
      <c r="A327" s="1">
        <v>43197.547815208331</v>
      </c>
      <c r="B327" s="2">
        <v>7153</v>
      </c>
      <c r="C327" s="2">
        <v>16</v>
      </c>
      <c r="D327" s="2">
        <v>1</v>
      </c>
      <c r="E327" s="2">
        <v>0</v>
      </c>
      <c r="F327" s="2">
        <v>0</v>
      </c>
      <c r="G327" s="2">
        <v>1</v>
      </c>
      <c r="H327" s="2">
        <v>0</v>
      </c>
      <c r="I327" s="2">
        <v>0</v>
      </c>
      <c r="J327" s="2">
        <v>3</v>
      </c>
      <c r="K327" s="2">
        <v>0</v>
      </c>
      <c r="L327" s="2"/>
      <c r="M327" s="2" t="s">
        <v>6479</v>
      </c>
      <c r="N327" s="2"/>
    </row>
    <row r="328" spans="1:14">
      <c r="A328" s="1">
        <v>43197.634925208331</v>
      </c>
      <c r="B328" s="2">
        <v>7153</v>
      </c>
      <c r="C328" s="2">
        <v>26</v>
      </c>
      <c r="D328" s="2">
        <v>1</v>
      </c>
      <c r="E328" s="2">
        <v>0</v>
      </c>
      <c r="F328" s="2">
        <v>0</v>
      </c>
      <c r="G328" s="2">
        <v>1</v>
      </c>
      <c r="H328" s="2">
        <v>0</v>
      </c>
      <c r="I328" s="2">
        <v>0</v>
      </c>
      <c r="J328" s="2">
        <v>9</v>
      </c>
      <c r="K328" s="2">
        <v>0</v>
      </c>
      <c r="L328" s="2" t="s">
        <v>6462</v>
      </c>
      <c r="M328" s="2" t="s">
        <v>6491</v>
      </c>
      <c r="N328" s="2" t="s">
        <v>6580</v>
      </c>
    </row>
    <row r="329" spans="1:14">
      <c r="A329" s="1">
        <v>43197.670251909723</v>
      </c>
      <c r="B329" s="2">
        <v>7153</v>
      </c>
      <c r="C329" s="2">
        <v>33</v>
      </c>
      <c r="D329" s="2">
        <v>1</v>
      </c>
      <c r="E329" s="2">
        <v>1</v>
      </c>
      <c r="F329" s="2">
        <v>0</v>
      </c>
      <c r="G329" s="2">
        <v>0</v>
      </c>
      <c r="H329" s="2">
        <v>0</v>
      </c>
      <c r="I329" s="2">
        <v>0</v>
      </c>
      <c r="J329" s="2">
        <v>4</v>
      </c>
      <c r="K329" s="2">
        <v>1</v>
      </c>
      <c r="L329" s="2" t="s">
        <v>6490</v>
      </c>
      <c r="M329" s="2" t="s">
        <v>6479</v>
      </c>
      <c r="N329" s="2"/>
    </row>
    <row r="330" spans="1:14">
      <c r="A330" s="1">
        <v>43197.689672118053</v>
      </c>
      <c r="B330" s="2">
        <v>7153</v>
      </c>
      <c r="C330" s="2">
        <v>37</v>
      </c>
      <c r="D330" s="2">
        <v>1</v>
      </c>
      <c r="E330" s="2">
        <v>0</v>
      </c>
      <c r="F330" s="2">
        <v>0</v>
      </c>
      <c r="G330" s="2">
        <v>2</v>
      </c>
      <c r="H330" s="2">
        <v>0</v>
      </c>
      <c r="I330" s="2">
        <v>0</v>
      </c>
      <c r="J330" s="2">
        <v>4</v>
      </c>
      <c r="K330" s="2">
        <v>0</v>
      </c>
      <c r="L330" s="2" t="s">
        <v>6462</v>
      </c>
      <c r="M330" s="2" t="s">
        <v>6467</v>
      </c>
      <c r="N330" s="2"/>
    </row>
    <row r="331" spans="1:14">
      <c r="A331" s="1">
        <v>43197.769484386576</v>
      </c>
      <c r="B331" s="2">
        <v>7153</v>
      </c>
      <c r="C331" s="2">
        <v>51</v>
      </c>
      <c r="D331" s="2">
        <v>1</v>
      </c>
      <c r="E331" s="2">
        <v>0</v>
      </c>
      <c r="F331" s="2">
        <v>0</v>
      </c>
      <c r="G331" s="2">
        <v>0</v>
      </c>
      <c r="H331" s="2">
        <v>1</v>
      </c>
      <c r="I331" s="2">
        <v>0</v>
      </c>
      <c r="J331" s="2">
        <v>0</v>
      </c>
      <c r="K331" s="2">
        <v>0</v>
      </c>
      <c r="L331" s="2" t="s">
        <v>6462</v>
      </c>
      <c r="M331" s="2" t="s">
        <v>6479</v>
      </c>
      <c r="N331" s="2"/>
    </row>
    <row r="332" spans="1:14">
      <c r="A332" s="1">
        <v>43197.797459513888</v>
      </c>
      <c r="B332" s="2">
        <v>5129</v>
      </c>
      <c r="C332" s="2">
        <v>56</v>
      </c>
      <c r="D332" s="2">
        <v>1</v>
      </c>
      <c r="E332" s="2">
        <v>0</v>
      </c>
      <c r="F332" s="2">
        <v>0</v>
      </c>
      <c r="G332" s="2">
        <v>2</v>
      </c>
      <c r="H332" s="2">
        <v>0</v>
      </c>
      <c r="I332" s="2">
        <v>0</v>
      </c>
      <c r="J332" s="2">
        <v>3</v>
      </c>
      <c r="K332" s="2">
        <v>1</v>
      </c>
      <c r="L332" s="2" t="s">
        <v>6088</v>
      </c>
      <c r="M332" s="2" t="s">
        <v>6625</v>
      </c>
      <c r="N332" s="2"/>
    </row>
    <row r="333" spans="1:14">
      <c r="A333" s="1">
        <v>43197.797517372688</v>
      </c>
      <c r="B333" s="2">
        <v>195</v>
      </c>
      <c r="C333" s="2">
        <v>56</v>
      </c>
      <c r="D333" s="2">
        <v>1</v>
      </c>
      <c r="E333" s="2">
        <v>0</v>
      </c>
      <c r="F333" s="2">
        <v>1</v>
      </c>
      <c r="G333" s="2">
        <v>0</v>
      </c>
      <c r="H333" s="2">
        <v>0</v>
      </c>
      <c r="I333" s="2">
        <v>3</v>
      </c>
      <c r="J333" s="2">
        <v>0</v>
      </c>
      <c r="K333" s="2">
        <v>1</v>
      </c>
      <c r="L333" s="2" t="s">
        <v>12</v>
      </c>
      <c r="M333" s="2" t="s">
        <v>6625</v>
      </c>
      <c r="N333" s="2" t="s">
        <v>6712</v>
      </c>
    </row>
    <row r="334" spans="1:14">
      <c r="A334" s="1">
        <v>43197.797520520835</v>
      </c>
      <c r="B334" s="2">
        <v>3634</v>
      </c>
      <c r="C334" s="2">
        <v>56</v>
      </c>
      <c r="D334" s="2">
        <v>1</v>
      </c>
      <c r="E334" s="2">
        <v>0</v>
      </c>
      <c r="F334" s="2">
        <v>0</v>
      </c>
      <c r="G334" s="2">
        <v>1</v>
      </c>
      <c r="H334" s="2">
        <v>0</v>
      </c>
      <c r="I334" s="2">
        <v>0</v>
      </c>
      <c r="J334" s="2">
        <v>0</v>
      </c>
      <c r="K334" s="2">
        <v>1</v>
      </c>
      <c r="L334" s="2" t="s">
        <v>6088</v>
      </c>
      <c r="M334" s="2" t="s">
        <v>6479</v>
      </c>
      <c r="N334" s="2" t="s">
        <v>6713</v>
      </c>
    </row>
    <row r="335" spans="1:14">
      <c r="A335" s="1">
        <v>43197.797608090281</v>
      </c>
      <c r="B335" s="2">
        <v>1973</v>
      </c>
      <c r="C335" s="2">
        <v>56</v>
      </c>
      <c r="D335" s="2">
        <v>1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1</v>
      </c>
      <c r="K335" s="2">
        <v>1</v>
      </c>
      <c r="L335" s="2" t="s">
        <v>6088</v>
      </c>
      <c r="M335" s="2" t="s">
        <v>6625</v>
      </c>
      <c r="N335" s="2" t="s">
        <v>6714</v>
      </c>
    </row>
    <row r="336" spans="1:14">
      <c r="A336" s="1">
        <v>43197.797669583335</v>
      </c>
      <c r="B336" s="2">
        <v>1740</v>
      </c>
      <c r="C336" s="2">
        <v>56</v>
      </c>
      <c r="D336" s="2">
        <v>1</v>
      </c>
      <c r="E336" s="2">
        <v>0</v>
      </c>
      <c r="F336" s="2">
        <v>0</v>
      </c>
      <c r="G336" s="2">
        <v>0</v>
      </c>
      <c r="H336" s="2">
        <v>0</v>
      </c>
      <c r="I336" s="2">
        <v>4</v>
      </c>
      <c r="J336" s="2">
        <v>0</v>
      </c>
      <c r="K336" s="2">
        <v>1</v>
      </c>
      <c r="L336" s="2" t="s">
        <v>12</v>
      </c>
      <c r="M336" s="2" t="s">
        <v>6088</v>
      </c>
      <c r="N336" s="2" t="s">
        <v>6715</v>
      </c>
    </row>
    <row r="337" spans="1:14">
      <c r="A337" s="1">
        <v>43197.798041134258</v>
      </c>
      <c r="B337" s="2">
        <v>195</v>
      </c>
      <c r="C337" s="2">
        <v>56</v>
      </c>
      <c r="D337" s="2">
        <v>1</v>
      </c>
      <c r="E337" s="2">
        <v>0</v>
      </c>
      <c r="F337" s="2">
        <v>1</v>
      </c>
      <c r="G337" s="2">
        <v>0</v>
      </c>
      <c r="H337" s="2">
        <v>0</v>
      </c>
      <c r="I337" s="2">
        <v>7</v>
      </c>
      <c r="J337" s="2">
        <v>0</v>
      </c>
      <c r="K337" s="2">
        <v>1</v>
      </c>
      <c r="L337" s="2" t="s">
        <v>12</v>
      </c>
      <c r="M337" s="2" t="s">
        <v>6479</v>
      </c>
      <c r="N337" s="2" t="s">
        <v>6716</v>
      </c>
    </row>
    <row r="338" spans="1:14">
      <c r="A338" s="1">
        <v>43197.802095335646</v>
      </c>
      <c r="B338" s="2">
        <v>6811</v>
      </c>
      <c r="C338" s="2">
        <v>57</v>
      </c>
      <c r="D338" s="2">
        <v>1</v>
      </c>
      <c r="E338" s="2">
        <v>0</v>
      </c>
      <c r="F338" s="2">
        <v>0</v>
      </c>
      <c r="G338" s="2">
        <v>1</v>
      </c>
      <c r="H338" s="2">
        <v>0</v>
      </c>
      <c r="I338" s="2">
        <v>0</v>
      </c>
      <c r="J338" s="2">
        <v>0</v>
      </c>
      <c r="K338" s="2">
        <v>0</v>
      </c>
      <c r="L338" s="2" t="s">
        <v>6462</v>
      </c>
      <c r="M338" s="2" t="s">
        <v>6088</v>
      </c>
      <c r="N338" s="2"/>
    </row>
    <row r="339" spans="1:14">
      <c r="A339" s="1">
        <v>43197.802207835652</v>
      </c>
      <c r="B339" s="2">
        <v>999</v>
      </c>
      <c r="C339" s="2">
        <v>57</v>
      </c>
      <c r="D339" s="2">
        <v>1</v>
      </c>
      <c r="E339" s="2">
        <v>0</v>
      </c>
      <c r="F339" s="2">
        <v>0</v>
      </c>
      <c r="G339" s="2">
        <v>0</v>
      </c>
      <c r="H339" s="2">
        <v>6</v>
      </c>
      <c r="I339" s="2">
        <v>0</v>
      </c>
      <c r="J339" s="2">
        <v>1</v>
      </c>
      <c r="K339" s="2">
        <v>0</v>
      </c>
      <c r="L339" s="2" t="s">
        <v>6088</v>
      </c>
      <c r="M339" s="2" t="s">
        <v>6482</v>
      </c>
      <c r="N339" s="2"/>
    </row>
    <row r="340" spans="1:14">
      <c r="A340" s="1">
        <v>43197.802221087964</v>
      </c>
      <c r="B340" s="2">
        <v>5152</v>
      </c>
      <c r="C340" s="2">
        <v>57</v>
      </c>
      <c r="D340" s="2">
        <v>1</v>
      </c>
      <c r="E340" s="2">
        <v>0</v>
      </c>
      <c r="F340" s="2">
        <v>0</v>
      </c>
      <c r="G340" s="2">
        <v>0</v>
      </c>
      <c r="H340" s="2">
        <v>0</v>
      </c>
      <c r="I340" s="2">
        <v>2</v>
      </c>
      <c r="J340" s="2">
        <v>3</v>
      </c>
      <c r="K340" s="2">
        <v>1</v>
      </c>
      <c r="L340" s="2" t="s">
        <v>6088</v>
      </c>
      <c r="M340" s="2" t="s">
        <v>6491</v>
      </c>
      <c r="N340" s="2"/>
    </row>
    <row r="341" spans="1:14">
      <c r="A341" s="1">
        <v>43197.802242349535</v>
      </c>
      <c r="B341" s="2">
        <v>6346</v>
      </c>
      <c r="C341" s="2">
        <v>57</v>
      </c>
      <c r="D341" s="2">
        <v>1</v>
      </c>
      <c r="E341" s="2">
        <v>0</v>
      </c>
      <c r="F341" s="2">
        <v>0</v>
      </c>
      <c r="G341" s="2">
        <v>0</v>
      </c>
      <c r="H341" s="2">
        <v>0</v>
      </c>
      <c r="I341" s="2">
        <v>0</v>
      </c>
      <c r="J341" s="2">
        <v>4</v>
      </c>
      <c r="K341" s="2">
        <v>0</v>
      </c>
      <c r="L341" s="2"/>
      <c r="M341" s="2" t="s">
        <v>6088</v>
      </c>
      <c r="N341" s="2"/>
    </row>
    <row r="342" spans="1:14">
      <c r="A342" s="1">
        <v>43197.802577418981</v>
      </c>
      <c r="B342" s="2">
        <v>175</v>
      </c>
      <c r="C342" s="2">
        <v>57</v>
      </c>
      <c r="D342" s="2">
        <v>1</v>
      </c>
      <c r="E342" s="2">
        <v>1</v>
      </c>
      <c r="F342" s="2">
        <v>0</v>
      </c>
      <c r="G342" s="2">
        <v>0</v>
      </c>
      <c r="H342" s="2">
        <v>0</v>
      </c>
      <c r="I342" s="2">
        <v>4</v>
      </c>
      <c r="J342" s="2">
        <v>4</v>
      </c>
      <c r="K342" s="2">
        <v>1</v>
      </c>
      <c r="L342" s="2" t="s">
        <v>12</v>
      </c>
      <c r="M342" s="2" t="s">
        <v>6640</v>
      </c>
      <c r="N342" s="2"/>
    </row>
    <row r="343" spans="1:14">
      <c r="A343" s="1">
        <v>43197.802584386576</v>
      </c>
      <c r="B343" s="2">
        <v>19991</v>
      </c>
      <c r="C343" s="2">
        <v>57</v>
      </c>
      <c r="D343" s="2">
        <v>1</v>
      </c>
      <c r="E343" s="2">
        <v>1</v>
      </c>
      <c r="F343" s="2">
        <v>0</v>
      </c>
      <c r="G343" s="2">
        <v>0</v>
      </c>
      <c r="H343" s="2">
        <v>0</v>
      </c>
      <c r="I343" s="2">
        <v>1</v>
      </c>
      <c r="J343" s="2">
        <v>0</v>
      </c>
      <c r="K343" s="2">
        <v>1</v>
      </c>
      <c r="L343" s="2" t="s">
        <v>6088</v>
      </c>
      <c r="M343" s="2" t="s">
        <v>6491</v>
      </c>
      <c r="N343" s="2" t="s">
        <v>6717</v>
      </c>
    </row>
    <row r="344" spans="1:14">
      <c r="A344" s="1">
        <v>43197.80650791667</v>
      </c>
      <c r="B344" s="2">
        <v>177</v>
      </c>
      <c r="C344" s="2">
        <v>58</v>
      </c>
      <c r="D344" s="2">
        <v>1</v>
      </c>
      <c r="E344" s="2">
        <v>0</v>
      </c>
      <c r="F344" s="2">
        <v>0</v>
      </c>
      <c r="G344" s="2">
        <v>0</v>
      </c>
      <c r="H344" s="2">
        <v>0</v>
      </c>
      <c r="I344" s="2">
        <v>5</v>
      </c>
      <c r="J344" s="2">
        <v>0</v>
      </c>
      <c r="K344" s="2">
        <v>1</v>
      </c>
      <c r="L344" s="2" t="s">
        <v>12</v>
      </c>
      <c r="M344" s="2" t="s">
        <v>6479</v>
      </c>
      <c r="N344" s="2"/>
    </row>
    <row r="345" spans="1:14">
      <c r="A345" s="1">
        <v>43197.806528067129</v>
      </c>
      <c r="B345" s="2">
        <v>839</v>
      </c>
      <c r="C345" s="2">
        <v>58</v>
      </c>
      <c r="D345" s="2">
        <v>1</v>
      </c>
      <c r="E345" s="2">
        <v>0</v>
      </c>
      <c r="F345" s="2">
        <v>0</v>
      </c>
      <c r="G345" s="2">
        <v>0</v>
      </c>
      <c r="H345" s="2">
        <v>0</v>
      </c>
      <c r="I345" s="2">
        <v>6</v>
      </c>
      <c r="J345" s="2">
        <v>0</v>
      </c>
      <c r="K345" s="2">
        <v>1</v>
      </c>
      <c r="L345" s="2" t="s">
        <v>12</v>
      </c>
      <c r="M345" s="2" t="s">
        <v>6640</v>
      </c>
      <c r="N345" s="2"/>
    </row>
    <row r="346" spans="1:14">
      <c r="A346" s="1">
        <v>43197.80656740741</v>
      </c>
      <c r="B346" s="2">
        <v>236</v>
      </c>
      <c r="C346" s="2">
        <v>58</v>
      </c>
      <c r="D346" s="2">
        <v>1</v>
      </c>
      <c r="E346" s="2">
        <v>0</v>
      </c>
      <c r="F346" s="2">
        <v>0</v>
      </c>
      <c r="G346" s="2">
        <v>1</v>
      </c>
      <c r="H346" s="2">
        <v>0</v>
      </c>
      <c r="I346" s="2">
        <v>5</v>
      </c>
      <c r="J346" s="2">
        <v>0</v>
      </c>
      <c r="K346" s="2">
        <v>1</v>
      </c>
      <c r="L346" s="2" t="s">
        <v>12</v>
      </c>
      <c r="M346" s="2" t="s">
        <v>6491</v>
      </c>
      <c r="N346" s="2" t="s">
        <v>6718</v>
      </c>
    </row>
    <row r="347" spans="1:14">
      <c r="A347" s="1">
        <v>43197.806679895832</v>
      </c>
      <c r="B347" s="2">
        <v>236</v>
      </c>
      <c r="C347" s="2">
        <v>58</v>
      </c>
      <c r="D347" s="2">
        <v>1</v>
      </c>
      <c r="E347" s="2">
        <v>0</v>
      </c>
      <c r="F347" s="2">
        <v>0</v>
      </c>
      <c r="G347" s="2">
        <v>0</v>
      </c>
      <c r="H347" s="2">
        <v>0</v>
      </c>
      <c r="I347" s="2">
        <v>2</v>
      </c>
      <c r="J347" s="2">
        <v>1</v>
      </c>
      <c r="K347" s="2">
        <v>1</v>
      </c>
      <c r="L347" s="2" t="s">
        <v>12</v>
      </c>
      <c r="M347" s="2" t="s">
        <v>6512</v>
      </c>
      <c r="N347" s="2"/>
    </row>
    <row r="348" spans="1:14">
      <c r="A348" s="1">
        <v>43197.806690381942</v>
      </c>
      <c r="B348" s="2">
        <v>1027</v>
      </c>
      <c r="C348" s="2">
        <v>58</v>
      </c>
      <c r="D348" s="2">
        <v>1</v>
      </c>
      <c r="E348" s="2">
        <v>0</v>
      </c>
      <c r="F348" s="2">
        <v>0</v>
      </c>
      <c r="G348" s="2">
        <v>1</v>
      </c>
      <c r="H348" s="2">
        <v>0</v>
      </c>
      <c r="I348" s="2">
        <v>0</v>
      </c>
      <c r="J348" s="2">
        <v>8</v>
      </c>
      <c r="K348" s="2">
        <v>0</v>
      </c>
      <c r="L348" s="2" t="s">
        <v>6462</v>
      </c>
      <c r="M348" s="2" t="s">
        <v>6491</v>
      </c>
      <c r="N348" s="2"/>
    </row>
    <row r="349" spans="1:14">
      <c r="A349" s="1">
        <v>43197.806987534721</v>
      </c>
      <c r="B349" s="2">
        <v>6895</v>
      </c>
      <c r="C349" s="2">
        <v>58</v>
      </c>
      <c r="D349" s="2">
        <v>1</v>
      </c>
      <c r="E349" s="2">
        <v>0</v>
      </c>
      <c r="F349" s="2">
        <v>0</v>
      </c>
      <c r="G349" s="2">
        <v>2</v>
      </c>
      <c r="H349" s="2">
        <v>2</v>
      </c>
      <c r="I349" s="2">
        <v>0</v>
      </c>
      <c r="J349" s="2">
        <v>0</v>
      </c>
      <c r="K349" s="2">
        <v>1</v>
      </c>
      <c r="L349" s="2" t="s">
        <v>6088</v>
      </c>
      <c r="M349" s="2" t="s">
        <v>6512</v>
      </c>
      <c r="N349" s="2"/>
    </row>
    <row r="350" spans="1:14">
      <c r="A350" s="1">
        <v>43197.81103769676</v>
      </c>
      <c r="B350" s="2">
        <v>3182</v>
      </c>
      <c r="C350" s="2">
        <v>59</v>
      </c>
      <c r="D350" s="2">
        <v>1</v>
      </c>
      <c r="E350" s="2">
        <v>1</v>
      </c>
      <c r="F350" s="2">
        <v>0</v>
      </c>
      <c r="G350" s="2">
        <v>2</v>
      </c>
      <c r="H350" s="2">
        <v>0</v>
      </c>
      <c r="I350" s="2">
        <v>0</v>
      </c>
      <c r="J350" s="2">
        <v>3</v>
      </c>
      <c r="K350" s="2">
        <v>1</v>
      </c>
      <c r="L350" s="2" t="s">
        <v>12</v>
      </c>
      <c r="M350" s="2" t="s">
        <v>6088</v>
      </c>
      <c r="N350" s="2"/>
    </row>
    <row r="351" spans="1:14">
      <c r="A351" s="1">
        <v>43197.811218182869</v>
      </c>
      <c r="B351" s="2">
        <v>571</v>
      </c>
      <c r="C351" s="2">
        <v>58</v>
      </c>
      <c r="D351" s="2">
        <v>1</v>
      </c>
      <c r="E351" s="2">
        <v>0</v>
      </c>
      <c r="F351" s="2">
        <v>1</v>
      </c>
      <c r="G351" s="2">
        <v>1</v>
      </c>
      <c r="H351" s="2">
        <v>0</v>
      </c>
      <c r="I351" s="2">
        <v>1</v>
      </c>
      <c r="J351" s="2">
        <v>0</v>
      </c>
      <c r="K351" s="2">
        <v>1</v>
      </c>
      <c r="L351" s="2" t="s">
        <v>6088</v>
      </c>
      <c r="M351" s="2" t="s">
        <v>6088</v>
      </c>
      <c r="N351" s="2"/>
    </row>
    <row r="352" spans="1:14">
      <c r="A352" s="1">
        <v>43197.811226898149</v>
      </c>
      <c r="B352" s="2">
        <v>173</v>
      </c>
      <c r="C352" s="2">
        <v>59</v>
      </c>
      <c r="D352" s="2">
        <v>1</v>
      </c>
      <c r="E352" s="2">
        <v>0</v>
      </c>
      <c r="F352" s="2">
        <v>0</v>
      </c>
      <c r="G352" s="2">
        <v>1</v>
      </c>
      <c r="H352" s="2">
        <v>0</v>
      </c>
      <c r="I352" s="2">
        <v>2</v>
      </c>
      <c r="J352" s="2">
        <v>2</v>
      </c>
      <c r="K352" s="2">
        <v>1</v>
      </c>
      <c r="L352" s="2" t="s">
        <v>6088</v>
      </c>
      <c r="M352" s="2" t="s">
        <v>6491</v>
      </c>
      <c r="N352" s="2"/>
    </row>
    <row r="353" spans="1:14">
      <c r="A353" s="1">
        <v>43197.811312268517</v>
      </c>
      <c r="B353" s="2">
        <v>1085</v>
      </c>
      <c r="C353" s="2">
        <v>59</v>
      </c>
      <c r="D353" s="2">
        <v>1</v>
      </c>
      <c r="E353" s="2">
        <v>0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1</v>
      </c>
      <c r="L353" s="2" t="s">
        <v>6088</v>
      </c>
      <c r="M353" s="2" t="s">
        <v>6088</v>
      </c>
      <c r="N353" s="2" t="s">
        <v>6719</v>
      </c>
    </row>
    <row r="354" spans="1:14">
      <c r="A354" s="1">
        <v>43197.811349733798</v>
      </c>
      <c r="B354" s="2">
        <v>190</v>
      </c>
      <c r="C354" s="2">
        <v>59</v>
      </c>
      <c r="D354" s="2">
        <v>1</v>
      </c>
      <c r="E354" s="2">
        <v>0</v>
      </c>
      <c r="F354" s="2">
        <v>0</v>
      </c>
      <c r="G354" s="2">
        <v>0</v>
      </c>
      <c r="H354" s="2">
        <v>0</v>
      </c>
      <c r="I354" s="2">
        <v>5</v>
      </c>
      <c r="J354" s="2">
        <v>2</v>
      </c>
      <c r="K354" s="2">
        <v>1</v>
      </c>
      <c r="L354" s="2" t="s">
        <v>6490</v>
      </c>
      <c r="M354" s="2" t="s">
        <v>6491</v>
      </c>
      <c r="N354" s="2"/>
    </row>
    <row r="355" spans="1:14">
      <c r="A355" s="1">
        <v>43197.81145627315</v>
      </c>
      <c r="B355" s="2">
        <v>190</v>
      </c>
      <c r="C355" s="2">
        <v>59</v>
      </c>
      <c r="D355" s="2">
        <v>1</v>
      </c>
      <c r="E355" s="2">
        <v>1</v>
      </c>
      <c r="F355" s="2">
        <v>0</v>
      </c>
      <c r="G355" s="2">
        <v>0</v>
      </c>
      <c r="H355" s="2">
        <v>2</v>
      </c>
      <c r="I355" s="2">
        <v>2</v>
      </c>
      <c r="J355" s="2">
        <v>0</v>
      </c>
      <c r="K355" s="2">
        <v>1</v>
      </c>
      <c r="L355" s="2" t="s">
        <v>6088</v>
      </c>
      <c r="M355" s="2" t="s">
        <v>6088</v>
      </c>
      <c r="N355" s="2" t="s">
        <v>6720</v>
      </c>
    </row>
    <row r="356" spans="1:14">
      <c r="A356" s="1">
        <v>43197.816492013888</v>
      </c>
      <c r="B356" s="2">
        <v>3654</v>
      </c>
      <c r="C356" s="2">
        <v>60</v>
      </c>
      <c r="D356" s="2">
        <v>1</v>
      </c>
      <c r="E356" s="2">
        <v>0</v>
      </c>
      <c r="F356" s="2">
        <v>0</v>
      </c>
      <c r="G356" s="2">
        <v>1</v>
      </c>
      <c r="H356" s="2">
        <v>0</v>
      </c>
      <c r="I356" s="2">
        <v>2</v>
      </c>
      <c r="J356" s="2">
        <v>0</v>
      </c>
      <c r="K356" s="2">
        <v>1</v>
      </c>
      <c r="L356" s="2" t="s">
        <v>6088</v>
      </c>
      <c r="M356" s="2" t="s">
        <v>6468</v>
      </c>
      <c r="N356" s="2"/>
    </row>
    <row r="357" spans="1:14">
      <c r="A357" s="1">
        <v>43197.816574780096</v>
      </c>
      <c r="B357" s="2">
        <v>177</v>
      </c>
      <c r="C357" s="2">
        <v>60</v>
      </c>
      <c r="D357" s="2">
        <v>1</v>
      </c>
      <c r="E357" s="2">
        <v>0</v>
      </c>
      <c r="F357" s="2">
        <v>1</v>
      </c>
      <c r="G357" s="2">
        <v>0</v>
      </c>
      <c r="H357" s="2">
        <v>2</v>
      </c>
      <c r="I357" s="2">
        <v>3</v>
      </c>
      <c r="J357" s="2">
        <v>0</v>
      </c>
      <c r="K357" s="2">
        <v>1</v>
      </c>
      <c r="L357" s="2" t="s">
        <v>12</v>
      </c>
      <c r="M357" s="2" t="s">
        <v>6088</v>
      </c>
      <c r="N357" s="2"/>
    </row>
    <row r="358" spans="1:14">
      <c r="A358" s="1">
        <v>43197.816663229169</v>
      </c>
      <c r="B358" s="2">
        <v>6333</v>
      </c>
      <c r="C358" s="2">
        <v>60</v>
      </c>
      <c r="D358" s="2">
        <v>1</v>
      </c>
      <c r="E358" s="2">
        <v>0</v>
      </c>
      <c r="F358" s="2">
        <v>0</v>
      </c>
      <c r="G358" s="2">
        <v>1</v>
      </c>
      <c r="H358" s="2">
        <v>0</v>
      </c>
      <c r="I358" s="2">
        <v>0</v>
      </c>
      <c r="J358" s="2">
        <v>2</v>
      </c>
      <c r="K358" s="2">
        <v>1</v>
      </c>
      <c r="L358" s="2" t="s">
        <v>6088</v>
      </c>
      <c r="M358" s="2" t="s">
        <v>6088</v>
      </c>
      <c r="N358" s="2"/>
    </row>
    <row r="359" spans="1:14">
      <c r="A359" s="1">
        <v>43197.816678055555</v>
      </c>
      <c r="B359" s="2">
        <v>3654</v>
      </c>
      <c r="C359" s="2">
        <v>60</v>
      </c>
      <c r="D359" s="2">
        <v>1</v>
      </c>
      <c r="E359" s="2">
        <v>0</v>
      </c>
      <c r="F359" s="2">
        <v>0</v>
      </c>
      <c r="G359" s="2">
        <v>0</v>
      </c>
      <c r="H359" s="2">
        <v>0</v>
      </c>
      <c r="I359" s="2">
        <v>2</v>
      </c>
      <c r="J359" s="2">
        <v>0</v>
      </c>
      <c r="K359" s="2">
        <v>1</v>
      </c>
      <c r="L359" s="2" t="s">
        <v>6490</v>
      </c>
      <c r="M359" s="2" t="s">
        <v>6646</v>
      </c>
      <c r="N359" s="2"/>
    </row>
    <row r="360" spans="1:14">
      <c r="A360" s="1">
        <v>43197.816716527777</v>
      </c>
      <c r="B360" s="2">
        <v>6812</v>
      </c>
      <c r="C360" s="2">
        <v>60</v>
      </c>
      <c r="D360" s="2">
        <v>1</v>
      </c>
      <c r="E360" s="2">
        <v>0</v>
      </c>
      <c r="F360" s="2">
        <v>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 t="s">
        <v>6462</v>
      </c>
      <c r="M360" s="2" t="s">
        <v>6646</v>
      </c>
      <c r="N360" s="2" t="s">
        <v>6721</v>
      </c>
    </row>
    <row r="361" spans="1:14">
      <c r="A361" s="1">
        <v>43197.816794826387</v>
      </c>
      <c r="B361" s="2">
        <v>2836</v>
      </c>
      <c r="C361" s="2">
        <v>60</v>
      </c>
      <c r="D361" s="2">
        <v>1</v>
      </c>
      <c r="E361" s="2">
        <v>1</v>
      </c>
      <c r="F361" s="2">
        <v>0</v>
      </c>
      <c r="G361" s="2">
        <v>3</v>
      </c>
      <c r="H361" s="2">
        <v>0</v>
      </c>
      <c r="I361" s="2">
        <v>0</v>
      </c>
      <c r="J361" s="2">
        <v>2</v>
      </c>
      <c r="K361" s="2">
        <v>1</v>
      </c>
      <c r="L361" s="2" t="s">
        <v>12</v>
      </c>
      <c r="M361" s="2" t="s">
        <v>6088</v>
      </c>
      <c r="N361" s="2"/>
    </row>
    <row r="362" spans="1:14">
      <c r="A362" s="1">
        <v>43198.385826956015</v>
      </c>
      <c r="B362" s="2">
        <v>2836</v>
      </c>
      <c r="C362" s="2">
        <v>60</v>
      </c>
      <c r="D362" s="2">
        <v>1</v>
      </c>
      <c r="E362" s="2">
        <v>1</v>
      </c>
      <c r="F362" s="2">
        <v>0</v>
      </c>
      <c r="G362" s="2">
        <v>3</v>
      </c>
      <c r="H362" s="2">
        <v>0</v>
      </c>
      <c r="I362" s="2">
        <v>0</v>
      </c>
      <c r="J362" s="2">
        <v>2</v>
      </c>
      <c r="K362" s="2">
        <v>1</v>
      </c>
      <c r="L362" s="2" t="s">
        <v>12</v>
      </c>
      <c r="M362" s="2" t="s">
        <v>6088</v>
      </c>
      <c r="N362" s="2"/>
    </row>
    <row r="363" spans="1:14">
      <c r="A363" s="1">
        <v>43198.39105554398</v>
      </c>
      <c r="B363" s="2">
        <v>7153</v>
      </c>
      <c r="C363" s="2">
        <v>61</v>
      </c>
      <c r="D363" s="2">
        <v>1</v>
      </c>
      <c r="E363" s="2">
        <v>0</v>
      </c>
      <c r="F363" s="2">
        <v>0</v>
      </c>
      <c r="G363" s="2">
        <v>0</v>
      </c>
      <c r="H363" s="2">
        <v>0</v>
      </c>
      <c r="I363" s="2">
        <v>0</v>
      </c>
      <c r="J363" s="2">
        <v>7</v>
      </c>
      <c r="K363" s="2">
        <v>1</v>
      </c>
      <c r="L363" s="2" t="s">
        <v>6088</v>
      </c>
      <c r="M363" s="2" t="s">
        <v>6491</v>
      </c>
      <c r="N363" s="2"/>
    </row>
    <row r="364" spans="1:14">
      <c r="A364" s="1">
        <v>43198.391077476852</v>
      </c>
      <c r="B364" s="2">
        <v>230</v>
      </c>
      <c r="C364" s="2">
        <v>61</v>
      </c>
      <c r="D364" s="2">
        <v>1</v>
      </c>
      <c r="E364" s="2">
        <v>1</v>
      </c>
      <c r="F364" s="2">
        <v>0</v>
      </c>
      <c r="G364" s="2">
        <v>0</v>
      </c>
      <c r="H364" s="2">
        <v>0</v>
      </c>
      <c r="I364" s="2">
        <v>5</v>
      </c>
      <c r="J364" s="2">
        <v>3</v>
      </c>
      <c r="K364" s="2">
        <v>1</v>
      </c>
      <c r="L364" s="2" t="s">
        <v>12</v>
      </c>
      <c r="M364" s="2" t="s">
        <v>6640</v>
      </c>
      <c r="N364" s="2" t="s">
        <v>6753</v>
      </c>
    </row>
    <row r="365" spans="1:14">
      <c r="A365" s="1">
        <v>43198.391140706015</v>
      </c>
      <c r="B365" s="2">
        <v>7127</v>
      </c>
      <c r="C365" s="2">
        <v>61</v>
      </c>
      <c r="D365" s="2">
        <v>1</v>
      </c>
      <c r="E365" s="2">
        <v>1</v>
      </c>
      <c r="F365" s="2">
        <v>0</v>
      </c>
      <c r="G365" s="2">
        <v>0</v>
      </c>
      <c r="H365" s="2">
        <v>3</v>
      </c>
      <c r="I365" s="2">
        <v>0</v>
      </c>
      <c r="J365" s="2">
        <v>0</v>
      </c>
      <c r="K365" s="2">
        <v>0</v>
      </c>
      <c r="L365" s="2" t="s">
        <v>6462</v>
      </c>
      <c r="M365" s="2" t="s">
        <v>6491</v>
      </c>
      <c r="N365" s="2"/>
    </row>
    <row r="366" spans="1:14">
      <c r="A366" s="1">
        <v>43198.391157997685</v>
      </c>
      <c r="B366" s="2">
        <v>4987</v>
      </c>
      <c r="C366" s="2">
        <v>61</v>
      </c>
      <c r="D366" s="2">
        <v>1</v>
      </c>
      <c r="E366" s="2">
        <v>0</v>
      </c>
      <c r="F366" s="2">
        <v>0</v>
      </c>
      <c r="G366" s="2">
        <v>2</v>
      </c>
      <c r="H366" s="2">
        <v>0</v>
      </c>
      <c r="I366" s="2">
        <v>0</v>
      </c>
      <c r="J366" s="2">
        <v>0</v>
      </c>
      <c r="K366" s="2">
        <v>0</v>
      </c>
      <c r="L366" s="2"/>
      <c r="M366" s="2" t="s">
        <v>6482</v>
      </c>
      <c r="N366" s="2"/>
    </row>
    <row r="367" spans="1:14">
      <c r="A367" s="1">
        <v>43198.391851087959</v>
      </c>
      <c r="B367" s="2">
        <v>2064</v>
      </c>
      <c r="C367" s="2">
        <v>61</v>
      </c>
      <c r="D367" s="2">
        <v>0</v>
      </c>
      <c r="E367" s="2">
        <v>1</v>
      </c>
      <c r="F367" s="2">
        <v>0</v>
      </c>
      <c r="G367" s="2">
        <v>2</v>
      </c>
      <c r="H367" s="2">
        <v>4</v>
      </c>
      <c r="I367" s="2">
        <v>1</v>
      </c>
      <c r="J367" s="2">
        <v>6</v>
      </c>
      <c r="K367" s="2">
        <v>0</v>
      </c>
      <c r="L367" s="2" t="s">
        <v>6462</v>
      </c>
      <c r="M367" s="2" t="s">
        <v>6478</v>
      </c>
      <c r="N367" s="2" t="s">
        <v>6754</v>
      </c>
    </row>
    <row r="368" spans="1:14">
      <c r="A368" s="1">
        <v>43198.396146527775</v>
      </c>
      <c r="B368" s="2">
        <v>838</v>
      </c>
      <c r="C368" s="2">
        <v>62</v>
      </c>
      <c r="D368" s="2">
        <v>1</v>
      </c>
      <c r="E368" s="2">
        <v>0</v>
      </c>
      <c r="F368" s="2">
        <v>0</v>
      </c>
      <c r="G368" s="2">
        <v>1</v>
      </c>
      <c r="H368" s="2">
        <v>1</v>
      </c>
      <c r="I368" s="2">
        <v>4</v>
      </c>
      <c r="J368" s="2">
        <v>0</v>
      </c>
      <c r="K368" s="2">
        <v>1</v>
      </c>
      <c r="L368" s="2" t="s">
        <v>12</v>
      </c>
      <c r="M368" s="2" t="s">
        <v>6468</v>
      </c>
      <c r="N368" s="2"/>
    </row>
    <row r="369" spans="1:14">
      <c r="A369" s="1">
        <v>43198.396262939816</v>
      </c>
      <c r="B369" s="2">
        <v>2067</v>
      </c>
      <c r="C369" s="2">
        <v>62</v>
      </c>
      <c r="D369" s="2">
        <v>0</v>
      </c>
      <c r="E369" s="2">
        <v>0</v>
      </c>
      <c r="F369" s="2">
        <v>0</v>
      </c>
      <c r="G369" s="2">
        <v>0</v>
      </c>
      <c r="H369" s="2">
        <v>4</v>
      </c>
      <c r="I369" s="2">
        <v>2</v>
      </c>
      <c r="J369" s="2">
        <v>0</v>
      </c>
      <c r="K369" s="2">
        <v>1</v>
      </c>
      <c r="L369" s="2" t="s">
        <v>6088</v>
      </c>
      <c r="M369" s="2" t="s">
        <v>6468</v>
      </c>
      <c r="N369" s="2"/>
    </row>
    <row r="370" spans="1:14">
      <c r="A370" s="1">
        <v>43198.396290729164</v>
      </c>
      <c r="B370" s="2">
        <v>5129</v>
      </c>
      <c r="C370" s="2">
        <v>62</v>
      </c>
      <c r="D370" s="2">
        <v>1</v>
      </c>
      <c r="E370" s="2">
        <v>0</v>
      </c>
      <c r="F370" s="2">
        <v>0</v>
      </c>
      <c r="G370" s="2">
        <v>0</v>
      </c>
      <c r="H370" s="2">
        <v>0</v>
      </c>
      <c r="I370" s="2">
        <v>0</v>
      </c>
      <c r="J370" s="2">
        <v>4</v>
      </c>
      <c r="K370" s="2">
        <v>0</v>
      </c>
      <c r="L370" s="2"/>
      <c r="M370" s="2" t="s">
        <v>6479</v>
      </c>
      <c r="N370" s="2"/>
    </row>
    <row r="371" spans="1:14">
      <c r="A371" s="1">
        <v>43198.396386631946</v>
      </c>
      <c r="B371" s="2">
        <v>181</v>
      </c>
      <c r="C371" s="2">
        <v>62</v>
      </c>
      <c r="D371" s="2">
        <v>1</v>
      </c>
      <c r="E371" s="2">
        <v>1</v>
      </c>
      <c r="F371" s="2">
        <v>0</v>
      </c>
      <c r="G371" s="2">
        <v>1</v>
      </c>
      <c r="H371" s="2">
        <v>0</v>
      </c>
      <c r="I371" s="2">
        <v>0</v>
      </c>
      <c r="J371" s="2">
        <v>5</v>
      </c>
      <c r="K371" s="2">
        <v>0</v>
      </c>
      <c r="L371" s="2" t="s">
        <v>6462</v>
      </c>
      <c r="M371" s="2" t="s">
        <v>6468</v>
      </c>
      <c r="N371" s="2"/>
    </row>
    <row r="372" spans="1:14">
      <c r="A372" s="1">
        <v>43198.396448437503</v>
      </c>
      <c r="B372" s="2">
        <v>558</v>
      </c>
      <c r="C372" s="2">
        <v>62</v>
      </c>
      <c r="D372" s="2">
        <v>0</v>
      </c>
      <c r="E372" s="2">
        <v>1</v>
      </c>
      <c r="F372" s="2">
        <v>0</v>
      </c>
      <c r="G372" s="2">
        <v>1</v>
      </c>
      <c r="H372" s="2">
        <v>3</v>
      </c>
      <c r="I372" s="2">
        <v>5</v>
      </c>
      <c r="J372" s="2">
        <v>6</v>
      </c>
      <c r="K372" s="2">
        <v>0</v>
      </c>
      <c r="L372" s="2" t="s">
        <v>6462</v>
      </c>
      <c r="M372" s="2" t="s">
        <v>6479</v>
      </c>
      <c r="N372" s="2" t="s">
        <v>6755</v>
      </c>
    </row>
    <row r="373" spans="1:14">
      <c r="A373" s="1">
        <v>43198.401384525459</v>
      </c>
      <c r="B373" s="2">
        <v>2170</v>
      </c>
      <c r="C373" s="2">
        <v>63</v>
      </c>
      <c r="D373" s="2">
        <v>1</v>
      </c>
      <c r="E373" s="2">
        <v>1</v>
      </c>
      <c r="F373" s="2">
        <v>0</v>
      </c>
      <c r="G373" s="2">
        <v>0</v>
      </c>
      <c r="H373" s="2">
        <v>1</v>
      </c>
      <c r="I373" s="2">
        <v>0</v>
      </c>
      <c r="J373" s="2">
        <v>7</v>
      </c>
      <c r="K373" s="2">
        <v>1</v>
      </c>
      <c r="L373" s="2" t="s">
        <v>6088</v>
      </c>
      <c r="M373" s="2" t="s">
        <v>6491</v>
      </c>
      <c r="N373" s="2" t="s">
        <v>6756</v>
      </c>
    </row>
    <row r="374" spans="1:14">
      <c r="A374" s="1">
        <v>43198.401386516205</v>
      </c>
      <c r="B374" s="2">
        <v>3146</v>
      </c>
      <c r="C374" s="2">
        <v>63</v>
      </c>
      <c r="D374" s="2">
        <v>1</v>
      </c>
      <c r="E374" s="2">
        <v>1</v>
      </c>
      <c r="F374" s="2">
        <v>0</v>
      </c>
      <c r="G374" s="2">
        <v>0</v>
      </c>
      <c r="H374" s="2">
        <v>6</v>
      </c>
      <c r="I374" s="2">
        <v>0</v>
      </c>
      <c r="J374" s="2">
        <v>0</v>
      </c>
      <c r="K374" s="2">
        <v>1</v>
      </c>
      <c r="L374" s="2" t="s">
        <v>12</v>
      </c>
      <c r="M374" s="2" t="s">
        <v>6491</v>
      </c>
      <c r="N374" s="2"/>
    </row>
    <row r="375" spans="1:14">
      <c r="A375" s="1">
        <v>43198.401429641206</v>
      </c>
      <c r="B375" s="2">
        <v>5142</v>
      </c>
      <c r="C375" s="2">
        <v>63</v>
      </c>
      <c r="D375" s="2">
        <v>0</v>
      </c>
      <c r="E375" s="2">
        <v>0</v>
      </c>
      <c r="F375" s="2">
        <v>0</v>
      </c>
      <c r="G375" s="2">
        <v>2</v>
      </c>
      <c r="H375" s="2">
        <v>3</v>
      </c>
      <c r="I375" s="2">
        <v>4</v>
      </c>
      <c r="J375" s="2">
        <v>3</v>
      </c>
      <c r="K375" s="2">
        <v>0</v>
      </c>
      <c r="L375" s="2" t="s">
        <v>6462</v>
      </c>
      <c r="M375" s="2" t="s">
        <v>6565</v>
      </c>
      <c r="N375" s="2"/>
    </row>
    <row r="376" spans="1:14">
      <c r="A376" s="1">
        <v>43198.401532199074</v>
      </c>
      <c r="B376" s="2">
        <v>2836</v>
      </c>
      <c r="C376" s="2">
        <v>63</v>
      </c>
      <c r="D376" s="2">
        <v>1</v>
      </c>
      <c r="E376" s="2">
        <v>0</v>
      </c>
      <c r="F376" s="2">
        <v>0</v>
      </c>
      <c r="G376" s="2">
        <v>0</v>
      </c>
      <c r="H376" s="2">
        <v>0</v>
      </c>
      <c r="I376" s="2">
        <v>4</v>
      </c>
      <c r="J376" s="2">
        <v>0</v>
      </c>
      <c r="K376" s="2">
        <v>1</v>
      </c>
      <c r="L376" s="2" t="s">
        <v>6088</v>
      </c>
      <c r="M376" s="2" t="s">
        <v>6491</v>
      </c>
      <c r="N376" s="2" t="s">
        <v>6757</v>
      </c>
    </row>
    <row r="377" spans="1:14">
      <c r="A377" s="1">
        <v>43198.407395393515</v>
      </c>
      <c r="B377" s="2">
        <v>2064</v>
      </c>
      <c r="C377" s="2">
        <v>64</v>
      </c>
      <c r="D377" s="2">
        <v>1</v>
      </c>
      <c r="E377" s="2">
        <v>0</v>
      </c>
      <c r="F377" s="2">
        <v>0</v>
      </c>
      <c r="G377" s="2">
        <v>2</v>
      </c>
      <c r="H377" s="2">
        <v>0</v>
      </c>
      <c r="I377" s="2">
        <v>0</v>
      </c>
      <c r="J377" s="2">
        <v>6</v>
      </c>
      <c r="K377" s="2">
        <v>1</v>
      </c>
      <c r="L377" s="2" t="s">
        <v>6088</v>
      </c>
      <c r="M377" s="2" t="s">
        <v>6623</v>
      </c>
      <c r="N377" s="2" t="s">
        <v>6758</v>
      </c>
    </row>
    <row r="378" spans="1:14">
      <c r="A378" s="1">
        <v>43198.407424305558</v>
      </c>
      <c r="B378" s="2">
        <v>1991</v>
      </c>
      <c r="C378" s="2">
        <v>64</v>
      </c>
      <c r="D378" s="2">
        <v>1</v>
      </c>
      <c r="E378" s="2">
        <v>0</v>
      </c>
      <c r="F378" s="2">
        <v>0</v>
      </c>
      <c r="G378" s="2">
        <v>0</v>
      </c>
      <c r="H378" s="2">
        <v>0</v>
      </c>
      <c r="I378" s="2">
        <v>1</v>
      </c>
      <c r="J378" s="2">
        <v>0</v>
      </c>
      <c r="K378" s="2">
        <v>0</v>
      </c>
      <c r="L378" s="2" t="s">
        <v>6462</v>
      </c>
      <c r="M378" s="2" t="s">
        <v>6623</v>
      </c>
      <c r="N378" s="2"/>
    </row>
    <row r="379" spans="1:14">
      <c r="A379" s="1">
        <v>43198.407484108793</v>
      </c>
      <c r="B379" s="2">
        <v>190</v>
      </c>
      <c r="C379" s="2">
        <v>64</v>
      </c>
      <c r="D379" s="2">
        <v>0</v>
      </c>
      <c r="E379" s="2">
        <v>1</v>
      </c>
      <c r="F379" s="2">
        <v>0</v>
      </c>
      <c r="G379" s="2">
        <v>3</v>
      </c>
      <c r="H379" s="2">
        <v>2</v>
      </c>
      <c r="I379" s="2">
        <v>8</v>
      </c>
      <c r="J379" s="2">
        <v>8</v>
      </c>
      <c r="K379" s="2">
        <v>0</v>
      </c>
      <c r="L379" s="2" t="s">
        <v>6462</v>
      </c>
      <c r="M379" s="2" t="s">
        <v>6479</v>
      </c>
      <c r="N379" s="2" t="s">
        <v>6759</v>
      </c>
    </row>
    <row r="380" spans="1:14">
      <c r="A380" s="1">
        <v>43198.407973287038</v>
      </c>
      <c r="B380" s="2">
        <v>177</v>
      </c>
      <c r="C380" s="2">
        <v>64</v>
      </c>
      <c r="D380" s="2">
        <v>1</v>
      </c>
      <c r="E380" s="2">
        <v>0</v>
      </c>
      <c r="F380" s="2">
        <v>1</v>
      </c>
      <c r="G380" s="2">
        <v>2</v>
      </c>
      <c r="H380" s="2">
        <v>0</v>
      </c>
      <c r="I380" s="2">
        <v>0</v>
      </c>
      <c r="J380" s="2">
        <v>0</v>
      </c>
      <c r="K380" s="2">
        <v>1</v>
      </c>
      <c r="L380" s="2" t="s">
        <v>6088</v>
      </c>
      <c r="M380" s="2" t="s">
        <v>6623</v>
      </c>
      <c r="N380" s="2" t="s">
        <v>6760</v>
      </c>
    </row>
    <row r="381" spans="1:14">
      <c r="A381" s="1">
        <v>43198.40902071759</v>
      </c>
      <c r="B381" s="2">
        <v>190</v>
      </c>
      <c r="C381" s="2">
        <v>63</v>
      </c>
      <c r="D381" s="2">
        <v>1</v>
      </c>
      <c r="E381" s="2">
        <v>1</v>
      </c>
      <c r="F381" s="2">
        <v>0</v>
      </c>
      <c r="G381" s="2">
        <v>1</v>
      </c>
      <c r="H381" s="2">
        <v>0</v>
      </c>
      <c r="I381" s="2">
        <v>2</v>
      </c>
      <c r="J381" s="2">
        <v>2</v>
      </c>
      <c r="K381" s="2">
        <v>1</v>
      </c>
      <c r="L381" s="2" t="s">
        <v>6490</v>
      </c>
      <c r="M381" s="2" t="s">
        <v>6512</v>
      </c>
      <c r="N381" s="2"/>
    </row>
    <row r="382" spans="1:14">
      <c r="A382" s="1">
        <v>43198.412269791668</v>
      </c>
      <c r="B382" s="2">
        <v>6811</v>
      </c>
      <c r="C382" s="2">
        <v>65</v>
      </c>
      <c r="D382" s="2">
        <v>1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5</v>
      </c>
      <c r="K382" s="2">
        <v>0</v>
      </c>
      <c r="L382" s="2" t="s">
        <v>6462</v>
      </c>
      <c r="M382" s="2" t="s">
        <v>6688</v>
      </c>
      <c r="N382" s="2"/>
    </row>
    <row r="383" spans="1:14">
      <c r="A383" s="1">
        <v>43198.412693831022</v>
      </c>
      <c r="B383" s="2">
        <v>2067</v>
      </c>
      <c r="C383" s="2">
        <v>65</v>
      </c>
      <c r="D383" s="2">
        <v>0</v>
      </c>
      <c r="E383" s="2">
        <v>1</v>
      </c>
      <c r="F383" s="2">
        <v>0</v>
      </c>
      <c r="G383" s="2">
        <v>4</v>
      </c>
      <c r="H383" s="2">
        <v>4</v>
      </c>
      <c r="I383" s="2">
        <v>3</v>
      </c>
      <c r="J383" s="2">
        <v>8</v>
      </c>
      <c r="K383" s="2">
        <v>0</v>
      </c>
      <c r="L383" s="2" t="s">
        <v>6462</v>
      </c>
      <c r="M383" s="2" t="s">
        <v>6479</v>
      </c>
      <c r="N383" s="2"/>
    </row>
    <row r="384" spans="1:14">
      <c r="A384" s="1">
        <v>43198.412771238429</v>
      </c>
      <c r="B384" s="2">
        <v>3464</v>
      </c>
      <c r="C384" s="2">
        <v>65</v>
      </c>
      <c r="D384" s="2">
        <v>1</v>
      </c>
      <c r="E384" s="2">
        <v>1</v>
      </c>
      <c r="F384" s="2">
        <v>0</v>
      </c>
      <c r="G384" s="2">
        <v>2</v>
      </c>
      <c r="H384" s="2">
        <v>0</v>
      </c>
      <c r="I384" s="2">
        <v>0</v>
      </c>
      <c r="J384" s="2">
        <v>0</v>
      </c>
      <c r="K384" s="2">
        <v>1</v>
      </c>
      <c r="L384" s="2" t="s">
        <v>6088</v>
      </c>
      <c r="M384" s="2" t="s">
        <v>6088</v>
      </c>
      <c r="N384" s="2"/>
    </row>
    <row r="385" spans="1:14">
      <c r="A385" s="1">
        <v>43198.412868784719</v>
      </c>
      <c r="B385" s="2">
        <v>4987</v>
      </c>
      <c r="C385" s="2">
        <v>65</v>
      </c>
      <c r="D385" s="2">
        <v>1</v>
      </c>
      <c r="E385" s="2">
        <v>0</v>
      </c>
      <c r="F385" s="2">
        <v>0</v>
      </c>
      <c r="G385" s="2">
        <v>0</v>
      </c>
      <c r="H385" s="2">
        <v>3</v>
      </c>
      <c r="I385" s="2">
        <v>0</v>
      </c>
      <c r="J385" s="2">
        <v>0</v>
      </c>
      <c r="K385" s="2">
        <v>1</v>
      </c>
      <c r="L385" s="2" t="s">
        <v>6462</v>
      </c>
      <c r="M385" s="2" t="s">
        <v>6088</v>
      </c>
      <c r="N385" s="2"/>
    </row>
    <row r="386" spans="1:14">
      <c r="A386" s="1">
        <v>43198.414004062499</v>
      </c>
      <c r="B386" s="2">
        <v>1740</v>
      </c>
      <c r="C386" s="2">
        <v>65</v>
      </c>
      <c r="D386" s="2">
        <v>1</v>
      </c>
      <c r="E386" s="2">
        <v>0</v>
      </c>
      <c r="F386" s="2">
        <v>0</v>
      </c>
      <c r="G386" s="2">
        <v>0</v>
      </c>
      <c r="H386" s="2">
        <v>1</v>
      </c>
      <c r="I386" s="2">
        <v>0</v>
      </c>
      <c r="J386" s="2">
        <v>0</v>
      </c>
      <c r="K386" s="2">
        <v>0</v>
      </c>
      <c r="L386" s="2"/>
      <c r="M386" s="2" t="s">
        <v>6463</v>
      </c>
      <c r="N386" s="2"/>
    </row>
    <row r="387" spans="1:14">
      <c r="A387" s="1">
        <v>43198.416412916667</v>
      </c>
      <c r="B387" s="2">
        <v>175</v>
      </c>
      <c r="C387" s="2">
        <v>66</v>
      </c>
      <c r="D387" s="2">
        <v>0</v>
      </c>
      <c r="E387" s="2">
        <v>1</v>
      </c>
      <c r="F387" s="2">
        <v>0</v>
      </c>
      <c r="G387" s="2">
        <v>3</v>
      </c>
      <c r="H387" s="2">
        <v>5</v>
      </c>
      <c r="I387" s="2">
        <v>3</v>
      </c>
      <c r="J387" s="2">
        <v>6</v>
      </c>
      <c r="K387" s="2">
        <v>0</v>
      </c>
      <c r="L387" s="2" t="s">
        <v>6462</v>
      </c>
      <c r="M387" s="2" t="s">
        <v>6479</v>
      </c>
      <c r="N387" s="2"/>
    </row>
    <row r="388" spans="1:14">
      <c r="A388" s="1">
        <v>43198.416424016206</v>
      </c>
      <c r="B388" s="2">
        <v>155</v>
      </c>
      <c r="C388" s="2">
        <v>66</v>
      </c>
      <c r="D388" s="2">
        <v>1</v>
      </c>
      <c r="E388" s="2">
        <v>0</v>
      </c>
      <c r="F388" s="2">
        <v>0</v>
      </c>
      <c r="G388" s="2">
        <v>2</v>
      </c>
      <c r="H388" s="2">
        <v>0</v>
      </c>
      <c r="I388" s="2">
        <v>0</v>
      </c>
      <c r="J388" s="2">
        <v>7</v>
      </c>
      <c r="K388" s="2">
        <v>1</v>
      </c>
      <c r="L388" s="2" t="s">
        <v>6088</v>
      </c>
      <c r="M388" s="2" t="s">
        <v>6491</v>
      </c>
      <c r="N388" s="2" t="s">
        <v>6761</v>
      </c>
    </row>
    <row r="389" spans="1:14">
      <c r="A389" s="1">
        <v>43198.416835081021</v>
      </c>
      <c r="B389" s="2">
        <v>5686</v>
      </c>
      <c r="C389" s="2">
        <v>66</v>
      </c>
      <c r="D389" s="2">
        <v>1</v>
      </c>
      <c r="E389" s="2">
        <v>1</v>
      </c>
      <c r="F389" s="2">
        <v>0</v>
      </c>
      <c r="G389" s="2">
        <v>0</v>
      </c>
      <c r="H389" s="2">
        <v>8</v>
      </c>
      <c r="I389" s="2">
        <v>0</v>
      </c>
      <c r="J389" s="2">
        <v>0</v>
      </c>
      <c r="K389" s="2">
        <v>1</v>
      </c>
      <c r="L389" s="2" t="s">
        <v>6088</v>
      </c>
      <c r="M389" s="2" t="s">
        <v>6491</v>
      </c>
      <c r="N389" s="2" t="s">
        <v>6762</v>
      </c>
    </row>
    <row r="390" spans="1:14">
      <c r="A390" s="1">
        <v>43198.417625868053</v>
      </c>
      <c r="B390" s="2">
        <v>175</v>
      </c>
      <c r="C390" s="2">
        <v>66</v>
      </c>
      <c r="D390" s="2">
        <v>1</v>
      </c>
      <c r="E390" s="2">
        <v>1</v>
      </c>
      <c r="F390" s="2">
        <v>0</v>
      </c>
      <c r="G390" s="2">
        <v>3</v>
      </c>
      <c r="H390" s="2">
        <v>0</v>
      </c>
      <c r="I390" s="2">
        <v>0</v>
      </c>
      <c r="J390" s="2">
        <v>2</v>
      </c>
      <c r="K390" s="2">
        <v>1</v>
      </c>
      <c r="L390" s="2"/>
      <c r="M390" s="2" t="s">
        <v>6479</v>
      </c>
      <c r="N390" s="2"/>
    </row>
    <row r="391" spans="1:14">
      <c r="A391" s="1">
        <v>43198.418003506944</v>
      </c>
      <c r="B391" s="2">
        <v>7153</v>
      </c>
      <c r="C391" s="2">
        <v>66</v>
      </c>
      <c r="D391" s="2">
        <v>1</v>
      </c>
      <c r="E391" s="2">
        <v>0</v>
      </c>
      <c r="F391" s="2">
        <v>0</v>
      </c>
      <c r="G391" s="2">
        <v>4</v>
      </c>
      <c r="H391" s="2">
        <v>0</v>
      </c>
      <c r="I391" s="2">
        <v>0</v>
      </c>
      <c r="J391" s="2">
        <v>0</v>
      </c>
      <c r="K391" s="2">
        <v>0</v>
      </c>
      <c r="L391" s="2" t="s">
        <v>6462</v>
      </c>
      <c r="M391" s="2" t="s">
        <v>6491</v>
      </c>
      <c r="N391" s="2"/>
    </row>
    <row r="392" spans="1:14">
      <c r="A392" s="1">
        <v>43198.421431793984</v>
      </c>
      <c r="B392" s="2">
        <v>6812</v>
      </c>
      <c r="C392" s="2">
        <v>67</v>
      </c>
      <c r="D392" s="2">
        <v>1</v>
      </c>
      <c r="E392" s="2">
        <v>0</v>
      </c>
      <c r="F392" s="2">
        <v>0</v>
      </c>
      <c r="G392" s="2">
        <v>0</v>
      </c>
      <c r="H392" s="2">
        <v>0</v>
      </c>
      <c r="I392" s="2">
        <v>0</v>
      </c>
      <c r="J392" s="2">
        <v>2</v>
      </c>
      <c r="K392" s="2">
        <v>0</v>
      </c>
      <c r="L392" s="2"/>
      <c r="M392" s="2" t="s">
        <v>6536</v>
      </c>
      <c r="N392" s="2"/>
    </row>
    <row r="393" spans="1:14">
      <c r="A393" s="1">
        <v>43198.421584953707</v>
      </c>
      <c r="B393" s="2">
        <v>2785</v>
      </c>
      <c r="C393" s="2">
        <v>67</v>
      </c>
      <c r="D393" s="2">
        <v>1</v>
      </c>
      <c r="E393" s="2">
        <v>0</v>
      </c>
      <c r="F393" s="2">
        <v>0</v>
      </c>
      <c r="G393" s="2">
        <v>2</v>
      </c>
      <c r="H393" s="2">
        <v>0</v>
      </c>
      <c r="I393" s="2">
        <v>0</v>
      </c>
      <c r="J393" s="2">
        <v>3</v>
      </c>
      <c r="K393" s="2">
        <v>0</v>
      </c>
      <c r="L393" s="2" t="s">
        <v>6462</v>
      </c>
      <c r="M393" s="2" t="s">
        <v>6088</v>
      </c>
      <c r="N393" s="2"/>
    </row>
    <row r="394" spans="1:14">
      <c r="A394" s="1">
        <v>43198.421862118055</v>
      </c>
      <c r="B394" s="2">
        <v>195</v>
      </c>
      <c r="C394" s="2">
        <v>66</v>
      </c>
      <c r="D394" s="2">
        <v>0</v>
      </c>
      <c r="E394" s="2">
        <v>1</v>
      </c>
      <c r="F394" s="2">
        <v>0</v>
      </c>
      <c r="G394" s="2">
        <v>5</v>
      </c>
      <c r="H394" s="2">
        <v>4</v>
      </c>
      <c r="I394" s="2">
        <v>8</v>
      </c>
      <c r="J394" s="2">
        <v>7</v>
      </c>
      <c r="K394" s="2">
        <v>1</v>
      </c>
      <c r="L394" s="2" t="s">
        <v>12</v>
      </c>
      <c r="M394" s="2" t="s">
        <v>6536</v>
      </c>
      <c r="N394" s="2" t="s">
        <v>6763</v>
      </c>
    </row>
    <row r="395" spans="1:14">
      <c r="A395" s="1">
        <v>43198.422422337964</v>
      </c>
      <c r="B395" s="2">
        <v>173</v>
      </c>
      <c r="C395" s="2">
        <v>67</v>
      </c>
      <c r="D395" s="2">
        <v>1</v>
      </c>
      <c r="E395" s="2">
        <v>1</v>
      </c>
      <c r="F395" s="2">
        <v>0</v>
      </c>
      <c r="G395" s="2">
        <v>0</v>
      </c>
      <c r="H395" s="2">
        <v>0</v>
      </c>
      <c r="I395" s="2">
        <v>6</v>
      </c>
      <c r="J395" s="2">
        <v>0</v>
      </c>
      <c r="K395" s="2">
        <v>1</v>
      </c>
      <c r="L395" s="2" t="s">
        <v>6088</v>
      </c>
      <c r="M395" s="2" t="s">
        <v>6625</v>
      </c>
      <c r="N395" s="2"/>
    </row>
    <row r="396" spans="1:14">
      <c r="A396" s="1">
        <v>43198.422517430554</v>
      </c>
      <c r="B396" s="2">
        <v>3634</v>
      </c>
      <c r="C396" s="2">
        <v>67</v>
      </c>
      <c r="D396" s="2">
        <v>1</v>
      </c>
      <c r="E396" s="2">
        <v>0</v>
      </c>
      <c r="F396" s="2">
        <v>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 t="s">
        <v>6088</v>
      </c>
      <c r="M396" s="2" t="s">
        <v>6625</v>
      </c>
      <c r="N396" s="2" t="s">
        <v>6764</v>
      </c>
    </row>
    <row r="397" spans="1:14">
      <c r="A397" s="1">
        <v>43198.426560972221</v>
      </c>
      <c r="B397" s="2">
        <v>558</v>
      </c>
      <c r="C397" s="2">
        <v>68</v>
      </c>
      <c r="D397" s="2">
        <v>1</v>
      </c>
      <c r="E397" s="2">
        <v>1</v>
      </c>
      <c r="F397" s="2">
        <v>0</v>
      </c>
      <c r="G397" s="2">
        <v>0</v>
      </c>
      <c r="H397" s="2">
        <v>0</v>
      </c>
      <c r="I397" s="2">
        <v>2</v>
      </c>
      <c r="J397" s="2">
        <v>0</v>
      </c>
      <c r="K397" s="2">
        <v>1</v>
      </c>
      <c r="L397" s="2" t="s">
        <v>6088</v>
      </c>
      <c r="M397" s="2" t="s">
        <v>6491</v>
      </c>
      <c r="N397" s="2" t="s">
        <v>6765</v>
      </c>
    </row>
    <row r="398" spans="1:14">
      <c r="A398" s="1">
        <v>43198.426702418983</v>
      </c>
      <c r="B398" s="2">
        <v>1085</v>
      </c>
      <c r="C398" s="2">
        <v>68</v>
      </c>
      <c r="D398" s="2">
        <v>1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 t="s">
        <v>6462</v>
      </c>
      <c r="M398" s="2" t="s">
        <v>6491</v>
      </c>
      <c r="N398" s="2"/>
    </row>
    <row r="399" spans="1:14">
      <c r="A399" s="1">
        <v>43198.426817222222</v>
      </c>
      <c r="B399" s="2">
        <v>6346</v>
      </c>
      <c r="C399" s="2">
        <v>68</v>
      </c>
      <c r="D399" s="2">
        <v>1</v>
      </c>
      <c r="E399" s="2">
        <v>0</v>
      </c>
      <c r="F399" s="2">
        <v>0</v>
      </c>
      <c r="G399" s="2">
        <v>0</v>
      </c>
      <c r="H399" s="2">
        <v>0</v>
      </c>
      <c r="I399" s="2">
        <v>0</v>
      </c>
      <c r="J399" s="2">
        <v>3</v>
      </c>
      <c r="K399" s="2">
        <v>0</v>
      </c>
      <c r="L399" s="2"/>
      <c r="M399" s="2" t="s">
        <v>6088</v>
      </c>
      <c r="N399" s="2"/>
    </row>
    <row r="400" spans="1:14">
      <c r="A400" s="1">
        <v>43198.426872048614</v>
      </c>
      <c r="B400" s="2">
        <v>5746</v>
      </c>
      <c r="C400" s="2">
        <v>68</v>
      </c>
      <c r="D400" s="2">
        <v>0</v>
      </c>
      <c r="E400" s="2">
        <v>1</v>
      </c>
      <c r="F400" s="2">
        <v>0</v>
      </c>
      <c r="G400" s="2">
        <v>3</v>
      </c>
      <c r="H400" s="2">
        <v>2</v>
      </c>
      <c r="I400" s="2">
        <v>4</v>
      </c>
      <c r="J400" s="2">
        <v>5</v>
      </c>
      <c r="K400" s="2">
        <v>0</v>
      </c>
      <c r="L400" s="2" t="s">
        <v>6462</v>
      </c>
      <c r="M400" s="2" t="s">
        <v>6479</v>
      </c>
      <c r="N400" s="2" t="s">
        <v>6766</v>
      </c>
    </row>
    <row r="401" spans="1:14">
      <c r="A401" s="1">
        <v>43198.427371886573</v>
      </c>
      <c r="B401" s="2">
        <v>1027</v>
      </c>
      <c r="C401" s="2">
        <v>68</v>
      </c>
      <c r="D401" s="2">
        <v>1</v>
      </c>
      <c r="E401" s="2">
        <v>0</v>
      </c>
      <c r="F401" s="2">
        <v>0</v>
      </c>
      <c r="G401" s="2">
        <v>1</v>
      </c>
      <c r="H401" s="2">
        <v>0</v>
      </c>
      <c r="I401" s="2">
        <v>0</v>
      </c>
      <c r="J401" s="2">
        <v>9</v>
      </c>
      <c r="K401" s="2">
        <v>1</v>
      </c>
      <c r="L401" s="2" t="s">
        <v>6088</v>
      </c>
      <c r="M401" s="2" t="s">
        <v>6491</v>
      </c>
      <c r="N401" s="2"/>
    </row>
    <row r="402" spans="1:14">
      <c r="A402" s="1">
        <v>43198.431085752316</v>
      </c>
      <c r="B402" s="2">
        <v>5142</v>
      </c>
      <c r="C402" s="2">
        <v>69</v>
      </c>
      <c r="D402" s="2">
        <v>0</v>
      </c>
      <c r="E402" s="2">
        <v>1</v>
      </c>
      <c r="F402" s="2">
        <v>0</v>
      </c>
      <c r="G402" s="2">
        <v>1</v>
      </c>
      <c r="H402" s="2">
        <v>3</v>
      </c>
      <c r="I402" s="2">
        <v>3</v>
      </c>
      <c r="J402" s="2">
        <v>2</v>
      </c>
      <c r="K402" s="2">
        <v>0</v>
      </c>
      <c r="L402" s="2" t="s">
        <v>6462</v>
      </c>
      <c r="M402" s="2" t="s">
        <v>6536</v>
      </c>
      <c r="N402" s="2"/>
    </row>
    <row r="403" spans="1:14">
      <c r="A403" s="1">
        <v>43198.431168553238</v>
      </c>
      <c r="B403" s="2">
        <v>2067</v>
      </c>
      <c r="C403" s="2">
        <v>69</v>
      </c>
      <c r="D403" s="2">
        <v>1</v>
      </c>
      <c r="E403" s="2">
        <v>1</v>
      </c>
      <c r="F403" s="2">
        <v>0</v>
      </c>
      <c r="G403" s="2">
        <v>0</v>
      </c>
      <c r="H403" s="2">
        <v>1</v>
      </c>
      <c r="I403" s="2">
        <v>2</v>
      </c>
      <c r="J403" s="2">
        <v>0</v>
      </c>
      <c r="K403" s="2">
        <v>1</v>
      </c>
      <c r="L403" s="2" t="s">
        <v>6088</v>
      </c>
      <c r="M403" s="2" t="s">
        <v>6088</v>
      </c>
      <c r="N403" s="2"/>
    </row>
    <row r="404" spans="1:14">
      <c r="A404" s="1">
        <v>43198.431229571761</v>
      </c>
      <c r="B404" s="2">
        <v>6895</v>
      </c>
      <c r="C404" s="2">
        <v>69</v>
      </c>
      <c r="D404" s="2">
        <v>1</v>
      </c>
      <c r="E404" s="2">
        <v>0</v>
      </c>
      <c r="F404" s="2">
        <v>0</v>
      </c>
      <c r="G404" s="2">
        <v>1</v>
      </c>
      <c r="H404" s="2">
        <v>0</v>
      </c>
      <c r="I404" s="2">
        <v>0</v>
      </c>
      <c r="J404" s="2">
        <v>0</v>
      </c>
      <c r="K404" s="2">
        <v>0</v>
      </c>
      <c r="L404" s="2" t="s">
        <v>6462</v>
      </c>
      <c r="M404" s="2" t="s">
        <v>6088</v>
      </c>
      <c r="N404" s="2"/>
    </row>
    <row r="405" spans="1:14">
      <c r="A405" s="1">
        <v>43198.431355856483</v>
      </c>
      <c r="B405" s="2">
        <v>5142</v>
      </c>
      <c r="C405" s="2">
        <v>69</v>
      </c>
      <c r="D405" s="2">
        <v>1</v>
      </c>
      <c r="E405" s="2">
        <v>0</v>
      </c>
      <c r="F405" s="2">
        <v>0</v>
      </c>
      <c r="G405" s="2">
        <v>0</v>
      </c>
      <c r="H405" s="2">
        <v>0</v>
      </c>
      <c r="I405" s="2">
        <v>0</v>
      </c>
      <c r="J405" s="2">
        <v>2</v>
      </c>
      <c r="K405" s="2">
        <v>0</v>
      </c>
      <c r="L405" s="2"/>
      <c r="M405" s="2" t="s">
        <v>6688</v>
      </c>
      <c r="N405" s="2"/>
    </row>
    <row r="406" spans="1:14">
      <c r="A406" s="1">
        <v>43198.431365104167</v>
      </c>
      <c r="B406" s="2">
        <v>1973</v>
      </c>
      <c r="C406" s="2">
        <v>69</v>
      </c>
      <c r="D406" s="2">
        <v>1</v>
      </c>
      <c r="E406" s="2">
        <v>0</v>
      </c>
      <c r="F406" s="2">
        <v>0</v>
      </c>
      <c r="G406" s="2">
        <v>0</v>
      </c>
      <c r="H406" s="2">
        <v>0</v>
      </c>
      <c r="I406" s="2">
        <v>0</v>
      </c>
      <c r="J406" s="2">
        <v>3</v>
      </c>
      <c r="K406" s="2">
        <v>1</v>
      </c>
      <c r="L406" s="2" t="s">
        <v>6088</v>
      </c>
      <c r="M406" s="2" t="s">
        <v>6088</v>
      </c>
      <c r="N406" s="2" t="s">
        <v>6767</v>
      </c>
    </row>
    <row r="407" spans="1:14">
      <c r="A407" s="1">
        <v>43198.436213437497</v>
      </c>
      <c r="B407" s="2">
        <v>2836</v>
      </c>
      <c r="C407" s="2">
        <v>70</v>
      </c>
      <c r="D407" s="2">
        <v>1</v>
      </c>
      <c r="E407" s="2">
        <v>1</v>
      </c>
      <c r="F407" s="2">
        <v>0</v>
      </c>
      <c r="G407" s="2">
        <v>0</v>
      </c>
      <c r="H407" s="2">
        <v>0</v>
      </c>
      <c r="I407" s="2">
        <v>4</v>
      </c>
      <c r="J407" s="2">
        <v>1</v>
      </c>
      <c r="K407" s="2">
        <v>1</v>
      </c>
      <c r="L407" s="2" t="s">
        <v>12</v>
      </c>
      <c r="M407" s="2" t="s">
        <v>6491</v>
      </c>
      <c r="N407" s="2"/>
    </row>
    <row r="408" spans="1:14">
      <c r="A408" s="1">
        <v>43198.436391053241</v>
      </c>
      <c r="B408" s="2">
        <v>999</v>
      </c>
      <c r="C408" s="2">
        <v>70</v>
      </c>
      <c r="D408" s="2">
        <v>1</v>
      </c>
      <c r="E408" s="2">
        <v>0</v>
      </c>
      <c r="F408" s="2">
        <v>0</v>
      </c>
      <c r="G408" s="2">
        <v>0</v>
      </c>
      <c r="H408" s="2">
        <v>5</v>
      </c>
      <c r="I408" s="2">
        <v>0</v>
      </c>
      <c r="J408" s="2">
        <v>2</v>
      </c>
      <c r="K408" s="2">
        <v>0</v>
      </c>
      <c r="L408" s="2" t="s">
        <v>6462</v>
      </c>
      <c r="M408" s="2" t="s">
        <v>6491</v>
      </c>
      <c r="N408" s="2"/>
    </row>
    <row r="409" spans="1:14">
      <c r="A409" s="1">
        <v>43198.436421620368</v>
      </c>
      <c r="B409" s="2">
        <v>155</v>
      </c>
      <c r="C409" s="2">
        <v>70</v>
      </c>
      <c r="D409" s="2">
        <v>0</v>
      </c>
      <c r="E409" s="2">
        <v>1</v>
      </c>
      <c r="F409" s="2">
        <v>0</v>
      </c>
      <c r="G409" s="2">
        <v>4</v>
      </c>
      <c r="H409" s="2">
        <v>3</v>
      </c>
      <c r="I409" s="2">
        <v>4</v>
      </c>
      <c r="J409" s="2">
        <v>7</v>
      </c>
      <c r="K409" s="2">
        <v>1</v>
      </c>
      <c r="L409" s="2" t="s">
        <v>12</v>
      </c>
      <c r="M409" s="2" t="s">
        <v>6491</v>
      </c>
      <c r="N409" s="2"/>
    </row>
    <row r="410" spans="1:14">
      <c r="A410" s="1">
        <v>43198.436559155096</v>
      </c>
      <c r="B410" s="2">
        <v>839</v>
      </c>
      <c r="C410" s="2">
        <v>70</v>
      </c>
      <c r="D410" s="2">
        <v>1</v>
      </c>
      <c r="E410" s="2">
        <v>0</v>
      </c>
      <c r="F410" s="2">
        <v>0</v>
      </c>
      <c r="G410" s="2">
        <v>1</v>
      </c>
      <c r="H410" s="2">
        <v>0</v>
      </c>
      <c r="I410" s="2">
        <v>3</v>
      </c>
      <c r="J410" s="2">
        <v>1</v>
      </c>
      <c r="K410" s="2">
        <v>1</v>
      </c>
      <c r="L410" s="2" t="s">
        <v>6088</v>
      </c>
      <c r="M410" s="2" t="s">
        <v>6468</v>
      </c>
      <c r="N410" s="2"/>
    </row>
    <row r="411" spans="1:14">
      <c r="A411" s="1">
        <v>43198.436761145836</v>
      </c>
      <c r="B411" s="2">
        <v>236</v>
      </c>
      <c r="C411" s="2">
        <v>70</v>
      </c>
      <c r="D411" s="2">
        <v>1</v>
      </c>
      <c r="E411" s="2">
        <v>0</v>
      </c>
      <c r="F411" s="2">
        <v>1</v>
      </c>
      <c r="G411" s="2">
        <v>0</v>
      </c>
      <c r="H411" s="2">
        <v>0</v>
      </c>
      <c r="I411" s="2">
        <v>1</v>
      </c>
      <c r="J411" s="2">
        <v>6</v>
      </c>
      <c r="K411" s="2">
        <v>1</v>
      </c>
      <c r="L411" s="2" t="s">
        <v>6088</v>
      </c>
      <c r="M411" s="2" t="s">
        <v>6491</v>
      </c>
      <c r="N411" s="2"/>
    </row>
    <row r="412" spans="1:14">
      <c r="A412" s="1">
        <v>43198.441197037035</v>
      </c>
      <c r="B412" s="2">
        <v>1085</v>
      </c>
      <c r="C412" s="2">
        <v>71</v>
      </c>
      <c r="D412" s="2">
        <v>0</v>
      </c>
      <c r="E412" s="2">
        <v>0</v>
      </c>
      <c r="F412" s="2">
        <v>0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 t="s">
        <v>6462</v>
      </c>
      <c r="M412" s="2" t="s">
        <v>6481</v>
      </c>
      <c r="N412" s="2" t="s">
        <v>6768</v>
      </c>
    </row>
    <row r="413" spans="1:14">
      <c r="A413" s="1">
        <v>43198.441255590275</v>
      </c>
      <c r="B413" s="2">
        <v>5129</v>
      </c>
      <c r="C413" s="2">
        <v>71</v>
      </c>
      <c r="D413" s="2">
        <v>1</v>
      </c>
      <c r="E413" s="2">
        <v>0</v>
      </c>
      <c r="F413" s="2">
        <v>0</v>
      </c>
      <c r="G413" s="2">
        <v>1</v>
      </c>
      <c r="H413" s="2">
        <v>0</v>
      </c>
      <c r="I413" s="2">
        <v>0</v>
      </c>
      <c r="J413" s="2">
        <v>9</v>
      </c>
      <c r="K413" s="2">
        <v>1</v>
      </c>
      <c r="L413" s="2" t="s">
        <v>6088</v>
      </c>
      <c r="M413" s="2" t="s">
        <v>6491</v>
      </c>
      <c r="N413" s="2"/>
    </row>
    <row r="414" spans="1:14">
      <c r="A414" s="1">
        <v>43198.441257002312</v>
      </c>
      <c r="B414" s="2">
        <v>1991</v>
      </c>
      <c r="C414" s="2">
        <v>71</v>
      </c>
      <c r="D414" s="2">
        <v>1</v>
      </c>
      <c r="E414" s="2">
        <v>0</v>
      </c>
      <c r="F414" s="2">
        <v>1</v>
      </c>
      <c r="G414" s="2">
        <v>0</v>
      </c>
      <c r="H414" s="2">
        <v>0</v>
      </c>
      <c r="I414" s="2">
        <v>1</v>
      </c>
      <c r="J414" s="2">
        <v>0</v>
      </c>
      <c r="K414" s="2">
        <v>0</v>
      </c>
      <c r="L414" s="2" t="s">
        <v>6462</v>
      </c>
      <c r="M414" s="2" t="s">
        <v>6646</v>
      </c>
      <c r="N414" s="2"/>
    </row>
    <row r="415" spans="1:14">
      <c r="A415" s="1">
        <v>43198.441366041669</v>
      </c>
      <c r="B415" s="2">
        <v>7153</v>
      </c>
      <c r="C415" s="2">
        <v>71</v>
      </c>
      <c r="D415" s="2">
        <v>1</v>
      </c>
      <c r="E415" s="2">
        <v>0</v>
      </c>
      <c r="F415" s="2">
        <v>0</v>
      </c>
      <c r="G415" s="2">
        <v>0</v>
      </c>
      <c r="H415" s="2">
        <v>0</v>
      </c>
      <c r="I415" s="2">
        <v>0</v>
      </c>
      <c r="J415" s="2">
        <v>4</v>
      </c>
      <c r="K415" s="2">
        <v>0</v>
      </c>
      <c r="L415" s="2"/>
      <c r="M415" s="2" t="s">
        <v>6467</v>
      </c>
      <c r="N415" s="2"/>
    </row>
    <row r="416" spans="1:14">
      <c r="A416" s="1">
        <v>43198.441366250001</v>
      </c>
      <c r="B416" s="2">
        <v>7153</v>
      </c>
      <c r="C416" s="2">
        <v>71</v>
      </c>
      <c r="D416" s="2">
        <v>0</v>
      </c>
      <c r="E416" s="2">
        <v>1</v>
      </c>
      <c r="F416" s="2">
        <v>0</v>
      </c>
      <c r="G416" s="2">
        <v>3</v>
      </c>
      <c r="H416" s="2">
        <v>2</v>
      </c>
      <c r="I416" s="2">
        <v>2</v>
      </c>
      <c r="J416" s="2">
        <v>4</v>
      </c>
      <c r="K416" s="2">
        <v>0</v>
      </c>
      <c r="L416" s="2" t="s">
        <v>6462</v>
      </c>
      <c r="M416" s="2" t="s">
        <v>6479</v>
      </c>
      <c r="N416" s="2"/>
    </row>
    <row r="417" spans="1:14">
      <c r="A417" s="1">
        <v>43198.447283761576</v>
      </c>
      <c r="B417" s="2">
        <v>3654</v>
      </c>
      <c r="C417" s="2">
        <v>72</v>
      </c>
      <c r="D417" s="2">
        <v>1</v>
      </c>
      <c r="E417" s="2">
        <v>0</v>
      </c>
      <c r="F417" s="2">
        <v>0</v>
      </c>
      <c r="G417" s="2">
        <v>0</v>
      </c>
      <c r="H417" s="2">
        <v>0</v>
      </c>
      <c r="I417" s="2">
        <v>4</v>
      </c>
      <c r="J417" s="2">
        <v>0</v>
      </c>
      <c r="K417" s="2">
        <v>0</v>
      </c>
      <c r="L417" s="2" t="s">
        <v>6462</v>
      </c>
      <c r="M417" s="2" t="s">
        <v>6463</v>
      </c>
      <c r="N417" s="2"/>
    </row>
    <row r="418" spans="1:14">
      <c r="A418" s="1">
        <v>43198.447509965277</v>
      </c>
      <c r="B418" s="2">
        <v>6346</v>
      </c>
      <c r="C418" s="2">
        <v>72</v>
      </c>
      <c r="D418" s="2">
        <v>1</v>
      </c>
      <c r="E418" s="2">
        <v>1</v>
      </c>
      <c r="F418" s="2">
        <v>0</v>
      </c>
      <c r="G418" s="2">
        <v>0</v>
      </c>
      <c r="H418" s="2">
        <v>0</v>
      </c>
      <c r="I418" s="2">
        <v>0</v>
      </c>
      <c r="J418" s="2">
        <v>5</v>
      </c>
      <c r="K418" s="2">
        <v>1</v>
      </c>
      <c r="L418" s="2" t="s">
        <v>6088</v>
      </c>
      <c r="M418" s="2" t="s">
        <v>6463</v>
      </c>
      <c r="N418" s="2"/>
    </row>
    <row r="419" spans="1:14">
      <c r="A419" s="1">
        <v>43198.447582256944</v>
      </c>
      <c r="B419" s="2">
        <v>72</v>
      </c>
      <c r="C419" s="2">
        <v>2064</v>
      </c>
      <c r="D419" s="2">
        <v>0</v>
      </c>
      <c r="E419" s="2">
        <v>1</v>
      </c>
      <c r="F419" s="2">
        <v>0</v>
      </c>
      <c r="G419" s="2">
        <v>1</v>
      </c>
      <c r="H419" s="2">
        <v>2</v>
      </c>
      <c r="I419" s="2">
        <v>3</v>
      </c>
      <c r="J419" s="2">
        <v>9</v>
      </c>
      <c r="K419" s="2">
        <v>0</v>
      </c>
      <c r="L419" s="2" t="s">
        <v>6462</v>
      </c>
      <c r="M419" s="2" t="s">
        <v>6491</v>
      </c>
      <c r="N419" s="2"/>
    </row>
    <row r="420" spans="1:14">
      <c r="A420" s="1">
        <v>43198.447801921298</v>
      </c>
      <c r="B420" s="2">
        <v>6333</v>
      </c>
      <c r="C420" s="2">
        <v>72</v>
      </c>
      <c r="D420" s="2">
        <v>1</v>
      </c>
      <c r="E420" s="2">
        <v>0</v>
      </c>
      <c r="F420" s="2">
        <v>0</v>
      </c>
      <c r="G420" s="2">
        <v>2</v>
      </c>
      <c r="H420" s="2">
        <v>0</v>
      </c>
      <c r="I420" s="2">
        <v>0</v>
      </c>
      <c r="J420" s="2">
        <v>0</v>
      </c>
      <c r="K420" s="2">
        <v>0</v>
      </c>
      <c r="L420" s="2"/>
      <c r="M420" s="2" t="s">
        <v>6463</v>
      </c>
      <c r="N420" s="2"/>
    </row>
    <row r="421" spans="1:14">
      <c r="A421" s="1">
        <v>43198.44813542824</v>
      </c>
      <c r="B421" s="2">
        <v>3634</v>
      </c>
      <c r="C421" s="2">
        <v>72</v>
      </c>
      <c r="D421" s="2">
        <v>1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5</v>
      </c>
      <c r="K421" s="2">
        <v>1</v>
      </c>
      <c r="L421" s="2" t="s">
        <v>6088</v>
      </c>
      <c r="M421" s="2" t="s">
        <v>6463</v>
      </c>
      <c r="N421" s="2"/>
    </row>
    <row r="422" spans="1:14">
      <c r="A422" s="1">
        <v>43198.452025416664</v>
      </c>
      <c r="B422" s="2">
        <v>176</v>
      </c>
      <c r="C422" s="2">
        <v>73</v>
      </c>
      <c r="D422" s="2">
        <v>0</v>
      </c>
      <c r="E422" s="2">
        <v>1</v>
      </c>
      <c r="F422" s="2">
        <v>0</v>
      </c>
      <c r="G422" s="2">
        <v>4</v>
      </c>
      <c r="H422" s="2">
        <v>3</v>
      </c>
      <c r="I422" s="2">
        <v>6</v>
      </c>
      <c r="J422" s="2">
        <v>2</v>
      </c>
      <c r="K422" s="2">
        <v>0</v>
      </c>
      <c r="L422" s="2" t="s">
        <v>6462</v>
      </c>
      <c r="M422" s="2" t="s">
        <v>6088</v>
      </c>
      <c r="N422" s="2"/>
    </row>
    <row r="423" spans="1:14">
      <c r="A423" s="1">
        <v>43198.452056261573</v>
      </c>
      <c r="B423" s="2">
        <v>181</v>
      </c>
      <c r="C423" s="2">
        <v>73</v>
      </c>
      <c r="D423" s="2">
        <v>1</v>
      </c>
      <c r="E423" s="2">
        <v>0</v>
      </c>
      <c r="F423" s="2">
        <v>0</v>
      </c>
      <c r="G423" s="2">
        <v>0</v>
      </c>
      <c r="H423" s="2">
        <v>4</v>
      </c>
      <c r="I423" s="2">
        <v>2</v>
      </c>
      <c r="J423" s="2">
        <v>0</v>
      </c>
      <c r="K423" s="2">
        <v>1</v>
      </c>
      <c r="L423" s="2" t="s">
        <v>12</v>
      </c>
      <c r="M423" s="2" t="s">
        <v>6491</v>
      </c>
      <c r="N423" s="2" t="s">
        <v>6874</v>
      </c>
    </row>
    <row r="424" spans="1:14">
      <c r="A424" s="1">
        <v>43198.452214629629</v>
      </c>
      <c r="B424" s="2">
        <v>571</v>
      </c>
      <c r="C424" s="2">
        <v>73</v>
      </c>
      <c r="D424" s="2">
        <v>1</v>
      </c>
      <c r="E424" s="2">
        <v>0</v>
      </c>
      <c r="F424" s="2">
        <v>1</v>
      </c>
      <c r="G424" s="2">
        <v>0</v>
      </c>
      <c r="H424" s="2">
        <v>0</v>
      </c>
      <c r="I424" s="2">
        <v>4</v>
      </c>
      <c r="J424" s="2">
        <v>0</v>
      </c>
      <c r="K424" s="2">
        <v>0</v>
      </c>
      <c r="L424" s="2" t="s">
        <v>6462</v>
      </c>
      <c r="M424" s="2" t="s">
        <v>6491</v>
      </c>
      <c r="N424" s="2"/>
    </row>
    <row r="425" spans="1:14">
      <c r="A425" s="1">
        <v>43198.45225952546</v>
      </c>
      <c r="B425" s="2">
        <v>4987</v>
      </c>
      <c r="C425" s="2">
        <v>73</v>
      </c>
      <c r="D425" s="2">
        <v>1</v>
      </c>
      <c r="E425" s="2">
        <v>0</v>
      </c>
      <c r="F425" s="2">
        <v>0</v>
      </c>
      <c r="G425" s="2">
        <v>2</v>
      </c>
      <c r="H425" s="2">
        <v>0</v>
      </c>
      <c r="I425" s="2">
        <v>0</v>
      </c>
      <c r="J425" s="2">
        <v>0</v>
      </c>
      <c r="K425" s="2">
        <v>0</v>
      </c>
      <c r="L425" s="2"/>
      <c r="M425" s="2" t="s">
        <v>6593</v>
      </c>
      <c r="N425" s="2"/>
    </row>
    <row r="426" spans="1:14">
      <c r="A426" s="1">
        <v>43198.452738217595</v>
      </c>
      <c r="B426" s="2">
        <v>1027</v>
      </c>
      <c r="C426" s="2">
        <v>73</v>
      </c>
      <c r="D426" s="2">
        <v>1</v>
      </c>
      <c r="E426" s="2">
        <v>1</v>
      </c>
      <c r="F426" s="2">
        <v>0</v>
      </c>
      <c r="G426" s="2">
        <v>0</v>
      </c>
      <c r="H426" s="2">
        <v>0</v>
      </c>
      <c r="I426" s="2">
        <v>0</v>
      </c>
      <c r="J426" s="2">
        <v>9</v>
      </c>
      <c r="K426" s="2">
        <v>1</v>
      </c>
      <c r="L426" s="2" t="s">
        <v>6088</v>
      </c>
      <c r="M426" s="2" t="s">
        <v>6491</v>
      </c>
      <c r="N426" s="2" t="s">
        <v>6875</v>
      </c>
    </row>
    <row r="427" spans="1:14">
      <c r="A427" s="1">
        <v>43198.458492881946</v>
      </c>
      <c r="B427" s="2">
        <v>6695</v>
      </c>
      <c r="C427" s="2">
        <v>73</v>
      </c>
      <c r="D427" s="2">
        <v>1</v>
      </c>
      <c r="E427" s="2">
        <v>0</v>
      </c>
      <c r="F427" s="2">
        <v>0</v>
      </c>
      <c r="G427" s="2">
        <v>1</v>
      </c>
      <c r="H427" s="2">
        <v>0</v>
      </c>
      <c r="I427" s="2">
        <v>0</v>
      </c>
      <c r="J427" s="2">
        <v>0</v>
      </c>
      <c r="K427" s="2">
        <v>0</v>
      </c>
      <c r="L427" s="2" t="s">
        <v>6462</v>
      </c>
      <c r="M427" s="2" t="s">
        <v>6525</v>
      </c>
      <c r="N427" s="2"/>
    </row>
    <row r="428" spans="1:14">
      <c r="A428" s="1">
        <v>43198.458492858794</v>
      </c>
      <c r="B428" s="2">
        <v>558</v>
      </c>
      <c r="C428" s="2">
        <v>74</v>
      </c>
      <c r="D428" s="2">
        <v>0</v>
      </c>
      <c r="E428" s="2">
        <v>1</v>
      </c>
      <c r="F428" s="2">
        <v>0</v>
      </c>
      <c r="G428" s="2">
        <v>4</v>
      </c>
      <c r="H428" s="2">
        <v>3</v>
      </c>
      <c r="I428" s="2">
        <v>3</v>
      </c>
      <c r="J428" s="2">
        <v>6</v>
      </c>
      <c r="K428" s="2">
        <v>1</v>
      </c>
      <c r="L428" s="2" t="s">
        <v>6490</v>
      </c>
      <c r="M428" s="2" t="s">
        <v>6479</v>
      </c>
      <c r="N428" s="2"/>
    </row>
    <row r="429" spans="1:14">
      <c r="A429" s="1">
        <v>43198.458560775463</v>
      </c>
      <c r="B429" s="2">
        <v>558</v>
      </c>
      <c r="C429" s="2">
        <v>74</v>
      </c>
      <c r="D429" s="2">
        <v>1</v>
      </c>
      <c r="E429" s="2">
        <v>0</v>
      </c>
      <c r="F429" s="2">
        <v>0</v>
      </c>
      <c r="G429" s="2">
        <v>4</v>
      </c>
      <c r="H429" s="2">
        <v>0</v>
      </c>
      <c r="I429" s="2">
        <v>0</v>
      </c>
      <c r="J429" s="2">
        <v>0</v>
      </c>
      <c r="K429" s="2">
        <v>1</v>
      </c>
      <c r="L429" s="2" t="s">
        <v>6490</v>
      </c>
      <c r="M429" s="2" t="s">
        <v>6479</v>
      </c>
      <c r="N429" s="2"/>
    </row>
    <row r="430" spans="1:14">
      <c r="A430" s="1">
        <v>43198.45871165509</v>
      </c>
      <c r="B430" s="2">
        <v>5686</v>
      </c>
      <c r="C430" s="2">
        <v>74</v>
      </c>
      <c r="D430" s="2">
        <v>0</v>
      </c>
      <c r="E430" s="2">
        <v>1</v>
      </c>
      <c r="F430" s="2">
        <v>0</v>
      </c>
      <c r="G430" s="2">
        <v>0</v>
      </c>
      <c r="H430" s="2">
        <v>7</v>
      </c>
      <c r="I430" s="2">
        <v>0</v>
      </c>
      <c r="J430" s="2">
        <v>0</v>
      </c>
      <c r="K430" s="2">
        <v>1</v>
      </c>
      <c r="L430" s="2" t="s">
        <v>6088</v>
      </c>
      <c r="M430" s="2" t="s">
        <v>6525</v>
      </c>
      <c r="N430" s="2"/>
    </row>
    <row r="431" spans="1:14">
      <c r="A431" s="1">
        <v>43198.458828240742</v>
      </c>
      <c r="B431" s="2">
        <v>2170</v>
      </c>
      <c r="C431" s="2">
        <v>74</v>
      </c>
      <c r="D431" s="2">
        <v>0</v>
      </c>
      <c r="E431" s="2">
        <v>1</v>
      </c>
      <c r="F431" s="2">
        <v>0</v>
      </c>
      <c r="G431" s="2">
        <v>5</v>
      </c>
      <c r="H431" s="2">
        <v>0</v>
      </c>
      <c r="I431" s="2">
        <v>0</v>
      </c>
      <c r="J431" s="2">
        <v>5</v>
      </c>
      <c r="K431" s="2">
        <v>1</v>
      </c>
      <c r="L431" s="2" t="s">
        <v>6088</v>
      </c>
      <c r="M431" s="2" t="s">
        <v>6525</v>
      </c>
      <c r="N431" s="2"/>
    </row>
    <row r="432" spans="1:14">
      <c r="A432" s="1">
        <v>43198.463293333334</v>
      </c>
      <c r="B432" s="2">
        <v>3146</v>
      </c>
      <c r="C432" s="2">
        <v>75</v>
      </c>
      <c r="D432" s="2">
        <v>1</v>
      </c>
      <c r="E432" s="2">
        <v>0</v>
      </c>
      <c r="F432" s="2">
        <v>0</v>
      </c>
      <c r="G432" s="2">
        <v>0</v>
      </c>
      <c r="H432" s="2">
        <v>0</v>
      </c>
      <c r="I432" s="2">
        <v>0</v>
      </c>
      <c r="J432" s="2">
        <v>5</v>
      </c>
      <c r="K432" s="2">
        <v>1</v>
      </c>
      <c r="L432" s="2" t="s">
        <v>6088</v>
      </c>
      <c r="M432" s="2" t="s">
        <v>6646</v>
      </c>
      <c r="N432" s="2"/>
    </row>
    <row r="433" spans="1:14">
      <c r="A433" s="1">
        <v>43198.463308981482</v>
      </c>
      <c r="B433" s="2">
        <v>230</v>
      </c>
      <c r="C433" s="2">
        <v>75</v>
      </c>
      <c r="D433" s="2">
        <v>1</v>
      </c>
      <c r="E433" s="2">
        <v>1</v>
      </c>
      <c r="F433" s="2">
        <v>0</v>
      </c>
      <c r="G433" s="2">
        <v>0</v>
      </c>
      <c r="H433" s="2">
        <v>0</v>
      </c>
      <c r="I433" s="2">
        <v>6</v>
      </c>
      <c r="J433" s="2">
        <v>0</v>
      </c>
      <c r="K433" s="2">
        <v>1</v>
      </c>
      <c r="L433" s="2" t="s">
        <v>6088</v>
      </c>
      <c r="M433" s="2" t="s">
        <v>6646</v>
      </c>
      <c r="N433" s="2" t="s">
        <v>6876</v>
      </c>
    </row>
    <row r="434" spans="1:14">
      <c r="A434" s="1">
        <v>43198.463313368055</v>
      </c>
      <c r="B434" s="2">
        <v>3464</v>
      </c>
      <c r="C434" s="2">
        <v>75</v>
      </c>
      <c r="D434" s="2">
        <v>0</v>
      </c>
      <c r="E434" s="2">
        <v>1</v>
      </c>
      <c r="F434" s="2">
        <v>0</v>
      </c>
      <c r="G434" s="2">
        <v>2</v>
      </c>
      <c r="H434" s="2">
        <v>2</v>
      </c>
      <c r="I434" s="2">
        <v>7</v>
      </c>
      <c r="J434" s="2">
        <v>8</v>
      </c>
      <c r="K434" s="2">
        <v>1</v>
      </c>
      <c r="L434" s="2" t="s">
        <v>12</v>
      </c>
      <c r="M434" s="2" t="s">
        <v>6491</v>
      </c>
      <c r="N434" s="2"/>
    </row>
    <row r="435" spans="1:14">
      <c r="A435" s="1">
        <v>43198.463372835649</v>
      </c>
      <c r="B435" s="2">
        <v>3464</v>
      </c>
      <c r="C435" s="2">
        <v>75</v>
      </c>
      <c r="D435" s="2">
        <v>1</v>
      </c>
      <c r="E435" s="2">
        <v>1</v>
      </c>
      <c r="F435" s="2">
        <v>0</v>
      </c>
      <c r="G435" s="2">
        <v>0</v>
      </c>
      <c r="H435" s="2">
        <v>0</v>
      </c>
      <c r="I435" s="2">
        <v>0</v>
      </c>
      <c r="J435" s="2">
        <v>6</v>
      </c>
      <c r="K435" s="2">
        <v>1</v>
      </c>
      <c r="L435" s="2" t="s">
        <v>12</v>
      </c>
      <c r="M435" s="2" t="s">
        <v>6646</v>
      </c>
      <c r="N435" s="2"/>
    </row>
    <row r="436" spans="1:14">
      <c r="A436" s="1">
        <v>43198.463551747685</v>
      </c>
      <c r="B436" s="2">
        <v>173</v>
      </c>
      <c r="C436" s="2">
        <v>75</v>
      </c>
      <c r="D436" s="2">
        <v>1</v>
      </c>
      <c r="E436" s="2">
        <v>1</v>
      </c>
      <c r="F436" s="2">
        <v>0</v>
      </c>
      <c r="G436" s="2">
        <v>0</v>
      </c>
      <c r="H436" s="2">
        <v>0</v>
      </c>
      <c r="I436" s="2">
        <v>4</v>
      </c>
      <c r="J436" s="2">
        <v>1</v>
      </c>
      <c r="K436" s="2">
        <v>1</v>
      </c>
      <c r="L436" s="2" t="s">
        <v>6088</v>
      </c>
      <c r="M436" s="2" t="s">
        <v>6646</v>
      </c>
      <c r="N436" s="2"/>
    </row>
    <row r="437" spans="1:14">
      <c r="A437" s="1">
        <v>43198.469933229164</v>
      </c>
      <c r="B437" s="2">
        <v>1085</v>
      </c>
      <c r="C437" s="2">
        <v>76</v>
      </c>
      <c r="D437" s="2">
        <v>1</v>
      </c>
      <c r="E437" s="2">
        <v>0</v>
      </c>
      <c r="F437" s="2">
        <v>0</v>
      </c>
      <c r="G437" s="2">
        <v>2</v>
      </c>
      <c r="H437" s="2">
        <v>3</v>
      </c>
      <c r="I437" s="2">
        <v>0</v>
      </c>
      <c r="J437" s="2">
        <v>3</v>
      </c>
      <c r="K437" s="2">
        <v>0</v>
      </c>
      <c r="L437" s="2" t="s">
        <v>6462</v>
      </c>
      <c r="M437" s="2" t="s">
        <v>6565</v>
      </c>
      <c r="N437" s="2"/>
    </row>
    <row r="438" spans="1:14">
      <c r="A438" s="1">
        <v>43198.470048287039</v>
      </c>
      <c r="B438" s="2">
        <v>177</v>
      </c>
      <c r="C438" s="2">
        <v>76</v>
      </c>
      <c r="D438" s="2">
        <v>1</v>
      </c>
      <c r="E438" s="2">
        <v>1</v>
      </c>
      <c r="F438" s="2">
        <v>0</v>
      </c>
      <c r="G438" s="2">
        <v>0</v>
      </c>
      <c r="H438" s="2">
        <v>0</v>
      </c>
      <c r="I438" s="2">
        <v>8</v>
      </c>
      <c r="J438" s="2">
        <v>0</v>
      </c>
      <c r="K438" s="2">
        <v>1</v>
      </c>
      <c r="L438" s="2" t="s">
        <v>6088</v>
      </c>
      <c r="M438" s="2" t="s">
        <v>6088</v>
      </c>
      <c r="N438" s="2"/>
    </row>
    <row r="439" spans="1:14">
      <c r="A439" s="1">
        <v>43198.470125925924</v>
      </c>
      <c r="B439" s="2">
        <v>571</v>
      </c>
      <c r="C439" s="2">
        <v>76</v>
      </c>
      <c r="D439" s="2">
        <v>1</v>
      </c>
      <c r="E439" s="2">
        <v>0</v>
      </c>
      <c r="F439" s="2">
        <v>0</v>
      </c>
      <c r="G439" s="2">
        <v>2</v>
      </c>
      <c r="H439" s="2">
        <v>0</v>
      </c>
      <c r="I439" s="2">
        <v>0</v>
      </c>
      <c r="J439" s="2">
        <v>2</v>
      </c>
      <c r="K439" s="2">
        <v>0</v>
      </c>
      <c r="L439" s="2" t="s">
        <v>6462</v>
      </c>
      <c r="M439" s="2" t="s">
        <v>6088</v>
      </c>
      <c r="N439" s="2"/>
    </row>
    <row r="440" spans="1:14">
      <c r="A440" s="1">
        <v>43198.470809976854</v>
      </c>
      <c r="B440" s="2">
        <v>6811</v>
      </c>
      <c r="C440" s="2">
        <v>76</v>
      </c>
      <c r="D440" s="2">
        <v>1</v>
      </c>
      <c r="E440" s="2">
        <v>0</v>
      </c>
      <c r="F440" s="2">
        <v>0</v>
      </c>
      <c r="G440" s="2">
        <v>0</v>
      </c>
      <c r="H440" s="2">
        <v>0</v>
      </c>
      <c r="I440" s="2">
        <v>0</v>
      </c>
      <c r="J440" s="2">
        <v>1</v>
      </c>
      <c r="K440" s="2">
        <v>1</v>
      </c>
      <c r="L440" s="2" t="s">
        <v>6088</v>
      </c>
      <c r="M440" s="2" t="s">
        <v>6491</v>
      </c>
      <c r="N440" s="2" t="s">
        <v>6877</v>
      </c>
    </row>
    <row r="441" spans="1:14">
      <c r="A441" s="1">
        <v>43198.471396805558</v>
      </c>
      <c r="B441" s="2">
        <v>1085</v>
      </c>
      <c r="C441" s="2">
        <v>76</v>
      </c>
      <c r="D441" s="2">
        <v>1</v>
      </c>
      <c r="E441" s="2">
        <v>0</v>
      </c>
      <c r="F441" s="2">
        <v>0</v>
      </c>
      <c r="G441" s="2">
        <v>0</v>
      </c>
      <c r="H441" s="2">
        <v>0</v>
      </c>
      <c r="I441" s="2">
        <v>0</v>
      </c>
      <c r="J441" s="2">
        <v>0</v>
      </c>
      <c r="K441" s="2">
        <v>1</v>
      </c>
      <c r="L441" s="2" t="s">
        <v>6088</v>
      </c>
      <c r="M441" s="2"/>
      <c r="N441" s="2"/>
    </row>
    <row r="442" spans="1:14">
      <c r="A442" s="1">
        <v>43198.475511805555</v>
      </c>
      <c r="B442" s="2">
        <v>6812</v>
      </c>
      <c r="C442" s="2">
        <v>77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 t="s">
        <v>6462</v>
      </c>
      <c r="M442" s="2"/>
      <c r="N442" s="2" t="s">
        <v>6878</v>
      </c>
    </row>
    <row r="443" spans="1:14">
      <c r="A443" s="1">
        <v>43198.475527499999</v>
      </c>
      <c r="B443" s="2">
        <v>5746</v>
      </c>
      <c r="C443" s="2">
        <v>77</v>
      </c>
      <c r="D443" s="2">
        <v>1</v>
      </c>
      <c r="E443" s="2">
        <v>0</v>
      </c>
      <c r="F443" s="2">
        <v>0</v>
      </c>
      <c r="G443" s="2">
        <v>0</v>
      </c>
      <c r="H443" s="2">
        <v>0</v>
      </c>
      <c r="I443" s="2">
        <v>1</v>
      </c>
      <c r="J443" s="2">
        <v>0</v>
      </c>
      <c r="K443" s="2">
        <v>0</v>
      </c>
      <c r="L443" s="2"/>
      <c r="M443" s="2" t="s">
        <v>6536</v>
      </c>
      <c r="N443" s="2"/>
    </row>
    <row r="444" spans="1:14">
      <c r="A444" s="1">
        <v>43198.475645972219</v>
      </c>
      <c r="B444" s="2">
        <v>2170</v>
      </c>
      <c r="C444" s="2">
        <v>77</v>
      </c>
      <c r="D444" s="2">
        <v>0</v>
      </c>
      <c r="E444" s="2">
        <v>1</v>
      </c>
      <c r="F444" s="2">
        <v>0</v>
      </c>
      <c r="G444" s="2">
        <v>2</v>
      </c>
      <c r="H444" s="2">
        <v>3</v>
      </c>
      <c r="I444" s="2">
        <v>3</v>
      </c>
      <c r="J444" s="2">
        <v>7</v>
      </c>
      <c r="K444" s="2">
        <v>0</v>
      </c>
      <c r="L444" s="2" t="s">
        <v>6462</v>
      </c>
      <c r="M444" s="2" t="s">
        <v>6536</v>
      </c>
      <c r="N444" s="2" t="s">
        <v>6879</v>
      </c>
    </row>
    <row r="445" spans="1:14">
      <c r="A445" s="1">
        <v>43198.475707395832</v>
      </c>
      <c r="B445" s="2">
        <v>7153</v>
      </c>
      <c r="C445" s="2">
        <v>77</v>
      </c>
      <c r="D445" s="2">
        <v>1</v>
      </c>
      <c r="E445" s="2">
        <v>0</v>
      </c>
      <c r="F445" s="2">
        <v>0</v>
      </c>
      <c r="G445" s="2">
        <v>4</v>
      </c>
      <c r="H445" s="2">
        <v>0</v>
      </c>
      <c r="I445" s="2">
        <v>0</v>
      </c>
      <c r="J445" s="2">
        <v>0</v>
      </c>
      <c r="K445" s="2">
        <v>0</v>
      </c>
      <c r="L445" s="2" t="s">
        <v>6462</v>
      </c>
      <c r="M445" s="2" t="s">
        <v>6482</v>
      </c>
      <c r="N445" s="2"/>
    </row>
    <row r="446" spans="1:14">
      <c r="A446" s="1">
        <v>43198.475724930555</v>
      </c>
      <c r="B446" s="2">
        <v>5142</v>
      </c>
      <c r="C446" s="2">
        <v>77</v>
      </c>
      <c r="D446" s="2">
        <v>1</v>
      </c>
      <c r="E446" s="2">
        <v>0</v>
      </c>
      <c r="F446" s="2">
        <v>0</v>
      </c>
      <c r="G446" s="2">
        <v>0</v>
      </c>
      <c r="H446" s="2">
        <v>2</v>
      </c>
      <c r="I446" s="2">
        <v>0</v>
      </c>
      <c r="J446" s="2">
        <v>0</v>
      </c>
      <c r="K446" s="2">
        <v>0</v>
      </c>
      <c r="L446" s="2" t="s">
        <v>6462</v>
      </c>
      <c r="M446" s="2"/>
      <c r="N446" s="2" t="s">
        <v>6880</v>
      </c>
    </row>
    <row r="447" spans="1:14">
      <c r="A447" s="1">
        <v>43198.480393807869</v>
      </c>
      <c r="B447" s="2">
        <v>558</v>
      </c>
      <c r="C447" s="2">
        <v>78</v>
      </c>
      <c r="D447" s="2">
        <v>0</v>
      </c>
      <c r="E447" s="2">
        <v>1</v>
      </c>
      <c r="F447" s="2">
        <v>0</v>
      </c>
      <c r="G447" s="2">
        <v>1</v>
      </c>
      <c r="H447" s="2">
        <v>3</v>
      </c>
      <c r="I447" s="2">
        <v>5</v>
      </c>
      <c r="J447" s="2">
        <v>3</v>
      </c>
      <c r="K447" s="2">
        <v>0</v>
      </c>
      <c r="L447" s="2" t="s">
        <v>6462</v>
      </c>
      <c r="M447" s="2" t="s">
        <v>6565</v>
      </c>
      <c r="N447" s="2"/>
    </row>
    <row r="448" spans="1:14">
      <c r="A448" s="1">
        <v>43198.480412256948</v>
      </c>
      <c r="B448" s="2">
        <v>6895</v>
      </c>
      <c r="C448" s="2">
        <v>78</v>
      </c>
      <c r="D448" s="2">
        <v>1</v>
      </c>
      <c r="E448" s="2">
        <v>0</v>
      </c>
      <c r="F448" s="2">
        <v>0</v>
      </c>
      <c r="G448" s="2">
        <v>0</v>
      </c>
      <c r="H448" s="2">
        <v>0</v>
      </c>
      <c r="I448" s="2">
        <v>0</v>
      </c>
      <c r="J448" s="2">
        <v>0</v>
      </c>
      <c r="K448" s="2">
        <v>1</v>
      </c>
      <c r="L448" s="2" t="s">
        <v>6088</v>
      </c>
      <c r="M448" s="2" t="s">
        <v>6088</v>
      </c>
      <c r="N448" s="2" t="s">
        <v>6881</v>
      </c>
    </row>
    <row r="449" spans="1:14">
      <c r="A449" s="1">
        <v>43198.48043703704</v>
      </c>
      <c r="B449" s="2">
        <v>558</v>
      </c>
      <c r="C449" s="2">
        <v>78</v>
      </c>
      <c r="D449" s="2">
        <v>1</v>
      </c>
      <c r="E449" s="2">
        <v>1</v>
      </c>
      <c r="F449" s="2">
        <v>0</v>
      </c>
      <c r="G449" s="2">
        <v>0</v>
      </c>
      <c r="H449" s="2">
        <v>2</v>
      </c>
      <c r="I449" s="2">
        <v>2</v>
      </c>
      <c r="J449" s="2">
        <v>0</v>
      </c>
      <c r="K449" s="2">
        <v>0</v>
      </c>
      <c r="L449" s="2"/>
      <c r="M449" s="2" t="s">
        <v>6088</v>
      </c>
      <c r="N449" s="2"/>
    </row>
    <row r="450" spans="1:14">
      <c r="A450" s="1">
        <v>43198.480488472225</v>
      </c>
      <c r="B450" s="2">
        <v>190</v>
      </c>
      <c r="C450" s="2">
        <v>78</v>
      </c>
      <c r="D450" s="2">
        <v>1</v>
      </c>
      <c r="E450" s="2">
        <v>0</v>
      </c>
      <c r="F450" s="2">
        <v>1</v>
      </c>
      <c r="G450" s="2">
        <v>2</v>
      </c>
      <c r="H450" s="2">
        <v>0</v>
      </c>
      <c r="I450" s="2">
        <v>1</v>
      </c>
      <c r="J450" s="2">
        <v>0</v>
      </c>
      <c r="K450" s="2">
        <v>0</v>
      </c>
      <c r="L450" s="2" t="s">
        <v>6462</v>
      </c>
      <c r="M450" s="2" t="s">
        <v>6088</v>
      </c>
      <c r="N450" s="2"/>
    </row>
    <row r="451" spans="1:14">
      <c r="A451" s="1">
        <v>43198.480598518516</v>
      </c>
      <c r="B451" s="2">
        <v>230</v>
      </c>
      <c r="C451" s="2">
        <v>78</v>
      </c>
      <c r="D451" s="2">
        <v>1</v>
      </c>
      <c r="E451" s="2">
        <v>1</v>
      </c>
      <c r="F451" s="2">
        <v>0</v>
      </c>
      <c r="G451" s="2">
        <v>1</v>
      </c>
      <c r="H451" s="2">
        <v>0</v>
      </c>
      <c r="I451" s="2">
        <v>6</v>
      </c>
      <c r="J451" s="2">
        <v>0</v>
      </c>
      <c r="K451" s="2">
        <v>1</v>
      </c>
      <c r="L451" s="2" t="s">
        <v>12</v>
      </c>
      <c r="M451" s="2" t="s">
        <v>6088</v>
      </c>
      <c r="N451" s="2" t="s">
        <v>6882</v>
      </c>
    </row>
    <row r="452" spans="1:14">
      <c r="A452" s="1">
        <v>43198.483113923612</v>
      </c>
      <c r="B452" s="2">
        <v>6895</v>
      </c>
      <c r="C452" s="2">
        <v>78</v>
      </c>
      <c r="D452" s="2">
        <v>1</v>
      </c>
      <c r="E452" s="2">
        <v>0</v>
      </c>
      <c r="F452" s="2">
        <v>0</v>
      </c>
      <c r="G452" s="2">
        <v>0</v>
      </c>
      <c r="H452" s="2">
        <v>0</v>
      </c>
      <c r="I452" s="2">
        <v>0</v>
      </c>
      <c r="J452" s="2">
        <v>0</v>
      </c>
      <c r="K452" s="2">
        <v>1</v>
      </c>
      <c r="L452" s="2" t="s">
        <v>6088</v>
      </c>
      <c r="M452" s="2" t="s">
        <v>6088</v>
      </c>
      <c r="N452" s="2" t="s">
        <v>6881</v>
      </c>
    </row>
    <row r="453" spans="1:14">
      <c r="A453" s="1">
        <v>43198.486246076391</v>
      </c>
      <c r="B453" s="2">
        <v>999</v>
      </c>
      <c r="C453" s="2">
        <v>79</v>
      </c>
      <c r="D453" s="2">
        <v>1</v>
      </c>
      <c r="E453" s="2">
        <v>0</v>
      </c>
      <c r="F453" s="2">
        <v>0</v>
      </c>
      <c r="G453" s="2">
        <v>0</v>
      </c>
      <c r="H453" s="2">
        <v>5</v>
      </c>
      <c r="I453" s="2">
        <v>0</v>
      </c>
      <c r="J453" s="2">
        <v>0</v>
      </c>
      <c r="K453" s="2">
        <v>0</v>
      </c>
      <c r="L453" s="2" t="s">
        <v>6462</v>
      </c>
      <c r="M453" s="2" t="s">
        <v>6473</v>
      </c>
      <c r="N453" s="2"/>
    </row>
    <row r="454" spans="1:14">
      <c r="A454" s="1">
        <v>43198.486353043983</v>
      </c>
      <c r="B454" s="2">
        <v>3464</v>
      </c>
      <c r="C454" s="2">
        <v>79</v>
      </c>
      <c r="D454" s="2">
        <v>1</v>
      </c>
      <c r="E454" s="2">
        <v>1</v>
      </c>
      <c r="F454" s="2">
        <v>0</v>
      </c>
      <c r="G454" s="2">
        <v>3</v>
      </c>
      <c r="H454" s="2">
        <v>0</v>
      </c>
      <c r="I454" s="2">
        <v>0</v>
      </c>
      <c r="J454" s="2">
        <v>1</v>
      </c>
      <c r="K454" s="2">
        <v>0</v>
      </c>
      <c r="L454" s="2" t="s">
        <v>6462</v>
      </c>
      <c r="M454" s="2" t="s">
        <v>6473</v>
      </c>
      <c r="N454" s="2" t="s">
        <v>6883</v>
      </c>
    </row>
    <row r="455" spans="1:14">
      <c r="A455" s="1">
        <v>43198.486467546296</v>
      </c>
      <c r="B455" s="2">
        <v>5686</v>
      </c>
      <c r="C455" s="2">
        <v>79</v>
      </c>
      <c r="D455" s="2">
        <v>0</v>
      </c>
      <c r="E455" s="2">
        <v>1</v>
      </c>
      <c r="F455" s="2">
        <v>0</v>
      </c>
      <c r="G455" s="2">
        <v>5</v>
      </c>
      <c r="H455" s="2">
        <v>4</v>
      </c>
      <c r="I455" s="2">
        <v>0</v>
      </c>
      <c r="J455" s="2">
        <v>6</v>
      </c>
      <c r="K455" s="2">
        <v>0</v>
      </c>
      <c r="L455" s="2" t="s">
        <v>6462</v>
      </c>
      <c r="M455" s="2" t="s">
        <v>6479</v>
      </c>
      <c r="N455" s="2"/>
    </row>
    <row r="456" spans="1:14">
      <c r="A456" s="1">
        <v>43198.48674197917</v>
      </c>
      <c r="B456" s="2">
        <v>176</v>
      </c>
      <c r="C456" s="2">
        <v>79</v>
      </c>
      <c r="D456" s="2">
        <v>1</v>
      </c>
      <c r="E456" s="2">
        <v>0</v>
      </c>
      <c r="F456" s="2">
        <v>1</v>
      </c>
      <c r="G456" s="2">
        <v>0</v>
      </c>
      <c r="H456" s="2">
        <v>0</v>
      </c>
      <c r="I456" s="2">
        <v>7</v>
      </c>
      <c r="J456" s="2">
        <v>0</v>
      </c>
      <c r="K456" s="2">
        <v>1</v>
      </c>
      <c r="L456" s="2" t="s">
        <v>6088</v>
      </c>
      <c r="M456" s="2" t="s">
        <v>6491</v>
      </c>
      <c r="N456" s="2" t="s">
        <v>6884</v>
      </c>
    </row>
    <row r="457" spans="1:14">
      <c r="A457" s="1">
        <v>43198.486992997685</v>
      </c>
      <c r="B457" s="2">
        <v>4987</v>
      </c>
      <c r="C457" s="2">
        <v>79</v>
      </c>
      <c r="D457" s="2">
        <v>1</v>
      </c>
      <c r="E457" s="2">
        <v>0</v>
      </c>
      <c r="F457" s="2">
        <v>0</v>
      </c>
      <c r="G457" s="2">
        <v>2</v>
      </c>
      <c r="H457" s="2">
        <v>0</v>
      </c>
      <c r="I457" s="2">
        <v>0</v>
      </c>
      <c r="J457" s="2">
        <v>0</v>
      </c>
      <c r="K457" s="2">
        <v>1</v>
      </c>
      <c r="L457" s="2" t="s">
        <v>6088</v>
      </c>
      <c r="M457" s="2" t="s">
        <v>6088</v>
      </c>
      <c r="N457" s="2"/>
    </row>
    <row r="458" spans="1:14">
      <c r="A458" s="1">
        <v>43198.491169814813</v>
      </c>
      <c r="B458" s="2">
        <v>2067</v>
      </c>
      <c r="C458" s="2">
        <v>80</v>
      </c>
      <c r="D458" s="2">
        <v>1</v>
      </c>
      <c r="E458" s="2">
        <v>0</v>
      </c>
      <c r="F458" s="2">
        <v>0</v>
      </c>
      <c r="G458" s="2">
        <v>0</v>
      </c>
      <c r="H458" s="2">
        <v>0</v>
      </c>
      <c r="I458" s="2">
        <v>5</v>
      </c>
      <c r="J458" s="2">
        <v>0</v>
      </c>
      <c r="K458" s="2">
        <v>1</v>
      </c>
      <c r="L458" s="2" t="s">
        <v>12</v>
      </c>
      <c r="M458" s="2" t="s">
        <v>6088</v>
      </c>
      <c r="N458" s="2"/>
    </row>
    <row r="459" spans="1:14">
      <c r="A459" s="1">
        <v>43198.491309201389</v>
      </c>
      <c r="B459" s="2">
        <v>173</v>
      </c>
      <c r="C459" s="2">
        <v>80</v>
      </c>
      <c r="D459" s="2">
        <v>1</v>
      </c>
      <c r="E459" s="2">
        <v>0</v>
      </c>
      <c r="F459" s="2">
        <v>0</v>
      </c>
      <c r="G459" s="2">
        <v>1</v>
      </c>
      <c r="H459" s="2">
        <v>0</v>
      </c>
      <c r="I459" s="2">
        <v>3</v>
      </c>
      <c r="J459" s="2">
        <v>3</v>
      </c>
      <c r="K459" s="2">
        <v>1</v>
      </c>
      <c r="L459" s="2" t="s">
        <v>6088</v>
      </c>
      <c r="M459" s="2" t="s">
        <v>6646</v>
      </c>
      <c r="N459" s="2"/>
    </row>
    <row r="460" spans="1:14">
      <c r="A460" s="1">
        <v>43198.49138615741</v>
      </c>
      <c r="B460" s="2">
        <v>2836</v>
      </c>
      <c r="C460" s="2">
        <v>80</v>
      </c>
      <c r="D460" s="2">
        <v>0</v>
      </c>
      <c r="E460" s="2">
        <v>1</v>
      </c>
      <c r="F460" s="2">
        <v>0</v>
      </c>
      <c r="G460" s="2">
        <v>3</v>
      </c>
      <c r="H460" s="2">
        <v>4</v>
      </c>
      <c r="I460" s="2">
        <v>8</v>
      </c>
      <c r="J460" s="2">
        <v>3</v>
      </c>
      <c r="K460" s="2">
        <v>1</v>
      </c>
      <c r="L460" s="2" t="s">
        <v>12</v>
      </c>
      <c r="M460" s="2" t="s">
        <v>6565</v>
      </c>
      <c r="N460" s="2" t="s">
        <v>6885</v>
      </c>
    </row>
    <row r="461" spans="1:14">
      <c r="A461" s="1">
        <v>43198.491407361114</v>
      </c>
      <c r="B461" s="2">
        <v>177</v>
      </c>
      <c r="C461" s="2">
        <v>80</v>
      </c>
      <c r="D461" s="2">
        <v>1</v>
      </c>
      <c r="E461" s="2">
        <v>0</v>
      </c>
      <c r="F461" s="2">
        <v>0</v>
      </c>
      <c r="G461" s="2">
        <v>0</v>
      </c>
      <c r="H461" s="2">
        <v>2</v>
      </c>
      <c r="I461" s="2">
        <v>4</v>
      </c>
      <c r="J461" s="2">
        <v>0</v>
      </c>
      <c r="K461" s="2">
        <v>1</v>
      </c>
      <c r="L461" s="2" t="s">
        <v>12</v>
      </c>
      <c r="M461" s="2" t="s">
        <v>6646</v>
      </c>
      <c r="N461" s="2"/>
    </row>
    <row r="462" spans="1:14">
      <c r="A462" s="1">
        <v>43198.49704047454</v>
      </c>
      <c r="B462" s="2">
        <v>2084</v>
      </c>
      <c r="C462" s="2">
        <v>81</v>
      </c>
      <c r="D462" s="2">
        <v>0</v>
      </c>
      <c r="E462" s="2">
        <v>0</v>
      </c>
      <c r="F462" s="2">
        <v>0</v>
      </c>
      <c r="G462" s="2">
        <v>4</v>
      </c>
      <c r="H462" s="2">
        <v>2</v>
      </c>
      <c r="I462" s="2">
        <v>5</v>
      </c>
      <c r="J462" s="2">
        <v>8</v>
      </c>
      <c r="K462" s="2">
        <v>0</v>
      </c>
      <c r="L462" s="2" t="s">
        <v>6462</v>
      </c>
      <c r="M462" s="2" t="s">
        <v>6536</v>
      </c>
      <c r="N462" s="2"/>
    </row>
    <row r="463" spans="1:14">
      <c r="A463" s="1">
        <v>43198.497092337966</v>
      </c>
      <c r="B463" s="2">
        <v>2064</v>
      </c>
      <c r="C463" s="2">
        <v>81</v>
      </c>
      <c r="D463" s="2">
        <v>1</v>
      </c>
      <c r="E463" s="2">
        <v>0</v>
      </c>
      <c r="F463" s="2">
        <v>0</v>
      </c>
      <c r="G463" s="2">
        <v>3</v>
      </c>
      <c r="H463" s="2">
        <v>0</v>
      </c>
      <c r="I463" s="2">
        <v>0</v>
      </c>
      <c r="J463" s="2">
        <v>8</v>
      </c>
      <c r="K463" s="2">
        <v>0</v>
      </c>
      <c r="L463" s="2"/>
      <c r="M463" s="2" t="s">
        <v>6512</v>
      </c>
      <c r="N463" s="2"/>
    </row>
    <row r="464" spans="1:14">
      <c r="A464" s="1">
        <v>43198.497103622685</v>
      </c>
      <c r="B464" s="2">
        <v>175</v>
      </c>
      <c r="C464" s="2">
        <v>81</v>
      </c>
      <c r="D464" s="2">
        <v>1</v>
      </c>
      <c r="E464" s="2">
        <v>0</v>
      </c>
      <c r="F464" s="2">
        <v>0</v>
      </c>
      <c r="G464" s="2">
        <v>0</v>
      </c>
      <c r="H464" s="2">
        <v>0</v>
      </c>
      <c r="I464" s="2">
        <v>5</v>
      </c>
      <c r="J464" s="2">
        <v>0</v>
      </c>
      <c r="K464" s="2">
        <v>1</v>
      </c>
      <c r="L464" s="2" t="s">
        <v>12</v>
      </c>
      <c r="M464" s="2" t="s">
        <v>6646</v>
      </c>
      <c r="N464" s="2" t="s">
        <v>6886</v>
      </c>
    </row>
    <row r="465" spans="1:14">
      <c r="A465" s="1">
        <v>43198.49741747685</v>
      </c>
      <c r="B465" s="2">
        <v>6346</v>
      </c>
      <c r="C465" s="2">
        <v>81</v>
      </c>
      <c r="D465" s="2">
        <v>1</v>
      </c>
      <c r="E465" s="2">
        <v>0</v>
      </c>
      <c r="F465" s="2">
        <v>0</v>
      </c>
      <c r="G465" s="2">
        <v>1</v>
      </c>
      <c r="H465" s="2">
        <v>3</v>
      </c>
      <c r="I465" s="2">
        <v>1</v>
      </c>
      <c r="J465" s="2">
        <v>0</v>
      </c>
      <c r="K465" s="2">
        <v>1</v>
      </c>
      <c r="L465" s="2" t="s">
        <v>12</v>
      </c>
      <c r="M465" s="2" t="s">
        <v>6482</v>
      </c>
      <c r="N465" s="2"/>
    </row>
    <row r="466" spans="1:14">
      <c r="A466" s="1">
        <v>43198.497776689816</v>
      </c>
      <c r="B466" s="2">
        <v>3146</v>
      </c>
      <c r="C466" s="2">
        <v>81</v>
      </c>
      <c r="D466" s="2">
        <v>1</v>
      </c>
      <c r="E466" s="2">
        <v>1</v>
      </c>
      <c r="F466" s="2">
        <v>0</v>
      </c>
      <c r="G466" s="2">
        <v>1</v>
      </c>
      <c r="H466" s="2">
        <v>2</v>
      </c>
      <c r="I466" s="2">
        <v>0</v>
      </c>
      <c r="J466" s="2">
        <v>7</v>
      </c>
      <c r="K466" s="2">
        <v>1</v>
      </c>
      <c r="L466" s="2" t="s">
        <v>6088</v>
      </c>
      <c r="M466" s="2" t="s">
        <v>6646</v>
      </c>
      <c r="N466" s="2" t="s">
        <v>6887</v>
      </c>
    </row>
    <row r="467" spans="1:14">
      <c r="A467" s="1">
        <v>43198.501678125001</v>
      </c>
      <c r="B467" s="2">
        <v>1740</v>
      </c>
      <c r="C467" s="2">
        <v>82</v>
      </c>
      <c r="D467" s="2">
        <v>1</v>
      </c>
      <c r="E467" s="2">
        <v>0</v>
      </c>
      <c r="F467" s="2">
        <v>0</v>
      </c>
      <c r="G467" s="2">
        <v>1</v>
      </c>
      <c r="H467" s="2">
        <v>0</v>
      </c>
      <c r="I467" s="2">
        <v>0</v>
      </c>
      <c r="J467" s="2">
        <v>8</v>
      </c>
      <c r="K467" s="2">
        <v>1</v>
      </c>
      <c r="L467" s="2" t="s">
        <v>12</v>
      </c>
      <c r="M467" s="2" t="s">
        <v>6491</v>
      </c>
      <c r="N467" s="2"/>
    </row>
    <row r="468" spans="1:14">
      <c r="A468" s="1">
        <v>43198.501773460652</v>
      </c>
      <c r="B468" s="2">
        <v>155</v>
      </c>
      <c r="C468" s="2">
        <v>82</v>
      </c>
      <c r="D468" s="2">
        <v>0</v>
      </c>
      <c r="E468" s="2">
        <v>1</v>
      </c>
      <c r="F468" s="2">
        <v>0</v>
      </c>
      <c r="G468" s="2">
        <v>1</v>
      </c>
      <c r="H468" s="2">
        <v>5</v>
      </c>
      <c r="I468" s="2">
        <v>0</v>
      </c>
      <c r="J468" s="2">
        <v>9</v>
      </c>
      <c r="K468" s="2">
        <v>0</v>
      </c>
      <c r="L468" s="2" t="s">
        <v>6462</v>
      </c>
      <c r="M468" s="2" t="s">
        <v>6491</v>
      </c>
      <c r="N468" s="2"/>
    </row>
    <row r="469" spans="1:14">
      <c r="A469" s="1">
        <v>43198.501802777777</v>
      </c>
      <c r="B469" s="2">
        <v>1027</v>
      </c>
      <c r="C469" s="2">
        <v>82</v>
      </c>
      <c r="D469" s="2">
        <v>1</v>
      </c>
      <c r="E469" s="2">
        <v>1</v>
      </c>
      <c r="F469" s="2">
        <v>0</v>
      </c>
      <c r="G469" s="2">
        <v>1</v>
      </c>
      <c r="H469" s="2">
        <v>3</v>
      </c>
      <c r="I469" s="2">
        <v>0</v>
      </c>
      <c r="J469" s="2">
        <v>0</v>
      </c>
      <c r="K469" s="2">
        <v>0</v>
      </c>
      <c r="L469" s="2"/>
      <c r="M469" s="2" t="s">
        <v>6491</v>
      </c>
      <c r="N469" s="2"/>
    </row>
    <row r="470" spans="1:14">
      <c r="A470" s="1">
        <v>43198.501982557871</v>
      </c>
      <c r="B470" s="2">
        <v>1991</v>
      </c>
      <c r="C470" s="2">
        <v>82</v>
      </c>
      <c r="D470" s="2">
        <v>1</v>
      </c>
      <c r="E470" s="2">
        <v>0</v>
      </c>
      <c r="F470" s="2">
        <v>0</v>
      </c>
      <c r="G470" s="2">
        <v>4</v>
      </c>
      <c r="H470" s="2">
        <v>0</v>
      </c>
      <c r="I470" s="2">
        <v>0</v>
      </c>
      <c r="J470" s="2">
        <v>0</v>
      </c>
      <c r="K470" s="2">
        <v>1</v>
      </c>
      <c r="L470" s="2" t="s">
        <v>6088</v>
      </c>
      <c r="M470" s="2" t="s">
        <v>6491</v>
      </c>
      <c r="N470" s="2"/>
    </row>
    <row r="471" spans="1:14">
      <c r="A471" s="1">
        <v>43198.50201502315</v>
      </c>
      <c r="B471" s="2">
        <v>195</v>
      </c>
      <c r="C471" s="2">
        <v>82</v>
      </c>
      <c r="D471" s="2">
        <v>1</v>
      </c>
      <c r="E471" s="2">
        <v>0</v>
      </c>
      <c r="F471" s="2">
        <v>1</v>
      </c>
      <c r="G471" s="2">
        <v>2</v>
      </c>
      <c r="H471" s="2">
        <v>7</v>
      </c>
      <c r="I471" s="2">
        <v>2</v>
      </c>
      <c r="J471" s="2">
        <v>0</v>
      </c>
      <c r="K471" s="2">
        <v>0</v>
      </c>
      <c r="L471" s="2" t="s">
        <v>6462</v>
      </c>
      <c r="M471" s="2" t="s">
        <v>6491</v>
      </c>
      <c r="N471" s="2" t="s">
        <v>6888</v>
      </c>
    </row>
    <row r="472" spans="1:14">
      <c r="A472" s="1">
        <v>43198.50277939815</v>
      </c>
      <c r="B472" s="2">
        <v>195</v>
      </c>
      <c r="C472" s="2">
        <v>82</v>
      </c>
      <c r="D472" s="2">
        <v>1</v>
      </c>
      <c r="E472" s="2">
        <v>0</v>
      </c>
      <c r="F472" s="2">
        <v>1</v>
      </c>
      <c r="G472" s="2">
        <v>2</v>
      </c>
      <c r="H472" s="2">
        <v>7</v>
      </c>
      <c r="I472" s="2">
        <v>2</v>
      </c>
      <c r="J472" s="2">
        <v>0</v>
      </c>
      <c r="K472" s="2">
        <v>0</v>
      </c>
      <c r="L472" s="2" t="s">
        <v>6462</v>
      </c>
      <c r="M472" s="2" t="s">
        <v>6491</v>
      </c>
      <c r="N472" s="2" t="s">
        <v>6888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E15"/>
  <sheetViews>
    <sheetView workbookViewId="0">
      <selection activeCell="A6" sqref="A6"/>
    </sheetView>
  </sheetViews>
  <sheetFormatPr defaultColWidth="8.85546875" defaultRowHeight="15"/>
  <cols>
    <col min="1" max="1" width="13.140625" bestFit="1" customWidth="1"/>
    <col min="2" max="2" width="9.42578125" customWidth="1"/>
  </cols>
  <sheetData>
    <row r="3" spans="1:5">
      <c r="A3" s="10" t="s">
        <v>5822</v>
      </c>
      <c r="B3" t="s">
        <v>5843</v>
      </c>
      <c r="D3" s="377" t="s">
        <v>5843</v>
      </c>
      <c r="E3" s="377"/>
    </row>
    <row r="4" spans="1:5">
      <c r="A4" s="11" t="s">
        <v>19</v>
      </c>
      <c r="B4" s="2">
        <v>1</v>
      </c>
      <c r="D4" t="str">
        <f>[0]!AutoBaseline</f>
        <v>Baseline</v>
      </c>
      <c r="E4">
        <f>[0]!AutoBaselineCount</f>
        <v>1</v>
      </c>
    </row>
    <row r="5" spans="1:5">
      <c r="A5" s="11" t="s">
        <v>13</v>
      </c>
      <c r="B5" s="2">
        <v>1</v>
      </c>
      <c r="D5" t="str">
        <f>[0]!AutoScale</f>
        <v>Switch</v>
      </c>
      <c r="E5">
        <f>[0]!AutoScaleCount</f>
        <v>1</v>
      </c>
    </row>
    <row r="6" spans="1:5">
      <c r="A6" s="11" t="s">
        <v>5820</v>
      </c>
      <c r="B6" s="2"/>
      <c r="D6" t="str">
        <f>[0]!AutoSwitch</f>
        <v>(blank)</v>
      </c>
      <c r="E6">
        <f>[0]!AutoSwitchCount</f>
        <v>0</v>
      </c>
    </row>
    <row r="7" spans="1:5">
      <c r="A7" s="11" t="s">
        <v>5911</v>
      </c>
      <c r="B7" s="2">
        <v>1</v>
      </c>
      <c r="D7" t="str">
        <f>[0]!AutoNone</f>
        <v>None</v>
      </c>
      <c r="E7">
        <f>[0]!AutoNoneCount</f>
        <v>1</v>
      </c>
    </row>
    <row r="8" spans="1:5">
      <c r="A8" s="11" t="s">
        <v>5821</v>
      </c>
      <c r="B8" s="2">
        <v>3</v>
      </c>
    </row>
    <row r="10" spans="1:5">
      <c r="A10" s="10" t="s">
        <v>5822</v>
      </c>
      <c r="B10" t="s">
        <v>5923</v>
      </c>
      <c r="D10" s="377" t="s">
        <v>5923</v>
      </c>
      <c r="E10" s="377"/>
    </row>
    <row r="11" spans="1:5">
      <c r="A11" s="11" t="s">
        <v>14</v>
      </c>
      <c r="B11" s="2">
        <v>1</v>
      </c>
    </row>
    <row r="12" spans="1:5">
      <c r="A12" s="11" t="s">
        <v>13</v>
      </c>
      <c r="B12" s="2">
        <v>1</v>
      </c>
    </row>
    <row r="13" spans="1:5">
      <c r="A13" s="11" t="s">
        <v>5820</v>
      </c>
      <c r="B13" s="2"/>
    </row>
    <row r="14" spans="1:5">
      <c r="A14" s="11" t="s">
        <v>23</v>
      </c>
      <c r="B14" s="2">
        <v>1</v>
      </c>
    </row>
    <row r="15" spans="1:5">
      <c r="A15" s="11" t="s">
        <v>5821</v>
      </c>
      <c r="B15" s="2">
        <v>3</v>
      </c>
    </row>
  </sheetData>
  <mergeCells count="2">
    <mergeCell ref="D3:E3"/>
    <mergeCell ref="D10:E10"/>
  </mergeCells>
  <pageMargins left="0.7" right="0.7" top="0.75" bottom="0.75" header="0.3" footer="0.3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42"/>
  <sheetViews>
    <sheetView workbookViewId="0">
      <selection activeCell="B5" sqref="B5"/>
    </sheetView>
  </sheetViews>
  <sheetFormatPr defaultColWidth="8.85546875" defaultRowHeight="15"/>
  <cols>
    <col min="1" max="1" width="13.140625" customWidth="1"/>
    <col min="2" max="2" width="45.85546875" customWidth="1"/>
  </cols>
  <sheetData>
    <row r="1" spans="1:5">
      <c r="A1" s="10" t="s">
        <v>5822</v>
      </c>
      <c r="B1" t="s">
        <v>5830</v>
      </c>
      <c r="E1" t="str">
        <f>B1</f>
        <v>Count of What is your autonomous goal?</v>
      </c>
    </row>
    <row r="2" spans="1:5">
      <c r="A2" s="11" t="s">
        <v>13</v>
      </c>
      <c r="B2" s="2">
        <v>1</v>
      </c>
      <c r="D2" t="str">
        <f>A2</f>
        <v>Switch</v>
      </c>
      <c r="E2">
        <f>B2</f>
        <v>1</v>
      </c>
    </row>
    <row r="3" spans="1:5">
      <c r="A3" s="11" t="s">
        <v>5820</v>
      </c>
      <c r="B3" s="2"/>
      <c r="D3" t="str">
        <f>A3</f>
        <v>(blank)</v>
      </c>
      <c r="E3">
        <f>B3</f>
        <v>0</v>
      </c>
    </row>
    <row r="4" spans="1:5">
      <c r="A4" s="11" t="s">
        <v>19</v>
      </c>
      <c r="B4" s="2">
        <v>1</v>
      </c>
      <c r="D4" t="str">
        <f t="shared" ref="D4:E41" si="0">A4</f>
        <v>Baseline</v>
      </c>
      <c r="E4">
        <f t="shared" si="0"/>
        <v>1</v>
      </c>
    </row>
    <row r="5" spans="1:5">
      <c r="A5" s="11" t="s">
        <v>5911</v>
      </c>
      <c r="B5" s="2">
        <v>1</v>
      </c>
    </row>
    <row r="6" spans="1:5">
      <c r="A6" s="11" t="s">
        <v>5821</v>
      </c>
      <c r="B6" s="2">
        <v>3</v>
      </c>
    </row>
    <row r="8" spans="1:5">
      <c r="A8" s="10" t="s">
        <v>5822</v>
      </c>
      <c r="B8" t="s">
        <v>5831</v>
      </c>
      <c r="E8" t="str">
        <f t="shared" si="0"/>
        <v>Count of What are your TeleOp cube capabilities?</v>
      </c>
    </row>
    <row r="9" spans="1:5">
      <c r="A9" s="11" t="s">
        <v>14</v>
      </c>
      <c r="B9" s="2">
        <v>1</v>
      </c>
      <c r="D9" t="str">
        <f t="shared" si="0"/>
        <v>Scale</v>
      </c>
      <c r="E9">
        <f t="shared" si="0"/>
        <v>1</v>
      </c>
    </row>
    <row r="10" spans="1:5">
      <c r="A10" s="11" t="s">
        <v>13</v>
      </c>
      <c r="B10" s="2">
        <v>1</v>
      </c>
      <c r="D10" t="str">
        <f t="shared" si="0"/>
        <v>Switch</v>
      </c>
      <c r="E10">
        <f t="shared" si="0"/>
        <v>1</v>
      </c>
    </row>
    <row r="11" spans="1:5">
      <c r="A11" s="11" t="s">
        <v>5820</v>
      </c>
      <c r="B11" s="2"/>
      <c r="D11" t="str">
        <f t="shared" si="0"/>
        <v>(blank)</v>
      </c>
      <c r="E11">
        <f t="shared" si="0"/>
        <v>0</v>
      </c>
    </row>
    <row r="12" spans="1:5">
      <c r="A12" s="11" t="s">
        <v>23</v>
      </c>
      <c r="B12" s="2">
        <v>1</v>
      </c>
    </row>
    <row r="13" spans="1:5">
      <c r="A13" s="11" t="s">
        <v>5821</v>
      </c>
      <c r="B13" s="2">
        <v>3</v>
      </c>
    </row>
    <row r="15" spans="1:5">
      <c r="A15" s="10" t="s">
        <v>5822</v>
      </c>
      <c r="B15" t="s">
        <v>5832</v>
      </c>
      <c r="E15" t="str">
        <f t="shared" si="0"/>
        <v>Count of What is your climb mechanism?</v>
      </c>
    </row>
    <row r="16" spans="1:5">
      <c r="A16" s="11" t="s">
        <v>12</v>
      </c>
      <c r="B16" s="2">
        <v>1</v>
      </c>
      <c r="D16" t="str">
        <f t="shared" si="0"/>
        <v>Climb on own</v>
      </c>
      <c r="E16">
        <f t="shared" si="0"/>
        <v>1</v>
      </c>
    </row>
    <row r="17" spans="1:5">
      <c r="A17" s="11" t="s">
        <v>5911</v>
      </c>
      <c r="B17" s="2">
        <v>2</v>
      </c>
      <c r="D17" t="str">
        <f t="shared" si="0"/>
        <v>None</v>
      </c>
      <c r="E17">
        <f t="shared" si="0"/>
        <v>2</v>
      </c>
    </row>
    <row r="18" spans="1:5">
      <c r="A18" s="11" t="s">
        <v>5820</v>
      </c>
      <c r="B18" s="2"/>
      <c r="D18" t="str">
        <f t="shared" si="0"/>
        <v>(blank)</v>
      </c>
      <c r="E18">
        <f t="shared" si="0"/>
        <v>0</v>
      </c>
    </row>
    <row r="19" spans="1:5">
      <c r="A19" s="11" t="s">
        <v>5821</v>
      </c>
      <c r="B19" s="2">
        <v>3</v>
      </c>
      <c r="D19" t="str">
        <f t="shared" si="0"/>
        <v>Grand Total</v>
      </c>
      <c r="E19">
        <f t="shared" si="0"/>
        <v>3</v>
      </c>
    </row>
    <row r="23" spans="1:5">
      <c r="A23" s="10" t="s">
        <v>5822</v>
      </c>
      <c r="B23" t="s">
        <v>5833</v>
      </c>
      <c r="E23" t="str">
        <f t="shared" si="0"/>
        <v>Count of How does your robot get cubes?</v>
      </c>
    </row>
    <row r="24" spans="1:5">
      <c r="A24" s="11" t="s">
        <v>15</v>
      </c>
      <c r="B24" s="2">
        <v>2</v>
      </c>
      <c r="D24" t="str">
        <f t="shared" si="0"/>
        <v>Pick up on own</v>
      </c>
      <c r="E24">
        <f t="shared" si="0"/>
        <v>2</v>
      </c>
    </row>
    <row r="25" spans="1:5">
      <c r="A25" s="11" t="s">
        <v>5820</v>
      </c>
      <c r="B25" s="2"/>
      <c r="D25" t="str">
        <f t="shared" si="0"/>
        <v>(blank)</v>
      </c>
      <c r="E25">
        <f t="shared" si="0"/>
        <v>0</v>
      </c>
    </row>
    <row r="26" spans="1:5">
      <c r="A26" s="11" t="s">
        <v>5912</v>
      </c>
      <c r="B26" s="2">
        <v>1</v>
      </c>
      <c r="D26" t="str">
        <f t="shared" si="0"/>
        <v>Depending on the human player</v>
      </c>
      <c r="E26">
        <f t="shared" si="0"/>
        <v>1</v>
      </c>
    </row>
    <row r="27" spans="1:5">
      <c r="A27" s="11" t="s">
        <v>5821</v>
      </c>
      <c r="B27" s="2">
        <v>3</v>
      </c>
    </row>
    <row r="30" spans="1:5">
      <c r="A30" s="10" t="s">
        <v>5822</v>
      </c>
      <c r="B30" t="s">
        <v>5834</v>
      </c>
      <c r="E30" t="str">
        <f t="shared" si="0"/>
        <v>Count of What drive train do you use?</v>
      </c>
    </row>
    <row r="31" spans="1:5">
      <c r="A31" s="11" t="s">
        <v>5836</v>
      </c>
      <c r="B31" s="2">
        <v>2</v>
      </c>
      <c r="D31" t="str">
        <f t="shared" si="0"/>
        <v>tank</v>
      </c>
      <c r="E31">
        <f t="shared" si="0"/>
        <v>2</v>
      </c>
    </row>
    <row r="32" spans="1:5">
      <c r="A32" s="11" t="s">
        <v>5820</v>
      </c>
      <c r="B32" s="2"/>
      <c r="D32" t="str">
        <f t="shared" si="0"/>
        <v>(blank)</v>
      </c>
      <c r="E32">
        <f t="shared" si="0"/>
        <v>0</v>
      </c>
    </row>
    <row r="33" spans="1:5">
      <c r="A33" s="11" t="s">
        <v>5983</v>
      </c>
      <c r="B33" s="2">
        <v>1</v>
      </c>
      <c r="D33" t="str">
        <f t="shared" si="0"/>
        <v>mechnum</v>
      </c>
      <c r="E33">
        <f t="shared" si="0"/>
        <v>1</v>
      </c>
    </row>
    <row r="34" spans="1:5">
      <c r="A34" s="11" t="s">
        <v>5821</v>
      </c>
      <c r="B34" s="2">
        <v>3</v>
      </c>
      <c r="D34" t="str">
        <f t="shared" si="0"/>
        <v>Grand Total</v>
      </c>
      <c r="E34">
        <f t="shared" si="0"/>
        <v>3</v>
      </c>
    </row>
    <row r="38" spans="1:5">
      <c r="A38" s="10" t="s">
        <v>5822</v>
      </c>
      <c r="B38" t="s">
        <v>5835</v>
      </c>
      <c r="E38" t="str">
        <f t="shared" si="0"/>
        <v>Count of How many drive CIM motors do you have?</v>
      </c>
    </row>
    <row r="39" spans="1:5">
      <c r="A39" s="11">
        <v>4</v>
      </c>
      <c r="B39" s="2">
        <v>2</v>
      </c>
      <c r="D39">
        <f t="shared" si="0"/>
        <v>4</v>
      </c>
      <c r="E39">
        <f t="shared" si="0"/>
        <v>2</v>
      </c>
    </row>
    <row r="40" spans="1:5">
      <c r="A40" s="11">
        <v>6</v>
      </c>
      <c r="B40" s="2">
        <v>1</v>
      </c>
      <c r="D40">
        <f t="shared" si="0"/>
        <v>6</v>
      </c>
      <c r="E40">
        <f t="shared" si="0"/>
        <v>1</v>
      </c>
    </row>
    <row r="41" spans="1:5">
      <c r="A41" s="11" t="s">
        <v>5820</v>
      </c>
      <c r="B41" s="2"/>
      <c r="D41" t="str">
        <f t="shared" si="0"/>
        <v>(blank)</v>
      </c>
      <c r="E41">
        <f t="shared" si="0"/>
        <v>0</v>
      </c>
    </row>
    <row r="42" spans="1:5">
      <c r="A42" s="11" t="s">
        <v>5821</v>
      </c>
      <c r="B42" s="2">
        <v>3</v>
      </c>
    </row>
  </sheetData>
  <pageMargins left="0.7" right="0.7" top="0.75" bottom="0.75" header="0.3" footer="0.3"/>
  <drawing r:id="rId7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667"/>
  <sheetViews>
    <sheetView topLeftCell="A71" workbookViewId="0">
      <selection activeCell="A84" sqref="A84"/>
    </sheetView>
  </sheetViews>
  <sheetFormatPr defaultColWidth="8.85546875" defaultRowHeight="15"/>
  <cols>
    <col min="1" max="1" width="18.7109375" style="8" customWidth="1"/>
    <col min="2" max="2" width="40.140625" style="8" customWidth="1"/>
    <col min="3" max="3" width="18.85546875" style="8" customWidth="1"/>
    <col min="4" max="4" width="21.42578125" style="8" customWidth="1"/>
    <col min="5" max="5" width="8.85546875" style="8"/>
  </cols>
  <sheetData>
    <row r="1" spans="1:5" s="6" customFormat="1" ht="16.5" thickBot="1">
      <c r="A1" s="3" t="s">
        <v>32</v>
      </c>
      <c r="B1" s="4" t="s">
        <v>33</v>
      </c>
      <c r="C1" s="4" t="s">
        <v>34</v>
      </c>
      <c r="D1" s="4" t="s">
        <v>35</v>
      </c>
      <c r="E1" s="5" t="s">
        <v>36</v>
      </c>
    </row>
    <row r="2" spans="1:5">
      <c r="A2" s="7">
        <v>1</v>
      </c>
      <c r="B2" s="7" t="s">
        <v>37</v>
      </c>
      <c r="C2" s="7" t="s">
        <v>38</v>
      </c>
      <c r="D2" s="7" t="s">
        <v>39</v>
      </c>
      <c r="E2" s="7" t="s">
        <v>40</v>
      </c>
    </row>
    <row r="3" spans="1:5">
      <c r="A3" s="8">
        <v>4</v>
      </c>
      <c r="B3" s="8" t="s">
        <v>41</v>
      </c>
      <c r="C3" s="8" t="s">
        <v>42</v>
      </c>
      <c r="D3" s="8" t="s">
        <v>43</v>
      </c>
      <c r="E3" s="8" t="s">
        <v>40</v>
      </c>
    </row>
    <row r="4" spans="1:5">
      <c r="A4" s="8">
        <v>8</v>
      </c>
      <c r="B4" s="8" t="s">
        <v>44</v>
      </c>
      <c r="C4" s="8" t="s">
        <v>45</v>
      </c>
      <c r="D4" s="8" t="s">
        <v>43</v>
      </c>
      <c r="E4" s="8" t="s">
        <v>40</v>
      </c>
    </row>
    <row r="5" spans="1:5">
      <c r="A5" s="8">
        <v>11</v>
      </c>
      <c r="B5" s="8" t="s">
        <v>46</v>
      </c>
      <c r="C5" s="8" t="s">
        <v>47</v>
      </c>
      <c r="D5" s="8" t="s">
        <v>48</v>
      </c>
      <c r="E5" s="8" t="s">
        <v>40</v>
      </c>
    </row>
    <row r="6" spans="1:5">
      <c r="A6" s="8">
        <v>16</v>
      </c>
      <c r="B6" s="8" t="s">
        <v>49</v>
      </c>
      <c r="C6" s="8" t="s">
        <v>50</v>
      </c>
      <c r="D6" s="8" t="s">
        <v>51</v>
      </c>
      <c r="E6" s="8" t="s">
        <v>40</v>
      </c>
    </row>
    <row r="7" spans="1:5">
      <c r="A7" s="8">
        <v>20</v>
      </c>
      <c r="B7" s="8" t="s">
        <v>52</v>
      </c>
      <c r="C7" s="8" t="s">
        <v>53</v>
      </c>
      <c r="D7" s="8" t="s">
        <v>54</v>
      </c>
      <c r="E7" s="8" t="s">
        <v>40</v>
      </c>
    </row>
    <row r="8" spans="1:5">
      <c r="A8" s="8">
        <v>21</v>
      </c>
      <c r="B8" s="8" t="s">
        <v>55</v>
      </c>
      <c r="C8" s="8" t="s">
        <v>56</v>
      </c>
      <c r="D8" s="8" t="s">
        <v>57</v>
      </c>
      <c r="E8" s="8" t="s">
        <v>40</v>
      </c>
    </row>
    <row r="9" spans="1:5">
      <c r="A9" s="8">
        <v>23</v>
      </c>
      <c r="B9" s="8" t="s">
        <v>58</v>
      </c>
      <c r="C9" s="8" t="s">
        <v>59</v>
      </c>
      <c r="D9" s="8" t="s">
        <v>60</v>
      </c>
      <c r="E9" s="8" t="s">
        <v>40</v>
      </c>
    </row>
    <row r="10" spans="1:5">
      <c r="A10" s="8">
        <v>25</v>
      </c>
      <c r="B10" s="8" t="s">
        <v>61</v>
      </c>
      <c r="C10" s="8" t="s">
        <v>62</v>
      </c>
      <c r="D10" s="8" t="s">
        <v>48</v>
      </c>
      <c r="E10" s="8" t="s">
        <v>40</v>
      </c>
    </row>
    <row r="11" spans="1:5">
      <c r="A11" s="8">
        <v>27</v>
      </c>
      <c r="B11" s="8" t="s">
        <v>63</v>
      </c>
      <c r="C11" s="8" t="s">
        <v>64</v>
      </c>
      <c r="D11" s="8" t="s">
        <v>39</v>
      </c>
      <c r="E11" s="8" t="s">
        <v>40</v>
      </c>
    </row>
    <row r="12" spans="1:5">
      <c r="A12" s="8">
        <v>28</v>
      </c>
      <c r="B12" s="8" t="s">
        <v>65</v>
      </c>
      <c r="C12" s="8" t="s">
        <v>66</v>
      </c>
      <c r="D12" s="8" t="s">
        <v>54</v>
      </c>
      <c r="E12" s="8" t="s">
        <v>40</v>
      </c>
    </row>
    <row r="13" spans="1:5">
      <c r="A13" s="8">
        <v>31</v>
      </c>
      <c r="B13" s="8" t="s">
        <v>67</v>
      </c>
      <c r="C13" s="8" t="s">
        <v>68</v>
      </c>
      <c r="D13" s="8" t="s">
        <v>69</v>
      </c>
      <c r="E13" s="8" t="s">
        <v>40</v>
      </c>
    </row>
    <row r="14" spans="1:5">
      <c r="A14" s="8">
        <v>33</v>
      </c>
      <c r="B14" s="8" t="s">
        <v>70</v>
      </c>
      <c r="C14" s="8" t="s">
        <v>71</v>
      </c>
      <c r="D14" s="8" t="s">
        <v>39</v>
      </c>
      <c r="E14" s="8" t="s">
        <v>40</v>
      </c>
    </row>
    <row r="15" spans="1:5">
      <c r="A15" s="8">
        <v>34</v>
      </c>
      <c r="B15" s="8" t="s">
        <v>72</v>
      </c>
      <c r="C15" s="8" t="s">
        <v>73</v>
      </c>
      <c r="D15" s="8" t="s">
        <v>74</v>
      </c>
      <c r="E15" s="8" t="s">
        <v>40</v>
      </c>
    </row>
    <row r="16" spans="1:5">
      <c r="A16" s="8">
        <v>41</v>
      </c>
      <c r="B16" s="8" t="s">
        <v>75</v>
      </c>
      <c r="C16" s="8" t="s">
        <v>76</v>
      </c>
      <c r="D16" s="8" t="s">
        <v>48</v>
      </c>
      <c r="E16" s="8" t="s">
        <v>40</v>
      </c>
    </row>
    <row r="17" spans="1:5">
      <c r="A17" s="8">
        <v>45</v>
      </c>
      <c r="B17" s="8" t="s">
        <v>77</v>
      </c>
      <c r="C17" s="8" t="s">
        <v>78</v>
      </c>
      <c r="D17" s="8" t="s">
        <v>79</v>
      </c>
      <c r="E17" s="8" t="s">
        <v>40</v>
      </c>
    </row>
    <row r="18" spans="1:5">
      <c r="A18" s="8">
        <v>48</v>
      </c>
      <c r="B18" s="8" t="s">
        <v>80</v>
      </c>
      <c r="C18" s="8" t="s">
        <v>76</v>
      </c>
      <c r="D18" s="8" t="s">
        <v>81</v>
      </c>
      <c r="E18" s="8" t="s">
        <v>40</v>
      </c>
    </row>
    <row r="19" spans="1:5">
      <c r="A19" s="8">
        <v>51</v>
      </c>
      <c r="B19" s="8" t="s">
        <v>82</v>
      </c>
      <c r="C19" s="8" t="s">
        <v>38</v>
      </c>
      <c r="D19" s="8" t="s">
        <v>39</v>
      </c>
      <c r="E19" s="8" t="s">
        <v>40</v>
      </c>
    </row>
    <row r="20" spans="1:5">
      <c r="A20" s="8">
        <v>56</v>
      </c>
      <c r="B20" s="8" t="s">
        <v>83</v>
      </c>
      <c r="C20" s="8" t="s">
        <v>84</v>
      </c>
      <c r="D20" s="8" t="s">
        <v>48</v>
      </c>
      <c r="E20" s="8" t="s">
        <v>40</v>
      </c>
    </row>
    <row r="21" spans="1:5">
      <c r="A21" s="8">
        <v>58</v>
      </c>
      <c r="B21" s="8" t="s">
        <v>85</v>
      </c>
      <c r="C21" s="8" t="s">
        <v>86</v>
      </c>
      <c r="D21" s="8" t="s">
        <v>87</v>
      </c>
      <c r="E21" s="8" t="s">
        <v>40</v>
      </c>
    </row>
    <row r="22" spans="1:5">
      <c r="A22" s="8">
        <v>59</v>
      </c>
      <c r="B22" s="8" t="s">
        <v>88</v>
      </c>
      <c r="C22" s="8" t="s">
        <v>89</v>
      </c>
      <c r="D22" s="8" t="s">
        <v>57</v>
      </c>
      <c r="E22" s="8" t="s">
        <v>40</v>
      </c>
    </row>
    <row r="23" spans="1:5">
      <c r="A23" s="8">
        <v>60</v>
      </c>
      <c r="B23" s="8" t="s">
        <v>90</v>
      </c>
      <c r="C23" s="8" t="s">
        <v>91</v>
      </c>
      <c r="D23" s="8" t="s">
        <v>92</v>
      </c>
      <c r="E23" s="8" t="s">
        <v>40</v>
      </c>
    </row>
    <row r="24" spans="1:5">
      <c r="A24" s="8">
        <v>61</v>
      </c>
      <c r="B24" s="8" t="s">
        <v>93</v>
      </c>
      <c r="C24" s="8" t="s">
        <v>94</v>
      </c>
      <c r="D24" s="8" t="s">
        <v>60</v>
      </c>
      <c r="E24" s="8" t="s">
        <v>40</v>
      </c>
    </row>
    <row r="25" spans="1:5">
      <c r="A25" s="8">
        <v>63</v>
      </c>
      <c r="B25" s="8" t="s">
        <v>95</v>
      </c>
      <c r="C25" s="8" t="s">
        <v>96</v>
      </c>
      <c r="D25" s="8" t="s">
        <v>97</v>
      </c>
      <c r="E25" s="8" t="s">
        <v>40</v>
      </c>
    </row>
    <row r="26" spans="1:5">
      <c r="A26" s="8">
        <v>66</v>
      </c>
      <c r="B26" s="8" t="s">
        <v>98</v>
      </c>
      <c r="C26" s="8" t="s">
        <v>99</v>
      </c>
      <c r="D26" s="8" t="s">
        <v>39</v>
      </c>
      <c r="E26" s="8" t="s">
        <v>40</v>
      </c>
    </row>
    <row r="27" spans="1:5">
      <c r="A27" s="8">
        <v>67</v>
      </c>
      <c r="B27" s="8" t="s">
        <v>100</v>
      </c>
      <c r="C27" s="8" t="s">
        <v>101</v>
      </c>
      <c r="D27" s="8" t="s">
        <v>39</v>
      </c>
      <c r="E27" s="8" t="s">
        <v>40</v>
      </c>
    </row>
    <row r="28" spans="1:5">
      <c r="A28" s="8">
        <v>68</v>
      </c>
      <c r="B28" s="8" t="s">
        <v>102</v>
      </c>
      <c r="C28" s="8" t="s">
        <v>103</v>
      </c>
      <c r="D28" s="8" t="s">
        <v>39</v>
      </c>
      <c r="E28" s="8" t="s">
        <v>40</v>
      </c>
    </row>
    <row r="29" spans="1:5">
      <c r="A29" s="8">
        <v>69</v>
      </c>
      <c r="B29" s="8" t="s">
        <v>104</v>
      </c>
      <c r="C29" s="8" t="s">
        <v>105</v>
      </c>
      <c r="D29" s="8" t="s">
        <v>60</v>
      </c>
      <c r="E29" s="8" t="s">
        <v>40</v>
      </c>
    </row>
    <row r="30" spans="1:5">
      <c r="A30" s="8">
        <v>70</v>
      </c>
      <c r="B30" s="8" t="s">
        <v>106</v>
      </c>
      <c r="C30" s="8" t="s">
        <v>107</v>
      </c>
      <c r="D30" s="8" t="s">
        <v>39</v>
      </c>
      <c r="E30" s="8" t="s">
        <v>40</v>
      </c>
    </row>
    <row r="31" spans="1:5">
      <c r="A31" s="8">
        <v>71</v>
      </c>
      <c r="B31" s="8" t="s">
        <v>108</v>
      </c>
      <c r="C31" s="8" t="s">
        <v>109</v>
      </c>
      <c r="D31" s="8" t="s">
        <v>79</v>
      </c>
      <c r="E31" s="8" t="s">
        <v>40</v>
      </c>
    </row>
    <row r="32" spans="1:5">
      <c r="A32" s="8">
        <v>74</v>
      </c>
      <c r="B32" s="8" t="s">
        <v>110</v>
      </c>
      <c r="C32" s="8" t="s">
        <v>111</v>
      </c>
      <c r="D32" s="8" t="s">
        <v>39</v>
      </c>
      <c r="E32" s="8" t="s">
        <v>40</v>
      </c>
    </row>
    <row r="33" spans="1:5">
      <c r="A33" s="8">
        <v>75</v>
      </c>
      <c r="B33" s="8" t="s">
        <v>112</v>
      </c>
      <c r="C33" s="8" t="s">
        <v>113</v>
      </c>
      <c r="D33" s="8" t="s">
        <v>48</v>
      </c>
      <c r="E33" s="8" t="s">
        <v>40</v>
      </c>
    </row>
    <row r="34" spans="1:5">
      <c r="A34" s="8">
        <v>78</v>
      </c>
      <c r="B34" s="8" t="s">
        <v>114</v>
      </c>
      <c r="C34" s="8" t="s">
        <v>115</v>
      </c>
      <c r="D34" s="8" t="s">
        <v>116</v>
      </c>
      <c r="E34" s="8" t="s">
        <v>40</v>
      </c>
    </row>
    <row r="35" spans="1:5">
      <c r="A35" s="8">
        <v>79</v>
      </c>
      <c r="B35" s="8" t="s">
        <v>117</v>
      </c>
      <c r="C35" s="8" t="s">
        <v>118</v>
      </c>
      <c r="D35" s="8" t="s">
        <v>57</v>
      </c>
      <c r="E35" s="8" t="s">
        <v>40</v>
      </c>
    </row>
    <row r="36" spans="1:5">
      <c r="A36" s="8">
        <v>81</v>
      </c>
      <c r="B36" s="8" t="s">
        <v>119</v>
      </c>
      <c r="C36" s="8" t="s">
        <v>120</v>
      </c>
      <c r="D36" s="8" t="s">
        <v>121</v>
      </c>
      <c r="E36" s="8" t="s">
        <v>40</v>
      </c>
    </row>
    <row r="37" spans="1:5">
      <c r="A37" s="8">
        <v>85</v>
      </c>
      <c r="B37" s="8" t="s">
        <v>122</v>
      </c>
      <c r="C37" s="8" t="s">
        <v>123</v>
      </c>
      <c r="D37" s="8" t="s">
        <v>39</v>
      </c>
      <c r="E37" s="8" t="s">
        <v>40</v>
      </c>
    </row>
    <row r="38" spans="1:5">
      <c r="A38" s="8">
        <v>86</v>
      </c>
      <c r="B38" s="8" t="s">
        <v>124</v>
      </c>
      <c r="C38" s="8" t="s">
        <v>125</v>
      </c>
      <c r="D38" s="8" t="s">
        <v>57</v>
      </c>
      <c r="E38" s="8" t="s">
        <v>40</v>
      </c>
    </row>
    <row r="39" spans="1:5">
      <c r="A39" s="8">
        <v>87</v>
      </c>
      <c r="B39" s="8" t="s">
        <v>126</v>
      </c>
      <c r="C39" s="8" t="s">
        <v>127</v>
      </c>
      <c r="D39" s="8" t="s">
        <v>48</v>
      </c>
      <c r="E39" s="8" t="s">
        <v>40</v>
      </c>
    </row>
    <row r="40" spans="1:5">
      <c r="A40" s="8">
        <v>88</v>
      </c>
      <c r="B40" s="8" t="s">
        <v>128</v>
      </c>
      <c r="C40" s="8" t="s">
        <v>129</v>
      </c>
      <c r="D40" s="8" t="s">
        <v>60</v>
      </c>
      <c r="E40" s="8" t="s">
        <v>40</v>
      </c>
    </row>
    <row r="41" spans="1:5">
      <c r="A41" s="8">
        <v>93</v>
      </c>
      <c r="B41" s="8" t="s">
        <v>130</v>
      </c>
      <c r="C41" s="8" t="s">
        <v>131</v>
      </c>
      <c r="D41" s="8" t="s">
        <v>132</v>
      </c>
      <c r="E41" s="8" t="s">
        <v>40</v>
      </c>
    </row>
    <row r="42" spans="1:5">
      <c r="A42" s="8">
        <v>94</v>
      </c>
      <c r="B42" s="8" t="s">
        <v>133</v>
      </c>
      <c r="C42" s="8" t="s">
        <v>134</v>
      </c>
      <c r="D42" s="8" t="s">
        <v>39</v>
      </c>
      <c r="E42" s="8" t="s">
        <v>40</v>
      </c>
    </row>
    <row r="43" spans="1:5">
      <c r="A43" s="8">
        <v>95</v>
      </c>
      <c r="B43" s="8" t="s">
        <v>135</v>
      </c>
      <c r="C43" s="8" t="s">
        <v>136</v>
      </c>
      <c r="D43" s="8" t="s">
        <v>137</v>
      </c>
      <c r="E43" s="8" t="s">
        <v>40</v>
      </c>
    </row>
    <row r="44" spans="1:5">
      <c r="A44" s="8">
        <v>97</v>
      </c>
      <c r="B44" s="8" t="s">
        <v>138</v>
      </c>
      <c r="C44" s="8" t="s">
        <v>139</v>
      </c>
      <c r="D44" s="8" t="s">
        <v>60</v>
      </c>
      <c r="E44" s="8" t="s">
        <v>40</v>
      </c>
    </row>
    <row r="45" spans="1:5">
      <c r="A45" s="8">
        <v>100</v>
      </c>
      <c r="B45" s="8" t="s">
        <v>140</v>
      </c>
      <c r="C45" s="8" t="s">
        <v>141</v>
      </c>
      <c r="D45" s="8" t="s">
        <v>43</v>
      </c>
      <c r="E45" s="8" t="s">
        <v>40</v>
      </c>
    </row>
    <row r="46" spans="1:5">
      <c r="A46" s="8">
        <v>101</v>
      </c>
      <c r="B46" s="8" t="s">
        <v>142</v>
      </c>
      <c r="C46" s="8" t="s">
        <v>143</v>
      </c>
      <c r="D46" s="8" t="s">
        <v>121</v>
      </c>
      <c r="E46" s="8" t="s">
        <v>40</v>
      </c>
    </row>
    <row r="47" spans="1:5">
      <c r="A47" s="8">
        <v>102</v>
      </c>
      <c r="B47" s="8" t="s">
        <v>144</v>
      </c>
      <c r="C47" s="8" t="s">
        <v>145</v>
      </c>
      <c r="D47" s="8" t="s">
        <v>48</v>
      </c>
      <c r="E47" s="8" t="s">
        <v>40</v>
      </c>
    </row>
    <row r="48" spans="1:5">
      <c r="A48" s="8">
        <v>103</v>
      </c>
      <c r="B48" s="8" t="s">
        <v>146</v>
      </c>
      <c r="C48" s="8" t="s">
        <v>147</v>
      </c>
      <c r="D48" s="8" t="s">
        <v>97</v>
      </c>
      <c r="E48" s="8" t="s">
        <v>40</v>
      </c>
    </row>
    <row r="49" spans="1:5">
      <c r="A49" s="8">
        <v>107</v>
      </c>
      <c r="B49" s="8" t="s">
        <v>148</v>
      </c>
      <c r="C49" s="8" t="s">
        <v>111</v>
      </c>
      <c r="D49" s="8" t="s">
        <v>39</v>
      </c>
      <c r="E49" s="8" t="s">
        <v>40</v>
      </c>
    </row>
    <row r="50" spans="1:5">
      <c r="A50" s="8">
        <v>108</v>
      </c>
      <c r="B50" s="8" t="s">
        <v>149</v>
      </c>
      <c r="C50" s="8" t="s">
        <v>150</v>
      </c>
      <c r="D50" s="8" t="s">
        <v>57</v>
      </c>
      <c r="E50" s="8" t="s">
        <v>40</v>
      </c>
    </row>
    <row r="51" spans="1:5">
      <c r="A51" s="8">
        <v>111</v>
      </c>
      <c r="B51" s="8" t="s">
        <v>151</v>
      </c>
      <c r="C51" s="8" t="s">
        <v>152</v>
      </c>
      <c r="D51" s="8" t="s">
        <v>121</v>
      </c>
      <c r="E51" s="8" t="s">
        <v>40</v>
      </c>
    </row>
    <row r="52" spans="1:5">
      <c r="A52" s="8">
        <v>114</v>
      </c>
      <c r="B52" s="8" t="s">
        <v>153</v>
      </c>
      <c r="C52" s="8" t="s">
        <v>154</v>
      </c>
      <c r="D52" s="8" t="s">
        <v>43</v>
      </c>
      <c r="E52" s="8" t="s">
        <v>40</v>
      </c>
    </row>
    <row r="53" spans="1:5">
      <c r="A53" s="8">
        <v>115</v>
      </c>
      <c r="B53" s="8" t="s">
        <v>155</v>
      </c>
      <c r="C53" s="8" t="s">
        <v>156</v>
      </c>
      <c r="D53" s="8" t="s">
        <v>43</v>
      </c>
      <c r="E53" s="8" t="s">
        <v>40</v>
      </c>
    </row>
    <row r="54" spans="1:5">
      <c r="A54" s="8">
        <v>116</v>
      </c>
      <c r="B54" s="8" t="s">
        <v>157</v>
      </c>
      <c r="C54" s="8" t="s">
        <v>158</v>
      </c>
      <c r="D54" s="8" t="s">
        <v>159</v>
      </c>
      <c r="E54" s="8" t="s">
        <v>40</v>
      </c>
    </row>
    <row r="55" spans="1:5">
      <c r="A55" s="8">
        <v>117</v>
      </c>
      <c r="B55" s="8" t="s">
        <v>160</v>
      </c>
      <c r="C55" s="8" t="s">
        <v>161</v>
      </c>
      <c r="D55" s="8" t="s">
        <v>97</v>
      </c>
      <c r="E55" s="8" t="s">
        <v>40</v>
      </c>
    </row>
    <row r="56" spans="1:5">
      <c r="A56" s="8">
        <v>118</v>
      </c>
      <c r="B56" s="8" t="s">
        <v>162</v>
      </c>
      <c r="C56" s="8" t="s">
        <v>163</v>
      </c>
      <c r="D56" s="8" t="s">
        <v>164</v>
      </c>
      <c r="E56" s="8" t="s">
        <v>40</v>
      </c>
    </row>
    <row r="57" spans="1:5">
      <c r="A57" s="8">
        <v>120</v>
      </c>
      <c r="B57" s="8" t="s">
        <v>165</v>
      </c>
      <c r="C57" s="8" t="s">
        <v>166</v>
      </c>
      <c r="D57" s="8" t="s">
        <v>81</v>
      </c>
      <c r="E57" s="8" t="s">
        <v>40</v>
      </c>
    </row>
    <row r="58" spans="1:5">
      <c r="A58" s="8">
        <v>121</v>
      </c>
      <c r="B58" s="8" t="s">
        <v>167</v>
      </c>
      <c r="C58" s="8" t="s">
        <v>168</v>
      </c>
      <c r="D58" s="8" t="s">
        <v>116</v>
      </c>
      <c r="E58" s="8" t="s">
        <v>40</v>
      </c>
    </row>
    <row r="59" spans="1:5">
      <c r="A59" s="8">
        <v>122</v>
      </c>
      <c r="B59" s="8" t="s">
        <v>169</v>
      </c>
      <c r="C59" s="8" t="s">
        <v>170</v>
      </c>
      <c r="D59" s="8" t="s">
        <v>159</v>
      </c>
      <c r="E59" s="8" t="s">
        <v>40</v>
      </c>
    </row>
    <row r="60" spans="1:5">
      <c r="A60" s="8">
        <v>123</v>
      </c>
      <c r="B60" s="8" t="s">
        <v>171</v>
      </c>
      <c r="C60" s="8" t="s">
        <v>172</v>
      </c>
      <c r="D60" s="8" t="s">
        <v>39</v>
      </c>
      <c r="E60" s="8" t="s">
        <v>40</v>
      </c>
    </row>
    <row r="61" spans="1:5">
      <c r="A61" s="8">
        <v>125</v>
      </c>
      <c r="B61" s="8" t="s">
        <v>173</v>
      </c>
      <c r="C61" s="8" t="s">
        <v>174</v>
      </c>
      <c r="D61" s="8" t="s">
        <v>60</v>
      </c>
      <c r="E61" s="8" t="s">
        <v>40</v>
      </c>
    </row>
    <row r="62" spans="1:5">
      <c r="A62" s="8">
        <v>126</v>
      </c>
      <c r="B62" s="8" t="s">
        <v>175</v>
      </c>
      <c r="C62" s="8" t="s">
        <v>176</v>
      </c>
      <c r="D62" s="8" t="s">
        <v>60</v>
      </c>
      <c r="E62" s="8" t="s">
        <v>40</v>
      </c>
    </row>
    <row r="63" spans="1:5">
      <c r="A63" s="8">
        <v>128</v>
      </c>
      <c r="B63" s="8" t="s">
        <v>177</v>
      </c>
      <c r="C63" s="8" t="s">
        <v>178</v>
      </c>
      <c r="D63" s="8" t="s">
        <v>81</v>
      </c>
      <c r="E63" s="8" t="s">
        <v>40</v>
      </c>
    </row>
    <row r="64" spans="1:5">
      <c r="A64" s="8">
        <v>131</v>
      </c>
      <c r="B64" s="8" t="s">
        <v>179</v>
      </c>
      <c r="C64" s="8" t="s">
        <v>180</v>
      </c>
      <c r="D64" s="8" t="s">
        <v>181</v>
      </c>
      <c r="E64" s="8" t="s">
        <v>40</v>
      </c>
    </row>
    <row r="65" spans="1:5">
      <c r="A65" s="8">
        <v>133</v>
      </c>
      <c r="B65" s="8" t="s">
        <v>182</v>
      </c>
      <c r="C65" s="8" t="s">
        <v>183</v>
      </c>
      <c r="D65" s="8" t="s">
        <v>87</v>
      </c>
      <c r="E65" s="8" t="s">
        <v>40</v>
      </c>
    </row>
    <row r="66" spans="1:5">
      <c r="A66" s="8">
        <v>135</v>
      </c>
      <c r="B66" s="8" t="s">
        <v>184</v>
      </c>
      <c r="C66" s="8" t="s">
        <v>185</v>
      </c>
      <c r="D66" s="8" t="s">
        <v>79</v>
      </c>
      <c r="E66" s="8" t="s">
        <v>40</v>
      </c>
    </row>
    <row r="67" spans="1:5">
      <c r="A67" s="8">
        <v>136</v>
      </c>
      <c r="B67" s="8" t="s">
        <v>186</v>
      </c>
      <c r="C67" s="8" t="s">
        <v>187</v>
      </c>
      <c r="D67" s="8" t="s">
        <v>48</v>
      </c>
      <c r="E67" s="8" t="s">
        <v>40</v>
      </c>
    </row>
    <row r="68" spans="1:5">
      <c r="A68" s="8">
        <v>138</v>
      </c>
      <c r="B68" s="8" t="s">
        <v>188</v>
      </c>
      <c r="C68" s="8" t="s">
        <v>189</v>
      </c>
      <c r="D68" s="8" t="s">
        <v>181</v>
      </c>
      <c r="E68" s="8" t="s">
        <v>40</v>
      </c>
    </row>
    <row r="69" spans="1:5">
      <c r="A69" s="8">
        <v>141</v>
      </c>
      <c r="B69" s="8" t="s">
        <v>190</v>
      </c>
      <c r="C69" s="8" t="s">
        <v>111</v>
      </c>
      <c r="D69" s="8" t="s">
        <v>39</v>
      </c>
      <c r="E69" s="8" t="s">
        <v>40</v>
      </c>
    </row>
    <row r="70" spans="1:5">
      <c r="A70" s="8">
        <v>144</v>
      </c>
      <c r="B70" s="8" t="s">
        <v>191</v>
      </c>
      <c r="C70" s="8" t="s">
        <v>192</v>
      </c>
      <c r="D70" s="8" t="s">
        <v>81</v>
      </c>
      <c r="E70" s="8" t="s">
        <v>40</v>
      </c>
    </row>
    <row r="71" spans="1:5">
      <c r="A71" s="8">
        <v>145</v>
      </c>
      <c r="B71" s="8" t="s">
        <v>193</v>
      </c>
      <c r="C71" s="8" t="s">
        <v>194</v>
      </c>
      <c r="D71" s="8" t="s">
        <v>54</v>
      </c>
      <c r="E71" s="8" t="s">
        <v>40</v>
      </c>
    </row>
    <row r="72" spans="1:5">
      <c r="A72" s="8">
        <v>148</v>
      </c>
      <c r="B72" s="8" t="s">
        <v>195</v>
      </c>
      <c r="C72" s="8" t="s">
        <v>196</v>
      </c>
      <c r="D72" s="8" t="s">
        <v>164</v>
      </c>
      <c r="E72" s="8" t="s">
        <v>40</v>
      </c>
    </row>
    <row r="73" spans="1:5">
      <c r="A73" s="8">
        <v>151</v>
      </c>
      <c r="B73" s="8" t="s">
        <v>197</v>
      </c>
      <c r="C73" s="8" t="s">
        <v>198</v>
      </c>
      <c r="D73" s="8" t="s">
        <v>181</v>
      </c>
      <c r="E73" s="8" t="s">
        <v>40</v>
      </c>
    </row>
    <row r="74" spans="1:5">
      <c r="A74" s="8">
        <v>155</v>
      </c>
      <c r="B74" s="8" t="s">
        <v>199</v>
      </c>
      <c r="C74" s="8" t="s">
        <v>200</v>
      </c>
      <c r="D74" s="8" t="s">
        <v>201</v>
      </c>
      <c r="E74" s="8" t="s">
        <v>40</v>
      </c>
    </row>
    <row r="75" spans="1:5">
      <c r="A75" s="8">
        <v>156</v>
      </c>
      <c r="B75" s="8" t="s">
        <v>202</v>
      </c>
      <c r="C75" s="8" t="s">
        <v>203</v>
      </c>
      <c r="D75" s="8" t="s">
        <v>97</v>
      </c>
      <c r="E75" s="8" t="s">
        <v>40</v>
      </c>
    </row>
    <row r="76" spans="1:5">
      <c r="A76" s="8">
        <v>157</v>
      </c>
      <c r="B76" s="8" t="s">
        <v>204</v>
      </c>
      <c r="C76" s="8" t="s">
        <v>205</v>
      </c>
      <c r="D76" s="8" t="s">
        <v>60</v>
      </c>
      <c r="E76" s="8" t="s">
        <v>40</v>
      </c>
    </row>
    <row r="77" spans="1:5">
      <c r="A77" s="8">
        <v>159</v>
      </c>
      <c r="B77" s="8" t="s">
        <v>206</v>
      </c>
      <c r="C77" s="8" t="s">
        <v>207</v>
      </c>
      <c r="D77" s="8" t="s">
        <v>208</v>
      </c>
      <c r="E77" s="8" t="s">
        <v>40</v>
      </c>
    </row>
    <row r="78" spans="1:5">
      <c r="A78" s="8">
        <v>166</v>
      </c>
      <c r="B78" s="8" t="s">
        <v>209</v>
      </c>
      <c r="C78" s="8" t="s">
        <v>210</v>
      </c>
      <c r="D78" s="8" t="s">
        <v>181</v>
      </c>
      <c r="E78" s="8" t="s">
        <v>40</v>
      </c>
    </row>
    <row r="79" spans="1:5">
      <c r="A79" s="8">
        <v>167</v>
      </c>
      <c r="B79" s="8" t="s">
        <v>211</v>
      </c>
      <c r="C79" s="8" t="s">
        <v>212</v>
      </c>
      <c r="D79" s="8" t="s">
        <v>213</v>
      </c>
      <c r="E79" s="8" t="s">
        <v>40</v>
      </c>
    </row>
    <row r="80" spans="1:5">
      <c r="A80" s="8">
        <v>171</v>
      </c>
      <c r="B80" s="8" t="s">
        <v>214</v>
      </c>
      <c r="C80" s="8" t="s">
        <v>215</v>
      </c>
      <c r="D80" s="8" t="s">
        <v>132</v>
      </c>
      <c r="E80" s="8" t="s">
        <v>40</v>
      </c>
    </row>
    <row r="81" spans="1:5">
      <c r="A81" s="8">
        <v>172</v>
      </c>
      <c r="B81" s="8" t="s">
        <v>216</v>
      </c>
      <c r="C81" s="8" t="s">
        <v>217</v>
      </c>
      <c r="D81" s="8" t="s">
        <v>87</v>
      </c>
      <c r="E81" s="8" t="s">
        <v>40</v>
      </c>
    </row>
    <row r="82" spans="1:5">
      <c r="A82" s="8">
        <v>173</v>
      </c>
      <c r="B82" s="8" t="s">
        <v>218</v>
      </c>
      <c r="C82" s="8" t="s">
        <v>219</v>
      </c>
      <c r="D82" s="8" t="s">
        <v>201</v>
      </c>
      <c r="E82" s="8" t="s">
        <v>40</v>
      </c>
    </row>
    <row r="83" spans="1:5">
      <c r="A83" s="8">
        <v>174</v>
      </c>
      <c r="B83" s="8" t="s">
        <v>220</v>
      </c>
      <c r="C83" s="8" t="s">
        <v>221</v>
      </c>
      <c r="D83" s="8" t="s">
        <v>54</v>
      </c>
      <c r="E83" s="8" t="s">
        <v>40</v>
      </c>
    </row>
    <row r="84" spans="1:5">
      <c r="A84" s="8">
        <v>175</v>
      </c>
      <c r="B84" s="8" t="s">
        <v>222</v>
      </c>
      <c r="C84" s="8" t="s">
        <v>223</v>
      </c>
      <c r="D84" s="8" t="s">
        <v>201</v>
      </c>
      <c r="E84" s="8" t="s">
        <v>40</v>
      </c>
    </row>
    <row r="85" spans="1:5">
      <c r="A85" s="8">
        <v>176</v>
      </c>
      <c r="B85" s="8" t="s">
        <v>224</v>
      </c>
      <c r="C85" s="8" t="s">
        <v>225</v>
      </c>
      <c r="D85" s="8" t="s">
        <v>201</v>
      </c>
      <c r="E85" s="8" t="s">
        <v>40</v>
      </c>
    </row>
    <row r="86" spans="1:5">
      <c r="A86" s="8">
        <v>177</v>
      </c>
      <c r="B86" s="8" t="s">
        <v>226</v>
      </c>
      <c r="C86" s="8" t="s">
        <v>227</v>
      </c>
      <c r="D86" s="8" t="s">
        <v>201</v>
      </c>
      <c r="E86" s="8" t="s">
        <v>40</v>
      </c>
    </row>
    <row r="87" spans="1:5">
      <c r="A87" s="8">
        <v>178</v>
      </c>
      <c r="B87" s="8" t="s">
        <v>228</v>
      </c>
      <c r="C87" s="8" t="s">
        <v>229</v>
      </c>
      <c r="D87" s="8" t="s">
        <v>201</v>
      </c>
      <c r="E87" s="8" t="s">
        <v>40</v>
      </c>
    </row>
    <row r="88" spans="1:5">
      <c r="A88" s="8">
        <v>179</v>
      </c>
      <c r="B88" s="8" t="s">
        <v>230</v>
      </c>
      <c r="C88" s="8" t="s">
        <v>231</v>
      </c>
      <c r="D88" s="8" t="s">
        <v>57</v>
      </c>
      <c r="E88" s="8" t="s">
        <v>40</v>
      </c>
    </row>
    <row r="89" spans="1:5">
      <c r="A89" s="8">
        <v>180</v>
      </c>
      <c r="B89" s="8" t="s">
        <v>232</v>
      </c>
      <c r="C89" s="8" t="s">
        <v>233</v>
      </c>
      <c r="D89" s="8" t="s">
        <v>57</v>
      </c>
      <c r="E89" s="8" t="s">
        <v>40</v>
      </c>
    </row>
    <row r="90" spans="1:5">
      <c r="A90" s="8">
        <v>181</v>
      </c>
      <c r="B90" s="8" t="s">
        <v>234</v>
      </c>
      <c r="C90" s="8" t="s">
        <v>235</v>
      </c>
      <c r="D90" s="8" t="s">
        <v>201</v>
      </c>
      <c r="E90" s="8" t="s">
        <v>40</v>
      </c>
    </row>
    <row r="91" spans="1:5">
      <c r="A91" s="8">
        <v>188</v>
      </c>
      <c r="B91" s="8" t="s">
        <v>236</v>
      </c>
      <c r="C91" s="8" t="s">
        <v>237</v>
      </c>
      <c r="D91" s="8" t="s">
        <v>238</v>
      </c>
      <c r="E91" s="8" t="s">
        <v>239</v>
      </c>
    </row>
    <row r="92" spans="1:5">
      <c r="A92" s="8">
        <v>190</v>
      </c>
      <c r="B92" s="8" t="s">
        <v>240</v>
      </c>
      <c r="C92" s="8" t="s">
        <v>241</v>
      </c>
      <c r="D92" s="8" t="s">
        <v>60</v>
      </c>
      <c r="E92" s="8" t="s">
        <v>40</v>
      </c>
    </row>
    <row r="93" spans="1:5">
      <c r="A93" s="8">
        <v>191</v>
      </c>
      <c r="B93" s="8" t="s">
        <v>242</v>
      </c>
      <c r="C93" s="8" t="s">
        <v>243</v>
      </c>
      <c r="D93" s="8" t="s">
        <v>54</v>
      </c>
      <c r="E93" s="8" t="s">
        <v>40</v>
      </c>
    </row>
    <row r="94" spans="1:5">
      <c r="A94" s="8">
        <v>192</v>
      </c>
      <c r="B94" s="8" t="s">
        <v>244</v>
      </c>
      <c r="C94" s="8" t="s">
        <v>45</v>
      </c>
      <c r="D94" s="8" t="s">
        <v>43</v>
      </c>
      <c r="E94" s="8" t="s">
        <v>40</v>
      </c>
    </row>
    <row r="95" spans="1:5">
      <c r="A95" s="8">
        <v>193</v>
      </c>
      <c r="B95" s="8" t="s">
        <v>245</v>
      </c>
      <c r="C95" s="8" t="s">
        <v>47</v>
      </c>
      <c r="D95" s="8" t="s">
        <v>48</v>
      </c>
      <c r="E95" s="8" t="s">
        <v>40</v>
      </c>
    </row>
    <row r="96" spans="1:5">
      <c r="A96" s="8">
        <v>195</v>
      </c>
      <c r="B96" s="8" t="s">
        <v>246</v>
      </c>
      <c r="C96" s="8" t="s">
        <v>247</v>
      </c>
      <c r="D96" s="8" t="s">
        <v>201</v>
      </c>
      <c r="E96" s="8" t="s">
        <v>40</v>
      </c>
    </row>
    <row r="97" spans="1:5">
      <c r="A97" s="8">
        <v>199</v>
      </c>
      <c r="B97" s="8" t="s">
        <v>248</v>
      </c>
      <c r="C97" s="8" t="s">
        <v>249</v>
      </c>
      <c r="D97" s="8" t="s">
        <v>43</v>
      </c>
      <c r="E97" s="8" t="s">
        <v>40</v>
      </c>
    </row>
    <row r="98" spans="1:5">
      <c r="A98" s="8">
        <v>201</v>
      </c>
      <c r="B98" s="8" t="s">
        <v>250</v>
      </c>
      <c r="C98" s="8" t="s">
        <v>243</v>
      </c>
      <c r="D98" s="8" t="s">
        <v>39</v>
      </c>
      <c r="E98" s="8" t="s">
        <v>40</v>
      </c>
    </row>
    <row r="99" spans="1:5">
      <c r="A99" s="8">
        <v>203</v>
      </c>
      <c r="B99" s="8" t="s">
        <v>251</v>
      </c>
      <c r="C99" s="8" t="s">
        <v>252</v>
      </c>
      <c r="D99" s="8" t="s">
        <v>48</v>
      </c>
      <c r="E99" s="8" t="s">
        <v>40</v>
      </c>
    </row>
    <row r="100" spans="1:5">
      <c r="A100" s="8">
        <v>204</v>
      </c>
      <c r="B100" s="8" t="s">
        <v>253</v>
      </c>
      <c r="C100" s="8" t="s">
        <v>254</v>
      </c>
      <c r="D100" s="8" t="s">
        <v>48</v>
      </c>
      <c r="E100" s="8" t="s">
        <v>40</v>
      </c>
    </row>
    <row r="101" spans="1:5">
      <c r="A101" s="8">
        <v>207</v>
      </c>
      <c r="B101" s="8" t="s">
        <v>255</v>
      </c>
      <c r="C101" s="8" t="s">
        <v>256</v>
      </c>
      <c r="D101" s="8" t="s">
        <v>43</v>
      </c>
      <c r="E101" s="8" t="s">
        <v>40</v>
      </c>
    </row>
    <row r="102" spans="1:5">
      <c r="A102" s="8">
        <v>213</v>
      </c>
      <c r="B102" s="8" t="s">
        <v>257</v>
      </c>
      <c r="C102" s="8" t="s">
        <v>258</v>
      </c>
      <c r="D102" s="8" t="s">
        <v>181</v>
      </c>
      <c r="E102" s="8" t="s">
        <v>40</v>
      </c>
    </row>
    <row r="103" spans="1:5">
      <c r="A103" s="8">
        <v>216</v>
      </c>
      <c r="B103" s="8" t="s">
        <v>259</v>
      </c>
      <c r="C103" s="8" t="s">
        <v>260</v>
      </c>
      <c r="D103" s="8" t="s">
        <v>39</v>
      </c>
      <c r="E103" s="8" t="s">
        <v>40</v>
      </c>
    </row>
    <row r="104" spans="1:5">
      <c r="A104" s="8">
        <v>217</v>
      </c>
      <c r="B104" s="8" t="s">
        <v>261</v>
      </c>
      <c r="C104" s="8" t="s">
        <v>262</v>
      </c>
      <c r="D104" s="8" t="s">
        <v>39</v>
      </c>
      <c r="E104" s="8" t="s">
        <v>40</v>
      </c>
    </row>
    <row r="105" spans="1:5">
      <c r="A105" s="8">
        <v>219</v>
      </c>
      <c r="B105" s="8" t="s">
        <v>263</v>
      </c>
      <c r="C105" s="8" t="s">
        <v>264</v>
      </c>
      <c r="D105" s="8" t="s">
        <v>48</v>
      </c>
      <c r="E105" s="8" t="s">
        <v>40</v>
      </c>
    </row>
    <row r="106" spans="1:5">
      <c r="A106" s="8">
        <v>222</v>
      </c>
      <c r="B106" s="8" t="s">
        <v>265</v>
      </c>
      <c r="C106" s="8" t="s">
        <v>266</v>
      </c>
      <c r="D106" s="8" t="s">
        <v>97</v>
      </c>
      <c r="E106" s="8" t="s">
        <v>40</v>
      </c>
    </row>
    <row r="107" spans="1:5">
      <c r="A107" s="8">
        <v>223</v>
      </c>
      <c r="B107" s="8" t="s">
        <v>267</v>
      </c>
      <c r="C107" s="8" t="s">
        <v>268</v>
      </c>
      <c r="D107" s="8" t="s">
        <v>48</v>
      </c>
      <c r="E107" s="8" t="s">
        <v>40</v>
      </c>
    </row>
    <row r="108" spans="1:5">
      <c r="A108" s="8">
        <v>224</v>
      </c>
      <c r="B108" s="8" t="s">
        <v>269</v>
      </c>
      <c r="C108" s="8" t="s">
        <v>270</v>
      </c>
      <c r="D108" s="8" t="s">
        <v>48</v>
      </c>
      <c r="E108" s="8" t="s">
        <v>40</v>
      </c>
    </row>
    <row r="109" spans="1:5">
      <c r="A109" s="8">
        <v>225</v>
      </c>
      <c r="B109" s="8" t="s">
        <v>271</v>
      </c>
      <c r="C109" s="8" t="s">
        <v>272</v>
      </c>
      <c r="D109" s="8" t="s">
        <v>97</v>
      </c>
      <c r="E109" s="8" t="s">
        <v>40</v>
      </c>
    </row>
    <row r="110" spans="1:5">
      <c r="A110" s="8">
        <v>226</v>
      </c>
      <c r="B110" s="8" t="s">
        <v>273</v>
      </c>
      <c r="C110" s="8" t="s">
        <v>274</v>
      </c>
      <c r="D110" s="8" t="s">
        <v>39</v>
      </c>
      <c r="E110" s="8" t="s">
        <v>40</v>
      </c>
    </row>
    <row r="111" spans="1:5">
      <c r="A111" s="8">
        <v>228</v>
      </c>
      <c r="B111" s="8" t="s">
        <v>275</v>
      </c>
      <c r="C111" s="8" t="s">
        <v>276</v>
      </c>
      <c r="D111" s="8" t="s">
        <v>201</v>
      </c>
      <c r="E111" s="8" t="s">
        <v>40</v>
      </c>
    </row>
    <row r="112" spans="1:5">
      <c r="A112" s="8">
        <v>229</v>
      </c>
      <c r="B112" s="8" t="s">
        <v>277</v>
      </c>
      <c r="C112" s="8" t="s">
        <v>278</v>
      </c>
      <c r="D112" s="8" t="s">
        <v>54</v>
      </c>
      <c r="E112" s="8" t="s">
        <v>40</v>
      </c>
    </row>
    <row r="113" spans="1:5">
      <c r="A113" s="8">
        <v>230</v>
      </c>
      <c r="B113" s="8" t="s">
        <v>279</v>
      </c>
      <c r="C113" s="8" t="s">
        <v>280</v>
      </c>
      <c r="D113" s="8" t="s">
        <v>201</v>
      </c>
      <c r="E113" s="8" t="s">
        <v>40</v>
      </c>
    </row>
    <row r="114" spans="1:5">
      <c r="A114" s="8">
        <v>231</v>
      </c>
      <c r="B114" s="8" t="s">
        <v>281</v>
      </c>
      <c r="C114" s="8" t="s">
        <v>282</v>
      </c>
      <c r="D114" s="8" t="s">
        <v>164</v>
      </c>
      <c r="E114" s="8" t="s">
        <v>40</v>
      </c>
    </row>
    <row r="115" spans="1:5">
      <c r="A115" s="8">
        <v>233</v>
      </c>
      <c r="B115" s="8" t="s">
        <v>283</v>
      </c>
      <c r="C115" s="8" t="s">
        <v>284</v>
      </c>
      <c r="D115" s="8" t="s">
        <v>57</v>
      </c>
      <c r="E115" s="8" t="s">
        <v>40</v>
      </c>
    </row>
    <row r="116" spans="1:5">
      <c r="A116" s="8">
        <v>234</v>
      </c>
      <c r="B116" s="8" t="s">
        <v>285</v>
      </c>
      <c r="C116" s="8" t="s">
        <v>286</v>
      </c>
      <c r="D116" s="8" t="s">
        <v>79</v>
      </c>
      <c r="E116" s="8" t="s">
        <v>40</v>
      </c>
    </row>
    <row r="117" spans="1:5">
      <c r="A117" s="8">
        <v>236</v>
      </c>
      <c r="B117" s="8" t="s">
        <v>287</v>
      </c>
      <c r="C117" s="8" t="s">
        <v>288</v>
      </c>
      <c r="D117" s="8" t="s">
        <v>201</v>
      </c>
      <c r="E117" s="8" t="s">
        <v>40</v>
      </c>
    </row>
    <row r="118" spans="1:5">
      <c r="A118" s="8">
        <v>237</v>
      </c>
      <c r="B118" s="8" t="s">
        <v>289</v>
      </c>
      <c r="C118" s="8" t="s">
        <v>290</v>
      </c>
      <c r="D118" s="8" t="s">
        <v>201</v>
      </c>
      <c r="E118" s="8" t="s">
        <v>40</v>
      </c>
    </row>
    <row r="119" spans="1:5">
      <c r="A119" s="8">
        <v>238</v>
      </c>
      <c r="B119" s="8" t="s">
        <v>291</v>
      </c>
      <c r="C119" s="8" t="s">
        <v>180</v>
      </c>
      <c r="D119" s="8" t="s">
        <v>181</v>
      </c>
      <c r="E119" s="8" t="s">
        <v>40</v>
      </c>
    </row>
    <row r="120" spans="1:5">
      <c r="A120" s="8">
        <v>240</v>
      </c>
      <c r="B120" s="8" t="s">
        <v>292</v>
      </c>
      <c r="C120" s="8" t="s">
        <v>293</v>
      </c>
      <c r="D120" s="8" t="s">
        <v>39</v>
      </c>
      <c r="E120" s="8" t="s">
        <v>40</v>
      </c>
    </row>
    <row r="121" spans="1:5">
      <c r="A121" s="8">
        <v>244</v>
      </c>
      <c r="B121" s="8" t="s">
        <v>294</v>
      </c>
      <c r="C121" s="8" t="s">
        <v>260</v>
      </c>
      <c r="D121" s="8" t="s">
        <v>39</v>
      </c>
      <c r="E121" s="8" t="s">
        <v>40</v>
      </c>
    </row>
    <row r="122" spans="1:5">
      <c r="A122" s="8">
        <v>245</v>
      </c>
      <c r="B122" s="8" t="s">
        <v>295</v>
      </c>
      <c r="C122" s="8" t="s">
        <v>243</v>
      </c>
      <c r="D122" s="8" t="s">
        <v>39</v>
      </c>
      <c r="E122" s="8" t="s">
        <v>40</v>
      </c>
    </row>
    <row r="123" spans="1:5">
      <c r="A123" s="8">
        <v>246</v>
      </c>
      <c r="B123" s="8" t="s">
        <v>296</v>
      </c>
      <c r="C123" s="8" t="s">
        <v>174</v>
      </c>
      <c r="D123" s="8" t="s">
        <v>60</v>
      </c>
      <c r="E123" s="8" t="s">
        <v>40</v>
      </c>
    </row>
    <row r="124" spans="1:5">
      <c r="A124" s="8">
        <v>247</v>
      </c>
      <c r="B124" s="8" t="s">
        <v>297</v>
      </c>
      <c r="C124" s="8" t="s">
        <v>298</v>
      </c>
      <c r="D124" s="8" t="s">
        <v>39</v>
      </c>
      <c r="E124" s="8" t="s">
        <v>40</v>
      </c>
    </row>
    <row r="125" spans="1:5">
      <c r="A125" s="8">
        <v>250</v>
      </c>
      <c r="B125" s="8" t="s">
        <v>299</v>
      </c>
      <c r="C125" s="8" t="s">
        <v>300</v>
      </c>
      <c r="D125" s="8" t="s">
        <v>54</v>
      </c>
      <c r="E125" s="8" t="s">
        <v>40</v>
      </c>
    </row>
    <row r="126" spans="1:5">
      <c r="A126" s="8">
        <v>253</v>
      </c>
      <c r="B126" s="8" t="s">
        <v>301</v>
      </c>
      <c r="C126" s="8" t="s">
        <v>302</v>
      </c>
      <c r="D126" s="8" t="s">
        <v>43</v>
      </c>
      <c r="E126" s="8" t="s">
        <v>40</v>
      </c>
    </row>
    <row r="127" spans="1:5">
      <c r="A127" s="8">
        <v>254</v>
      </c>
      <c r="B127" s="8" t="s">
        <v>303</v>
      </c>
      <c r="C127" s="8" t="s">
        <v>304</v>
      </c>
      <c r="D127" s="8" t="s">
        <v>43</v>
      </c>
      <c r="E127" s="8" t="s">
        <v>40</v>
      </c>
    </row>
    <row r="128" spans="1:5">
      <c r="A128" s="8">
        <v>256</v>
      </c>
      <c r="B128" s="8" t="s">
        <v>305</v>
      </c>
      <c r="C128" s="8" t="s">
        <v>304</v>
      </c>
      <c r="D128" s="8" t="s">
        <v>43</v>
      </c>
      <c r="E128" s="8" t="s">
        <v>40</v>
      </c>
    </row>
    <row r="129" spans="1:5">
      <c r="A129" s="8">
        <v>263</v>
      </c>
      <c r="B129" s="8" t="s">
        <v>306</v>
      </c>
      <c r="C129" s="8" t="s">
        <v>307</v>
      </c>
      <c r="D129" s="8" t="s">
        <v>54</v>
      </c>
      <c r="E129" s="8" t="s">
        <v>40</v>
      </c>
    </row>
    <row r="130" spans="1:5">
      <c r="A130" s="8">
        <v>269</v>
      </c>
      <c r="B130" s="8" t="s">
        <v>308</v>
      </c>
      <c r="C130" s="8" t="s">
        <v>309</v>
      </c>
      <c r="D130" s="8" t="s">
        <v>132</v>
      </c>
      <c r="E130" s="8" t="s">
        <v>40</v>
      </c>
    </row>
    <row r="131" spans="1:5">
      <c r="A131" s="8">
        <v>271</v>
      </c>
      <c r="B131" s="8" t="s">
        <v>310</v>
      </c>
      <c r="C131" s="8" t="s">
        <v>311</v>
      </c>
      <c r="D131" s="8" t="s">
        <v>54</v>
      </c>
      <c r="E131" s="8" t="s">
        <v>40</v>
      </c>
    </row>
    <row r="132" spans="1:5">
      <c r="A132" s="8">
        <v>272</v>
      </c>
      <c r="B132" s="8" t="s">
        <v>312</v>
      </c>
      <c r="C132" s="8" t="s">
        <v>313</v>
      </c>
      <c r="D132" s="8" t="s">
        <v>97</v>
      </c>
      <c r="E132" s="8" t="s">
        <v>40</v>
      </c>
    </row>
    <row r="133" spans="1:5">
      <c r="A133" s="8">
        <v>279</v>
      </c>
      <c r="B133" s="8" t="s">
        <v>314</v>
      </c>
      <c r="C133" s="8" t="s">
        <v>315</v>
      </c>
      <c r="D133" s="8" t="s">
        <v>81</v>
      </c>
      <c r="E133" s="8" t="s">
        <v>40</v>
      </c>
    </row>
    <row r="134" spans="1:5">
      <c r="A134" s="8">
        <v>280</v>
      </c>
      <c r="B134" s="8" t="s">
        <v>316</v>
      </c>
      <c r="C134" s="8" t="s">
        <v>317</v>
      </c>
      <c r="D134" s="8" t="s">
        <v>39</v>
      </c>
      <c r="E134" s="8" t="s">
        <v>40</v>
      </c>
    </row>
    <row r="135" spans="1:5">
      <c r="A135" s="8">
        <v>281</v>
      </c>
      <c r="B135" s="8" t="s">
        <v>318</v>
      </c>
      <c r="C135" s="8" t="s">
        <v>196</v>
      </c>
      <c r="D135" s="8" t="s">
        <v>319</v>
      </c>
      <c r="E135" s="8" t="s">
        <v>40</v>
      </c>
    </row>
    <row r="136" spans="1:5">
      <c r="A136" s="8">
        <v>283</v>
      </c>
      <c r="B136" s="8" t="s">
        <v>320</v>
      </c>
      <c r="C136" s="8" t="s">
        <v>196</v>
      </c>
      <c r="D136" s="8" t="s">
        <v>319</v>
      </c>
      <c r="E136" s="8" t="s">
        <v>40</v>
      </c>
    </row>
    <row r="137" spans="1:5">
      <c r="A137" s="8">
        <v>287</v>
      </c>
      <c r="B137" s="8" t="s">
        <v>321</v>
      </c>
      <c r="C137" s="8" t="s">
        <v>322</v>
      </c>
      <c r="D137" s="8" t="s">
        <v>54</v>
      </c>
      <c r="E137" s="8" t="s">
        <v>40</v>
      </c>
    </row>
    <row r="138" spans="1:5">
      <c r="A138" s="8">
        <v>288</v>
      </c>
      <c r="B138" s="8" t="s">
        <v>323</v>
      </c>
      <c r="C138" s="8" t="s">
        <v>260</v>
      </c>
      <c r="D138" s="8" t="s">
        <v>39</v>
      </c>
      <c r="E138" s="8" t="s">
        <v>40</v>
      </c>
    </row>
    <row r="139" spans="1:5">
      <c r="A139" s="8">
        <v>291</v>
      </c>
      <c r="B139" s="8" t="s">
        <v>324</v>
      </c>
      <c r="C139" s="8" t="s">
        <v>96</v>
      </c>
      <c r="D139" s="8" t="s">
        <v>97</v>
      </c>
      <c r="E139" s="8" t="s">
        <v>40</v>
      </c>
    </row>
    <row r="140" spans="1:5">
      <c r="A140" s="8">
        <v>292</v>
      </c>
      <c r="B140" s="8" t="s">
        <v>325</v>
      </c>
      <c r="C140" s="8" t="s">
        <v>326</v>
      </c>
      <c r="D140" s="8" t="s">
        <v>79</v>
      </c>
      <c r="E140" s="8" t="s">
        <v>40</v>
      </c>
    </row>
    <row r="141" spans="1:5">
      <c r="A141" s="8">
        <v>293</v>
      </c>
      <c r="B141" s="8" t="s">
        <v>327</v>
      </c>
      <c r="C141" s="8" t="s">
        <v>328</v>
      </c>
      <c r="D141" s="8" t="s">
        <v>48</v>
      </c>
      <c r="E141" s="8" t="s">
        <v>40</v>
      </c>
    </row>
    <row r="142" spans="1:5">
      <c r="A142" s="8">
        <v>294</v>
      </c>
      <c r="B142" s="8" t="s">
        <v>329</v>
      </c>
      <c r="C142" s="8" t="s">
        <v>330</v>
      </c>
      <c r="D142" s="8" t="s">
        <v>43</v>
      </c>
      <c r="E142" s="8" t="s">
        <v>40</v>
      </c>
    </row>
    <row r="143" spans="1:5">
      <c r="A143" s="8">
        <v>295</v>
      </c>
      <c r="B143" s="8" t="s">
        <v>331</v>
      </c>
      <c r="C143" s="8" t="s">
        <v>332</v>
      </c>
      <c r="D143" s="8" t="s">
        <v>43</v>
      </c>
      <c r="E143" s="8" t="s">
        <v>40</v>
      </c>
    </row>
    <row r="144" spans="1:5">
      <c r="A144" s="8">
        <v>296</v>
      </c>
      <c r="B144" s="8" t="s">
        <v>333</v>
      </c>
      <c r="C144" s="8" t="s">
        <v>334</v>
      </c>
      <c r="D144" s="8" t="s">
        <v>335</v>
      </c>
      <c r="E144" s="8" t="s">
        <v>239</v>
      </c>
    </row>
    <row r="145" spans="1:5">
      <c r="A145" s="8">
        <v>299</v>
      </c>
      <c r="B145" s="8" t="s">
        <v>336</v>
      </c>
      <c r="C145" s="8" t="s">
        <v>156</v>
      </c>
      <c r="D145" s="8" t="s">
        <v>43</v>
      </c>
      <c r="E145" s="8" t="s">
        <v>40</v>
      </c>
    </row>
    <row r="146" spans="1:5">
      <c r="A146" s="8">
        <v>302</v>
      </c>
      <c r="B146" s="8" t="s">
        <v>337</v>
      </c>
      <c r="C146" s="8" t="s">
        <v>338</v>
      </c>
      <c r="D146" s="8" t="s">
        <v>39</v>
      </c>
      <c r="E146" s="8" t="s">
        <v>40</v>
      </c>
    </row>
    <row r="147" spans="1:5">
      <c r="A147" s="8">
        <v>303</v>
      </c>
      <c r="B147" s="8" t="s">
        <v>339</v>
      </c>
      <c r="C147" s="8" t="s">
        <v>129</v>
      </c>
      <c r="D147" s="8" t="s">
        <v>48</v>
      </c>
      <c r="E147" s="8" t="s">
        <v>40</v>
      </c>
    </row>
    <row r="148" spans="1:5">
      <c r="A148" s="8">
        <v>308</v>
      </c>
      <c r="B148" s="8" t="s">
        <v>340</v>
      </c>
      <c r="C148" s="8" t="s">
        <v>341</v>
      </c>
      <c r="D148" s="8" t="s">
        <v>39</v>
      </c>
      <c r="E148" s="8" t="s">
        <v>40</v>
      </c>
    </row>
    <row r="149" spans="1:5">
      <c r="A149" s="8">
        <v>313</v>
      </c>
      <c r="B149" s="8" t="s">
        <v>342</v>
      </c>
      <c r="C149" s="8" t="s">
        <v>343</v>
      </c>
      <c r="D149" s="8" t="s">
        <v>39</v>
      </c>
      <c r="E149" s="8" t="s">
        <v>40</v>
      </c>
    </row>
    <row r="150" spans="1:5">
      <c r="A150" s="8">
        <v>314</v>
      </c>
      <c r="B150" s="8" t="s">
        <v>344</v>
      </c>
      <c r="C150" s="8" t="s">
        <v>345</v>
      </c>
      <c r="D150" s="8" t="s">
        <v>39</v>
      </c>
      <c r="E150" s="8" t="s">
        <v>40</v>
      </c>
    </row>
    <row r="151" spans="1:5">
      <c r="A151" s="8">
        <v>316</v>
      </c>
      <c r="B151" s="8" t="s">
        <v>346</v>
      </c>
      <c r="C151" s="8" t="s">
        <v>347</v>
      </c>
      <c r="D151" s="8" t="s">
        <v>48</v>
      </c>
      <c r="E151" s="8" t="s">
        <v>40</v>
      </c>
    </row>
    <row r="152" spans="1:5">
      <c r="A152" s="8">
        <v>319</v>
      </c>
      <c r="B152" s="8" t="s">
        <v>348</v>
      </c>
      <c r="C152" s="8" t="s">
        <v>349</v>
      </c>
      <c r="D152" s="8" t="s">
        <v>181</v>
      </c>
      <c r="E152" s="8" t="s">
        <v>40</v>
      </c>
    </row>
    <row r="153" spans="1:5">
      <c r="A153" s="8">
        <v>321</v>
      </c>
      <c r="B153" s="8" t="s">
        <v>350</v>
      </c>
      <c r="C153" s="8" t="s">
        <v>351</v>
      </c>
      <c r="D153" s="8" t="s">
        <v>97</v>
      </c>
      <c r="E153" s="8" t="s">
        <v>40</v>
      </c>
    </row>
    <row r="154" spans="1:5">
      <c r="A154" s="8">
        <v>322</v>
      </c>
      <c r="B154" s="8" t="s">
        <v>352</v>
      </c>
      <c r="C154" s="8" t="s">
        <v>345</v>
      </c>
      <c r="D154" s="8" t="s">
        <v>39</v>
      </c>
      <c r="E154" s="8" t="s">
        <v>40</v>
      </c>
    </row>
    <row r="155" spans="1:5">
      <c r="A155" s="8">
        <v>323</v>
      </c>
      <c r="B155" s="8" t="s">
        <v>353</v>
      </c>
      <c r="C155" s="8" t="s">
        <v>50</v>
      </c>
      <c r="D155" s="8" t="s">
        <v>51</v>
      </c>
      <c r="E155" s="8" t="s">
        <v>40</v>
      </c>
    </row>
    <row r="156" spans="1:5">
      <c r="A156" s="8">
        <v>329</v>
      </c>
      <c r="B156" s="8" t="s">
        <v>354</v>
      </c>
      <c r="C156" s="8" t="s">
        <v>355</v>
      </c>
      <c r="D156" s="8" t="s">
        <v>54</v>
      </c>
      <c r="E156" s="8" t="s">
        <v>40</v>
      </c>
    </row>
    <row r="157" spans="1:5">
      <c r="A157" s="8">
        <v>330</v>
      </c>
      <c r="B157" s="8" t="s">
        <v>356</v>
      </c>
      <c r="C157" s="8" t="s">
        <v>357</v>
      </c>
      <c r="D157" s="8" t="s">
        <v>43</v>
      </c>
      <c r="E157" s="8" t="s">
        <v>40</v>
      </c>
    </row>
    <row r="158" spans="1:5">
      <c r="A158" s="8">
        <v>333</v>
      </c>
      <c r="B158" s="8" t="s">
        <v>358</v>
      </c>
      <c r="C158" s="8" t="s">
        <v>359</v>
      </c>
      <c r="D158" s="8" t="s">
        <v>54</v>
      </c>
      <c r="E158" s="8" t="s">
        <v>40</v>
      </c>
    </row>
    <row r="159" spans="1:5">
      <c r="A159" s="8">
        <v>334</v>
      </c>
      <c r="B159" s="8" t="s">
        <v>360</v>
      </c>
      <c r="C159" s="8" t="s">
        <v>359</v>
      </c>
      <c r="D159" s="8" t="s">
        <v>54</v>
      </c>
      <c r="E159" s="8" t="s">
        <v>40</v>
      </c>
    </row>
    <row r="160" spans="1:5">
      <c r="A160" s="8">
        <v>335</v>
      </c>
      <c r="B160" s="8" t="s">
        <v>361</v>
      </c>
      <c r="C160" s="8" t="s">
        <v>359</v>
      </c>
      <c r="D160" s="8" t="s">
        <v>54</v>
      </c>
      <c r="E160" s="8" t="s">
        <v>40</v>
      </c>
    </row>
    <row r="161" spans="1:5">
      <c r="A161" s="8">
        <v>337</v>
      </c>
      <c r="B161" s="8" t="s">
        <v>362</v>
      </c>
      <c r="C161" s="8" t="s">
        <v>363</v>
      </c>
      <c r="D161" s="8" t="s">
        <v>364</v>
      </c>
      <c r="E161" s="8" t="s">
        <v>40</v>
      </c>
    </row>
    <row r="162" spans="1:5">
      <c r="A162" s="8">
        <v>339</v>
      </c>
      <c r="B162" s="8" t="s">
        <v>365</v>
      </c>
      <c r="C162" s="8" t="s">
        <v>366</v>
      </c>
      <c r="D162" s="8" t="s">
        <v>159</v>
      </c>
      <c r="E162" s="8" t="s">
        <v>40</v>
      </c>
    </row>
    <row r="163" spans="1:5">
      <c r="A163" s="8">
        <v>340</v>
      </c>
      <c r="B163" s="8" t="s">
        <v>367</v>
      </c>
      <c r="C163" s="8" t="s">
        <v>368</v>
      </c>
      <c r="D163" s="8" t="s">
        <v>54</v>
      </c>
      <c r="E163" s="8" t="s">
        <v>40</v>
      </c>
    </row>
    <row r="164" spans="1:5">
      <c r="A164" s="8">
        <v>341</v>
      </c>
      <c r="B164" s="8" t="s">
        <v>369</v>
      </c>
      <c r="C164" s="8" t="s">
        <v>370</v>
      </c>
      <c r="D164" s="8" t="s">
        <v>97</v>
      </c>
      <c r="E164" s="8" t="s">
        <v>40</v>
      </c>
    </row>
    <row r="165" spans="1:5">
      <c r="A165" s="8">
        <v>342</v>
      </c>
      <c r="B165" s="8" t="s">
        <v>371</v>
      </c>
      <c r="C165" s="8" t="s">
        <v>372</v>
      </c>
      <c r="D165" s="8" t="s">
        <v>319</v>
      </c>
      <c r="E165" s="8" t="s">
        <v>40</v>
      </c>
    </row>
    <row r="166" spans="1:5">
      <c r="A166" s="8">
        <v>343</v>
      </c>
      <c r="B166" s="8" t="s">
        <v>373</v>
      </c>
      <c r="C166" s="8" t="s">
        <v>374</v>
      </c>
      <c r="D166" s="8" t="s">
        <v>319</v>
      </c>
      <c r="E166" s="8" t="s">
        <v>40</v>
      </c>
    </row>
    <row r="167" spans="1:5">
      <c r="A167" s="8">
        <v>346</v>
      </c>
      <c r="B167" s="8" t="s">
        <v>375</v>
      </c>
      <c r="C167" s="8" t="s">
        <v>376</v>
      </c>
      <c r="D167" s="8" t="s">
        <v>159</v>
      </c>
      <c r="E167" s="8" t="s">
        <v>40</v>
      </c>
    </row>
    <row r="168" spans="1:5">
      <c r="A168" s="8">
        <v>348</v>
      </c>
      <c r="B168" s="8" t="s">
        <v>377</v>
      </c>
      <c r="C168" s="8" t="s">
        <v>378</v>
      </c>
      <c r="D168" s="8" t="s">
        <v>60</v>
      </c>
      <c r="E168" s="8" t="s">
        <v>40</v>
      </c>
    </row>
    <row r="169" spans="1:5">
      <c r="A169" s="8">
        <v>352</v>
      </c>
      <c r="B169" s="8" t="s">
        <v>379</v>
      </c>
      <c r="C169" s="8" t="s">
        <v>380</v>
      </c>
      <c r="D169" s="8" t="s">
        <v>54</v>
      </c>
      <c r="E169" s="8" t="s">
        <v>40</v>
      </c>
    </row>
    <row r="170" spans="1:5">
      <c r="A170" s="8">
        <v>353</v>
      </c>
      <c r="B170" s="8" t="s">
        <v>381</v>
      </c>
      <c r="C170" s="8" t="s">
        <v>382</v>
      </c>
      <c r="D170" s="8" t="s">
        <v>54</v>
      </c>
      <c r="E170" s="8" t="s">
        <v>40</v>
      </c>
    </row>
    <row r="171" spans="1:5">
      <c r="A171" s="8">
        <v>354</v>
      </c>
      <c r="B171" s="8" t="s">
        <v>383</v>
      </c>
      <c r="C171" s="8" t="s">
        <v>359</v>
      </c>
      <c r="D171" s="8" t="s">
        <v>54</v>
      </c>
      <c r="E171" s="8" t="s">
        <v>40</v>
      </c>
    </row>
    <row r="172" spans="1:5">
      <c r="A172" s="8">
        <v>358</v>
      </c>
      <c r="B172" s="8" t="s">
        <v>384</v>
      </c>
      <c r="C172" s="8" t="s">
        <v>385</v>
      </c>
      <c r="D172" s="8" t="s">
        <v>54</v>
      </c>
      <c r="E172" s="8" t="s">
        <v>40</v>
      </c>
    </row>
    <row r="173" spans="1:5">
      <c r="A173" s="8">
        <v>359</v>
      </c>
      <c r="B173" s="8" t="s">
        <v>386</v>
      </c>
      <c r="C173" s="8" t="s">
        <v>387</v>
      </c>
      <c r="D173" s="8" t="s">
        <v>388</v>
      </c>
      <c r="E173" s="8" t="s">
        <v>40</v>
      </c>
    </row>
    <row r="174" spans="1:5">
      <c r="A174" s="8">
        <v>360</v>
      </c>
      <c r="B174" s="8" t="s">
        <v>389</v>
      </c>
      <c r="C174" s="8" t="s">
        <v>390</v>
      </c>
      <c r="D174" s="8" t="s">
        <v>264</v>
      </c>
      <c r="E174" s="8" t="s">
        <v>40</v>
      </c>
    </row>
    <row r="175" spans="1:5">
      <c r="A175" s="8">
        <v>364</v>
      </c>
      <c r="B175" s="8" t="s">
        <v>391</v>
      </c>
      <c r="C175" s="8" t="s">
        <v>392</v>
      </c>
      <c r="D175" s="8" t="s">
        <v>393</v>
      </c>
      <c r="E175" s="8" t="s">
        <v>40</v>
      </c>
    </row>
    <row r="176" spans="1:5">
      <c r="A176" s="8">
        <v>365</v>
      </c>
      <c r="B176" s="8" t="s">
        <v>394</v>
      </c>
      <c r="C176" s="8" t="s">
        <v>395</v>
      </c>
      <c r="D176" s="8" t="s">
        <v>396</v>
      </c>
      <c r="E176" s="8" t="s">
        <v>40</v>
      </c>
    </row>
    <row r="177" spans="1:5">
      <c r="A177" s="8">
        <v>368</v>
      </c>
      <c r="B177" s="8" t="s">
        <v>397</v>
      </c>
      <c r="C177" s="8" t="s">
        <v>398</v>
      </c>
      <c r="D177" s="8" t="s">
        <v>388</v>
      </c>
      <c r="E177" s="8" t="s">
        <v>40</v>
      </c>
    </row>
    <row r="178" spans="1:5">
      <c r="A178" s="8">
        <v>369</v>
      </c>
      <c r="B178" s="8" t="s">
        <v>399</v>
      </c>
      <c r="C178" s="8" t="s">
        <v>359</v>
      </c>
      <c r="D178" s="8" t="s">
        <v>54</v>
      </c>
      <c r="E178" s="8" t="s">
        <v>40</v>
      </c>
    </row>
    <row r="179" spans="1:5">
      <c r="A179" s="8">
        <v>371</v>
      </c>
      <c r="B179" s="8" t="s">
        <v>400</v>
      </c>
      <c r="C179" s="8" t="s">
        <v>401</v>
      </c>
      <c r="D179" s="8" t="s">
        <v>54</v>
      </c>
      <c r="E179" s="8" t="s">
        <v>40</v>
      </c>
    </row>
    <row r="180" spans="1:5">
      <c r="A180" s="8">
        <v>378</v>
      </c>
      <c r="B180" s="8" t="s">
        <v>402</v>
      </c>
      <c r="C180" s="8" t="s">
        <v>403</v>
      </c>
      <c r="D180" s="8" t="s">
        <v>54</v>
      </c>
      <c r="E180" s="8" t="s">
        <v>40</v>
      </c>
    </row>
    <row r="181" spans="1:5">
      <c r="A181" s="8">
        <v>379</v>
      </c>
      <c r="B181" s="8" t="s">
        <v>404</v>
      </c>
      <c r="C181" s="8" t="s">
        <v>405</v>
      </c>
      <c r="D181" s="8" t="s">
        <v>81</v>
      </c>
      <c r="E181" s="8" t="s">
        <v>40</v>
      </c>
    </row>
    <row r="182" spans="1:5">
      <c r="A182" s="8">
        <v>383</v>
      </c>
      <c r="B182" s="8" t="s">
        <v>406</v>
      </c>
      <c r="C182" s="8" t="s">
        <v>407</v>
      </c>
      <c r="D182" s="8" t="s">
        <v>408</v>
      </c>
      <c r="E182" s="8" t="s">
        <v>409</v>
      </c>
    </row>
    <row r="183" spans="1:5">
      <c r="A183" s="8">
        <v>384</v>
      </c>
      <c r="B183" s="8" t="s">
        <v>410</v>
      </c>
      <c r="C183" s="8" t="s">
        <v>411</v>
      </c>
      <c r="D183" s="8" t="s">
        <v>159</v>
      </c>
      <c r="E183" s="8" t="s">
        <v>40</v>
      </c>
    </row>
    <row r="184" spans="1:5">
      <c r="A184" s="8">
        <v>386</v>
      </c>
      <c r="B184" s="8" t="s">
        <v>412</v>
      </c>
      <c r="C184" s="8" t="s">
        <v>284</v>
      </c>
      <c r="D184" s="8" t="s">
        <v>57</v>
      </c>
      <c r="E184" s="8" t="s">
        <v>40</v>
      </c>
    </row>
    <row r="185" spans="1:5">
      <c r="A185" s="8">
        <v>395</v>
      </c>
      <c r="B185" s="8" t="s">
        <v>413</v>
      </c>
      <c r="C185" s="8" t="s">
        <v>414</v>
      </c>
      <c r="D185" s="8" t="s">
        <v>54</v>
      </c>
      <c r="E185" s="8" t="s">
        <v>40</v>
      </c>
    </row>
    <row r="186" spans="1:5">
      <c r="A186" s="8">
        <v>399</v>
      </c>
      <c r="B186" s="8" t="s">
        <v>415</v>
      </c>
      <c r="C186" s="8" t="s">
        <v>416</v>
      </c>
      <c r="D186" s="8" t="s">
        <v>43</v>
      </c>
      <c r="E186" s="8" t="s">
        <v>40</v>
      </c>
    </row>
    <row r="187" spans="1:5">
      <c r="A187" s="8">
        <v>401</v>
      </c>
      <c r="B187" s="8" t="s">
        <v>417</v>
      </c>
      <c r="C187" s="8" t="s">
        <v>418</v>
      </c>
      <c r="D187" s="8" t="s">
        <v>159</v>
      </c>
      <c r="E187" s="8" t="s">
        <v>40</v>
      </c>
    </row>
    <row r="188" spans="1:5">
      <c r="A188" s="8">
        <v>418</v>
      </c>
      <c r="B188" s="8" t="s">
        <v>419</v>
      </c>
      <c r="C188" s="8" t="s">
        <v>420</v>
      </c>
      <c r="D188" s="8" t="s">
        <v>164</v>
      </c>
      <c r="E188" s="8" t="s">
        <v>40</v>
      </c>
    </row>
    <row r="189" spans="1:5">
      <c r="A189" s="8">
        <v>422</v>
      </c>
      <c r="B189" s="8" t="s">
        <v>421</v>
      </c>
      <c r="C189" s="8" t="s">
        <v>422</v>
      </c>
      <c r="D189" s="8" t="s">
        <v>159</v>
      </c>
      <c r="E189" s="8" t="s">
        <v>40</v>
      </c>
    </row>
    <row r="190" spans="1:5">
      <c r="A190" s="8">
        <v>423</v>
      </c>
      <c r="B190" s="8" t="s">
        <v>423</v>
      </c>
      <c r="C190" s="8" t="s">
        <v>424</v>
      </c>
      <c r="D190" s="8" t="s">
        <v>97</v>
      </c>
      <c r="E190" s="8" t="s">
        <v>40</v>
      </c>
    </row>
    <row r="191" spans="1:5">
      <c r="A191" s="8">
        <v>433</v>
      </c>
      <c r="B191" s="8" t="s">
        <v>425</v>
      </c>
      <c r="C191" s="8" t="s">
        <v>426</v>
      </c>
      <c r="D191" s="8" t="s">
        <v>97</v>
      </c>
      <c r="E191" s="8" t="s">
        <v>40</v>
      </c>
    </row>
    <row r="192" spans="1:5">
      <c r="A192" s="8">
        <v>435</v>
      </c>
      <c r="B192" s="8" t="s">
        <v>427</v>
      </c>
      <c r="C192" s="8" t="s">
        <v>428</v>
      </c>
      <c r="D192" s="8" t="s">
        <v>429</v>
      </c>
      <c r="E192" s="8" t="s">
        <v>40</v>
      </c>
    </row>
    <row r="193" spans="1:5">
      <c r="A193" s="8">
        <v>441</v>
      </c>
      <c r="B193" s="8" t="s">
        <v>430</v>
      </c>
      <c r="C193" s="8" t="s">
        <v>431</v>
      </c>
      <c r="D193" s="8" t="s">
        <v>164</v>
      </c>
      <c r="E193" s="8" t="s">
        <v>40</v>
      </c>
    </row>
    <row r="194" spans="1:5">
      <c r="A194" s="8">
        <v>442</v>
      </c>
      <c r="B194" s="8" t="s">
        <v>432</v>
      </c>
      <c r="C194" s="8" t="s">
        <v>433</v>
      </c>
      <c r="D194" s="8" t="s">
        <v>74</v>
      </c>
      <c r="E194" s="8" t="s">
        <v>40</v>
      </c>
    </row>
    <row r="195" spans="1:5">
      <c r="A195" s="8">
        <v>447</v>
      </c>
      <c r="B195" s="8" t="s">
        <v>434</v>
      </c>
      <c r="C195" s="8" t="s">
        <v>435</v>
      </c>
      <c r="D195" s="8" t="s">
        <v>79</v>
      </c>
      <c r="E195" s="8" t="s">
        <v>40</v>
      </c>
    </row>
    <row r="196" spans="1:5">
      <c r="A196" s="8">
        <v>449</v>
      </c>
      <c r="B196" s="8" t="s">
        <v>436</v>
      </c>
      <c r="C196" s="8" t="s">
        <v>437</v>
      </c>
      <c r="D196" s="8" t="s">
        <v>438</v>
      </c>
      <c r="E196" s="8" t="s">
        <v>40</v>
      </c>
    </row>
    <row r="197" spans="1:5">
      <c r="A197" s="8">
        <v>451</v>
      </c>
      <c r="B197" s="8" t="s">
        <v>439</v>
      </c>
      <c r="C197" s="8" t="s">
        <v>315</v>
      </c>
      <c r="D197" s="8" t="s">
        <v>81</v>
      </c>
      <c r="E197" s="8" t="s">
        <v>40</v>
      </c>
    </row>
    <row r="198" spans="1:5">
      <c r="A198" s="8">
        <v>453</v>
      </c>
      <c r="B198" s="8" t="s">
        <v>440</v>
      </c>
      <c r="C198" s="8" t="s">
        <v>441</v>
      </c>
      <c r="D198" s="8" t="s">
        <v>39</v>
      </c>
      <c r="E198" s="8" t="s">
        <v>40</v>
      </c>
    </row>
    <row r="199" spans="1:5">
      <c r="A199" s="8">
        <v>456</v>
      </c>
      <c r="B199" s="8" t="s">
        <v>442</v>
      </c>
      <c r="C199" s="8" t="s">
        <v>443</v>
      </c>
      <c r="D199" s="8" t="s">
        <v>393</v>
      </c>
      <c r="E199" s="8" t="s">
        <v>40</v>
      </c>
    </row>
    <row r="200" spans="1:5">
      <c r="A200" s="8">
        <v>457</v>
      </c>
      <c r="B200" s="8" t="s">
        <v>444</v>
      </c>
      <c r="C200" s="8" t="s">
        <v>445</v>
      </c>
      <c r="D200" s="8" t="s">
        <v>164</v>
      </c>
      <c r="E200" s="8" t="s">
        <v>40</v>
      </c>
    </row>
    <row r="201" spans="1:5">
      <c r="A201" s="8">
        <v>461</v>
      </c>
      <c r="B201" s="8" t="s">
        <v>446</v>
      </c>
      <c r="C201" s="8" t="s">
        <v>447</v>
      </c>
      <c r="D201" s="8" t="s">
        <v>79</v>
      </c>
      <c r="E201" s="8" t="s">
        <v>40</v>
      </c>
    </row>
    <row r="202" spans="1:5">
      <c r="A202" s="8">
        <v>467</v>
      </c>
      <c r="B202" s="8" t="s">
        <v>448</v>
      </c>
      <c r="C202" s="8" t="s">
        <v>449</v>
      </c>
      <c r="D202" s="8" t="s">
        <v>60</v>
      </c>
      <c r="E202" s="8" t="s">
        <v>40</v>
      </c>
    </row>
    <row r="203" spans="1:5">
      <c r="A203" s="8">
        <v>468</v>
      </c>
      <c r="B203" s="8" t="s">
        <v>450</v>
      </c>
      <c r="C203" s="8" t="s">
        <v>345</v>
      </c>
      <c r="D203" s="8" t="s">
        <v>39</v>
      </c>
      <c r="E203" s="8" t="s">
        <v>40</v>
      </c>
    </row>
    <row r="204" spans="1:5">
      <c r="A204" s="8">
        <v>469</v>
      </c>
      <c r="B204" s="8" t="s">
        <v>451</v>
      </c>
      <c r="C204" s="8" t="s">
        <v>452</v>
      </c>
      <c r="D204" s="8" t="s">
        <v>39</v>
      </c>
      <c r="E204" s="8" t="s">
        <v>40</v>
      </c>
    </row>
    <row r="205" spans="1:5">
      <c r="A205" s="8">
        <v>470</v>
      </c>
      <c r="B205" s="8" t="s">
        <v>98</v>
      </c>
      <c r="C205" s="8" t="s">
        <v>99</v>
      </c>
      <c r="D205" s="8" t="s">
        <v>39</v>
      </c>
      <c r="E205" s="8" t="s">
        <v>40</v>
      </c>
    </row>
    <row r="206" spans="1:5">
      <c r="A206" s="8">
        <v>484</v>
      </c>
      <c r="B206" s="8" t="s">
        <v>453</v>
      </c>
      <c r="C206" s="8" t="s">
        <v>454</v>
      </c>
      <c r="D206" s="8" t="s">
        <v>97</v>
      </c>
      <c r="E206" s="8" t="s">
        <v>40</v>
      </c>
    </row>
    <row r="207" spans="1:5">
      <c r="A207" s="8">
        <v>486</v>
      </c>
      <c r="B207" s="8" t="s">
        <v>455</v>
      </c>
      <c r="C207" s="8" t="s">
        <v>456</v>
      </c>
      <c r="D207" s="8" t="s">
        <v>97</v>
      </c>
      <c r="E207" s="8" t="s">
        <v>40</v>
      </c>
    </row>
    <row r="208" spans="1:5">
      <c r="A208" s="8">
        <v>488</v>
      </c>
      <c r="B208" s="8" t="s">
        <v>457</v>
      </c>
      <c r="C208" s="8" t="s">
        <v>458</v>
      </c>
      <c r="D208" s="8" t="s">
        <v>264</v>
      </c>
      <c r="E208" s="8" t="s">
        <v>40</v>
      </c>
    </row>
    <row r="209" spans="1:5">
      <c r="A209" s="8">
        <v>492</v>
      </c>
      <c r="B209" s="8" t="s">
        <v>459</v>
      </c>
      <c r="C209" s="8" t="s">
        <v>460</v>
      </c>
      <c r="D209" s="8" t="s">
        <v>264</v>
      </c>
      <c r="E209" s="8" t="s">
        <v>40</v>
      </c>
    </row>
    <row r="210" spans="1:5">
      <c r="A210" s="8">
        <v>494</v>
      </c>
      <c r="B210" s="8" t="s">
        <v>461</v>
      </c>
      <c r="C210" s="8" t="s">
        <v>107</v>
      </c>
      <c r="D210" s="8" t="s">
        <v>39</v>
      </c>
      <c r="E210" s="8" t="s">
        <v>40</v>
      </c>
    </row>
    <row r="211" spans="1:5">
      <c r="A211" s="8">
        <v>496</v>
      </c>
      <c r="B211" s="8" t="s">
        <v>462</v>
      </c>
      <c r="C211" s="8" t="s">
        <v>463</v>
      </c>
      <c r="D211" s="8" t="s">
        <v>54</v>
      </c>
      <c r="E211" s="8" t="s">
        <v>40</v>
      </c>
    </row>
    <row r="212" spans="1:5">
      <c r="A212" s="8">
        <v>498</v>
      </c>
      <c r="B212" s="8" t="s">
        <v>464</v>
      </c>
      <c r="C212" s="8" t="s">
        <v>465</v>
      </c>
      <c r="D212" s="8" t="s">
        <v>92</v>
      </c>
      <c r="E212" s="8" t="s">
        <v>40</v>
      </c>
    </row>
    <row r="213" spans="1:5">
      <c r="A213" s="8">
        <v>501</v>
      </c>
      <c r="B213" s="8" t="s">
        <v>466</v>
      </c>
      <c r="C213" s="8" t="s">
        <v>180</v>
      </c>
      <c r="D213" s="8" t="s">
        <v>181</v>
      </c>
      <c r="E213" s="8" t="s">
        <v>40</v>
      </c>
    </row>
    <row r="214" spans="1:5">
      <c r="A214" s="8">
        <v>503</v>
      </c>
      <c r="B214" s="8" t="s">
        <v>467</v>
      </c>
      <c r="C214" s="8" t="s">
        <v>468</v>
      </c>
      <c r="D214" s="8" t="s">
        <v>39</v>
      </c>
      <c r="E214" s="8" t="s">
        <v>40</v>
      </c>
    </row>
    <row r="215" spans="1:5">
      <c r="A215" s="8">
        <v>509</v>
      </c>
      <c r="B215" s="8" t="s">
        <v>469</v>
      </c>
      <c r="C215" s="8" t="s">
        <v>470</v>
      </c>
      <c r="D215" s="8" t="s">
        <v>181</v>
      </c>
      <c r="E215" s="8" t="s">
        <v>40</v>
      </c>
    </row>
    <row r="216" spans="1:5">
      <c r="A216" s="8">
        <v>514</v>
      </c>
      <c r="B216" s="8" t="s">
        <v>471</v>
      </c>
      <c r="C216" s="8" t="s">
        <v>472</v>
      </c>
      <c r="D216" s="8" t="s">
        <v>54</v>
      </c>
      <c r="E216" s="8" t="s">
        <v>40</v>
      </c>
    </row>
    <row r="217" spans="1:5">
      <c r="A217" s="8">
        <v>522</v>
      </c>
      <c r="B217" s="8" t="s">
        <v>473</v>
      </c>
      <c r="C217" s="8" t="s">
        <v>401</v>
      </c>
      <c r="D217" s="8" t="s">
        <v>54</v>
      </c>
      <c r="E217" s="8" t="s">
        <v>40</v>
      </c>
    </row>
    <row r="218" spans="1:5">
      <c r="A218" s="8">
        <v>525</v>
      </c>
      <c r="B218" s="8" t="s">
        <v>474</v>
      </c>
      <c r="C218" s="8" t="s">
        <v>475</v>
      </c>
      <c r="D218" s="8" t="s">
        <v>213</v>
      </c>
      <c r="E218" s="8" t="s">
        <v>40</v>
      </c>
    </row>
    <row r="219" spans="1:5">
      <c r="A219" s="8">
        <v>527</v>
      </c>
      <c r="B219" s="8" t="s">
        <v>476</v>
      </c>
      <c r="C219" s="8" t="s">
        <v>477</v>
      </c>
      <c r="D219" s="8" t="s">
        <v>54</v>
      </c>
      <c r="E219" s="8" t="s">
        <v>40</v>
      </c>
    </row>
    <row r="220" spans="1:5">
      <c r="A220" s="8">
        <v>533</v>
      </c>
      <c r="B220" s="8" t="s">
        <v>478</v>
      </c>
      <c r="C220" s="8" t="s">
        <v>479</v>
      </c>
      <c r="D220" s="8" t="s">
        <v>54</v>
      </c>
      <c r="E220" s="8" t="s">
        <v>40</v>
      </c>
    </row>
    <row r="221" spans="1:5">
      <c r="A221" s="8">
        <v>537</v>
      </c>
      <c r="B221" s="8" t="s">
        <v>480</v>
      </c>
      <c r="C221" s="8" t="s">
        <v>481</v>
      </c>
      <c r="D221" s="8" t="s">
        <v>132</v>
      </c>
      <c r="E221" s="8" t="s">
        <v>40</v>
      </c>
    </row>
    <row r="222" spans="1:5">
      <c r="A222" s="8">
        <v>538</v>
      </c>
      <c r="B222" s="8" t="s">
        <v>482</v>
      </c>
      <c r="C222" s="8" t="s">
        <v>483</v>
      </c>
      <c r="D222" s="8" t="s">
        <v>74</v>
      </c>
      <c r="E222" s="8" t="s">
        <v>40</v>
      </c>
    </row>
    <row r="223" spans="1:5">
      <c r="A223" s="8">
        <v>539</v>
      </c>
      <c r="B223" s="8" t="s">
        <v>484</v>
      </c>
      <c r="C223" s="8" t="s">
        <v>422</v>
      </c>
      <c r="D223" s="8" t="s">
        <v>159</v>
      </c>
      <c r="E223" s="8" t="s">
        <v>40</v>
      </c>
    </row>
    <row r="224" spans="1:5">
      <c r="A224" s="8">
        <v>540</v>
      </c>
      <c r="B224" s="8" t="s">
        <v>485</v>
      </c>
      <c r="C224" s="8" t="s">
        <v>411</v>
      </c>
      <c r="D224" s="8" t="s">
        <v>159</v>
      </c>
      <c r="E224" s="8" t="s">
        <v>40</v>
      </c>
    </row>
    <row r="225" spans="1:5">
      <c r="A225" s="8">
        <v>545</v>
      </c>
      <c r="B225" s="8" t="s">
        <v>486</v>
      </c>
      <c r="C225" s="8" t="s">
        <v>487</v>
      </c>
      <c r="D225" s="8" t="s">
        <v>54</v>
      </c>
      <c r="E225" s="8" t="s">
        <v>40</v>
      </c>
    </row>
    <row r="226" spans="1:5">
      <c r="A226" s="8">
        <v>547</v>
      </c>
      <c r="B226" s="8" t="s">
        <v>488</v>
      </c>
      <c r="C226" s="8" t="s">
        <v>489</v>
      </c>
      <c r="D226" s="8" t="s">
        <v>490</v>
      </c>
      <c r="E226" s="8" t="s">
        <v>40</v>
      </c>
    </row>
    <row r="227" spans="1:5">
      <c r="A227" s="8">
        <v>548</v>
      </c>
      <c r="B227" s="8" t="s">
        <v>491</v>
      </c>
      <c r="C227" s="8" t="s">
        <v>492</v>
      </c>
      <c r="D227" s="8" t="s">
        <v>39</v>
      </c>
      <c r="E227" s="8" t="s">
        <v>40</v>
      </c>
    </row>
    <row r="228" spans="1:5">
      <c r="A228" s="8">
        <v>554</v>
      </c>
      <c r="B228" s="8" t="s">
        <v>493</v>
      </c>
      <c r="C228" s="8" t="s">
        <v>494</v>
      </c>
      <c r="D228" s="8" t="s">
        <v>495</v>
      </c>
      <c r="E228" s="8" t="s">
        <v>40</v>
      </c>
    </row>
    <row r="229" spans="1:5">
      <c r="A229" s="8">
        <v>555</v>
      </c>
      <c r="B229" s="8" t="s">
        <v>496</v>
      </c>
      <c r="C229" s="8" t="s">
        <v>497</v>
      </c>
      <c r="D229" s="8" t="s">
        <v>48</v>
      </c>
      <c r="E229" s="8" t="s">
        <v>40</v>
      </c>
    </row>
    <row r="230" spans="1:5">
      <c r="A230" s="8">
        <v>558</v>
      </c>
      <c r="B230" s="8" t="s">
        <v>498</v>
      </c>
      <c r="C230" s="8" t="s">
        <v>499</v>
      </c>
      <c r="D230" s="8" t="s">
        <v>201</v>
      </c>
      <c r="E230" s="8" t="s">
        <v>40</v>
      </c>
    </row>
    <row r="231" spans="1:5">
      <c r="A231" s="8">
        <v>564</v>
      </c>
      <c r="B231" s="8" t="s">
        <v>500</v>
      </c>
      <c r="C231" s="8" t="s">
        <v>501</v>
      </c>
      <c r="D231" s="8" t="s">
        <v>54</v>
      </c>
      <c r="E231" s="8" t="s">
        <v>40</v>
      </c>
    </row>
    <row r="232" spans="1:5">
      <c r="A232" s="8">
        <v>568</v>
      </c>
      <c r="B232" s="8" t="s">
        <v>502</v>
      </c>
      <c r="C232" s="8" t="s">
        <v>503</v>
      </c>
      <c r="D232" s="8" t="s">
        <v>504</v>
      </c>
      <c r="E232" s="8" t="s">
        <v>40</v>
      </c>
    </row>
    <row r="233" spans="1:5">
      <c r="A233" s="8">
        <v>569</v>
      </c>
      <c r="B233" s="8" t="s">
        <v>505</v>
      </c>
      <c r="C233" s="8" t="s">
        <v>506</v>
      </c>
      <c r="D233" s="8" t="s">
        <v>54</v>
      </c>
      <c r="E233" s="8" t="s">
        <v>40</v>
      </c>
    </row>
    <row r="234" spans="1:5">
      <c r="A234" s="8">
        <v>571</v>
      </c>
      <c r="B234" s="8" t="s">
        <v>507</v>
      </c>
      <c r="C234" s="8" t="s">
        <v>508</v>
      </c>
      <c r="D234" s="8" t="s">
        <v>201</v>
      </c>
      <c r="E234" s="8" t="s">
        <v>40</v>
      </c>
    </row>
    <row r="235" spans="1:5">
      <c r="A235" s="8">
        <v>573</v>
      </c>
      <c r="B235" s="8" t="s">
        <v>509</v>
      </c>
      <c r="C235" s="8" t="s">
        <v>452</v>
      </c>
      <c r="D235" s="8" t="s">
        <v>39</v>
      </c>
      <c r="E235" s="8" t="s">
        <v>40</v>
      </c>
    </row>
    <row r="236" spans="1:5">
      <c r="A236" s="8">
        <v>578</v>
      </c>
      <c r="B236" s="8" t="s">
        <v>510</v>
      </c>
      <c r="C236" s="8" t="s">
        <v>511</v>
      </c>
      <c r="D236" s="8" t="s">
        <v>54</v>
      </c>
      <c r="E236" s="8" t="s">
        <v>40</v>
      </c>
    </row>
    <row r="237" spans="1:5">
      <c r="A237" s="8">
        <v>580</v>
      </c>
      <c r="B237" s="8" t="s">
        <v>512</v>
      </c>
      <c r="C237" s="8" t="s">
        <v>513</v>
      </c>
      <c r="D237" s="8" t="s">
        <v>43</v>
      </c>
      <c r="E237" s="8" t="s">
        <v>40</v>
      </c>
    </row>
    <row r="238" spans="1:5">
      <c r="A238" s="8">
        <v>581</v>
      </c>
      <c r="B238" s="8" t="s">
        <v>514</v>
      </c>
      <c r="C238" s="8" t="s">
        <v>304</v>
      </c>
      <c r="D238" s="8" t="s">
        <v>43</v>
      </c>
      <c r="E238" s="8" t="s">
        <v>40</v>
      </c>
    </row>
    <row r="239" spans="1:5">
      <c r="A239" s="8">
        <v>585</v>
      </c>
      <c r="B239" s="8" t="s">
        <v>515</v>
      </c>
      <c r="C239" s="8" t="s">
        <v>516</v>
      </c>
      <c r="D239" s="8" t="s">
        <v>43</v>
      </c>
      <c r="E239" s="8" t="s">
        <v>40</v>
      </c>
    </row>
    <row r="240" spans="1:5">
      <c r="A240" s="8">
        <v>587</v>
      </c>
      <c r="B240" s="8" t="s">
        <v>517</v>
      </c>
      <c r="C240" s="8" t="s">
        <v>113</v>
      </c>
      <c r="D240" s="8" t="s">
        <v>429</v>
      </c>
      <c r="E240" s="8" t="s">
        <v>40</v>
      </c>
    </row>
    <row r="241" spans="1:5">
      <c r="A241" s="8">
        <v>589</v>
      </c>
      <c r="B241" s="8" t="s">
        <v>518</v>
      </c>
      <c r="C241" s="8" t="s">
        <v>519</v>
      </c>
      <c r="D241" s="8" t="s">
        <v>43</v>
      </c>
      <c r="E241" s="8" t="s">
        <v>40</v>
      </c>
    </row>
    <row r="242" spans="1:5">
      <c r="A242" s="8">
        <v>590</v>
      </c>
      <c r="B242" s="8" t="s">
        <v>520</v>
      </c>
      <c r="C242" s="8" t="s">
        <v>521</v>
      </c>
      <c r="D242" s="8" t="s">
        <v>393</v>
      </c>
      <c r="E242" s="8" t="s">
        <v>40</v>
      </c>
    </row>
    <row r="243" spans="1:5">
      <c r="A243" s="8">
        <v>597</v>
      </c>
      <c r="B243" s="8" t="s">
        <v>522</v>
      </c>
      <c r="C243" s="8" t="s">
        <v>523</v>
      </c>
      <c r="D243" s="8" t="s">
        <v>43</v>
      </c>
      <c r="E243" s="8" t="s">
        <v>40</v>
      </c>
    </row>
    <row r="244" spans="1:5">
      <c r="A244" s="8">
        <v>599</v>
      </c>
      <c r="B244" s="8" t="s">
        <v>524</v>
      </c>
      <c r="C244" s="8" t="s">
        <v>525</v>
      </c>
      <c r="D244" s="8" t="s">
        <v>43</v>
      </c>
      <c r="E244" s="8" t="s">
        <v>40</v>
      </c>
    </row>
    <row r="245" spans="1:5">
      <c r="A245" s="8">
        <v>601</v>
      </c>
      <c r="B245" s="8" t="s">
        <v>526</v>
      </c>
      <c r="C245" s="8" t="s">
        <v>527</v>
      </c>
      <c r="D245" s="8" t="s">
        <v>54</v>
      </c>
      <c r="E245" s="8" t="s">
        <v>40</v>
      </c>
    </row>
    <row r="246" spans="1:5">
      <c r="A246" s="8">
        <v>604</v>
      </c>
      <c r="B246" s="8" t="s">
        <v>528</v>
      </c>
      <c r="C246" s="8" t="s">
        <v>304</v>
      </c>
      <c r="D246" s="8" t="s">
        <v>43</v>
      </c>
      <c r="E246" s="8" t="s">
        <v>40</v>
      </c>
    </row>
    <row r="247" spans="1:5">
      <c r="A247" s="8">
        <v>606</v>
      </c>
      <c r="B247" s="8" t="s">
        <v>529</v>
      </c>
      <c r="C247" s="8" t="s">
        <v>523</v>
      </c>
      <c r="D247" s="8" t="s">
        <v>43</v>
      </c>
      <c r="E247" s="8" t="s">
        <v>40</v>
      </c>
    </row>
    <row r="248" spans="1:5">
      <c r="A248" s="8">
        <v>610</v>
      </c>
      <c r="B248" s="8" t="s">
        <v>530</v>
      </c>
      <c r="C248" s="8" t="s">
        <v>531</v>
      </c>
      <c r="D248" s="8" t="s">
        <v>238</v>
      </c>
      <c r="E248" s="8" t="s">
        <v>239</v>
      </c>
    </row>
    <row r="249" spans="1:5">
      <c r="A249" s="8">
        <v>611</v>
      </c>
      <c r="B249" s="8" t="s">
        <v>532</v>
      </c>
      <c r="C249" s="8" t="s">
        <v>533</v>
      </c>
      <c r="D249" s="8" t="s">
        <v>159</v>
      </c>
      <c r="E249" s="8" t="s">
        <v>40</v>
      </c>
    </row>
    <row r="250" spans="1:5">
      <c r="A250" s="8">
        <v>612</v>
      </c>
      <c r="B250" s="8" t="s">
        <v>534</v>
      </c>
      <c r="C250" s="8" t="s">
        <v>535</v>
      </c>
      <c r="D250" s="8" t="s">
        <v>159</v>
      </c>
      <c r="E250" s="8" t="s">
        <v>40</v>
      </c>
    </row>
    <row r="251" spans="1:5">
      <c r="A251" s="8">
        <v>614</v>
      </c>
      <c r="B251" s="8" t="s">
        <v>536</v>
      </c>
      <c r="C251" s="8" t="s">
        <v>537</v>
      </c>
      <c r="D251" s="8" t="s">
        <v>159</v>
      </c>
      <c r="E251" s="8" t="s">
        <v>40</v>
      </c>
    </row>
    <row r="252" spans="1:5">
      <c r="A252" s="8">
        <v>617</v>
      </c>
      <c r="B252" s="8" t="s">
        <v>538</v>
      </c>
      <c r="C252" s="8" t="s">
        <v>411</v>
      </c>
      <c r="D252" s="8" t="s">
        <v>159</v>
      </c>
      <c r="E252" s="8" t="s">
        <v>40</v>
      </c>
    </row>
    <row r="253" spans="1:5">
      <c r="A253" s="8">
        <v>619</v>
      </c>
      <c r="B253" s="8" t="s">
        <v>539</v>
      </c>
      <c r="C253" s="8" t="s">
        <v>540</v>
      </c>
      <c r="D253" s="8" t="s">
        <v>159</v>
      </c>
      <c r="E253" s="8" t="s">
        <v>40</v>
      </c>
    </row>
    <row r="254" spans="1:5">
      <c r="A254" s="8">
        <v>620</v>
      </c>
      <c r="B254" s="8" t="s">
        <v>541</v>
      </c>
      <c r="C254" s="8" t="s">
        <v>542</v>
      </c>
      <c r="D254" s="8" t="s">
        <v>159</v>
      </c>
      <c r="E254" s="8" t="s">
        <v>40</v>
      </c>
    </row>
    <row r="255" spans="1:5">
      <c r="A255" s="8">
        <v>623</v>
      </c>
      <c r="B255" s="8" t="s">
        <v>543</v>
      </c>
      <c r="C255" s="8" t="s">
        <v>542</v>
      </c>
      <c r="D255" s="8" t="s">
        <v>159</v>
      </c>
      <c r="E255" s="8" t="s">
        <v>40</v>
      </c>
    </row>
    <row r="256" spans="1:5">
      <c r="A256" s="8">
        <v>624</v>
      </c>
      <c r="B256" s="8" t="s">
        <v>544</v>
      </c>
      <c r="C256" s="8" t="s">
        <v>545</v>
      </c>
      <c r="D256" s="8" t="s">
        <v>164</v>
      </c>
      <c r="E256" s="8" t="s">
        <v>40</v>
      </c>
    </row>
    <row r="257" spans="1:5">
      <c r="A257" s="8">
        <v>639</v>
      </c>
      <c r="B257" s="8" t="s">
        <v>546</v>
      </c>
      <c r="C257" s="8" t="s">
        <v>547</v>
      </c>
      <c r="D257" s="8" t="s">
        <v>54</v>
      </c>
      <c r="E257" s="8" t="s">
        <v>40</v>
      </c>
    </row>
    <row r="258" spans="1:5">
      <c r="A258" s="8">
        <v>640</v>
      </c>
      <c r="B258" s="8" t="s">
        <v>548</v>
      </c>
      <c r="C258" s="8" t="s">
        <v>549</v>
      </c>
      <c r="D258" s="8" t="s">
        <v>54</v>
      </c>
      <c r="E258" s="8" t="s">
        <v>40</v>
      </c>
    </row>
    <row r="259" spans="1:5">
      <c r="A259" s="8">
        <v>647</v>
      </c>
      <c r="B259" s="8" t="s">
        <v>550</v>
      </c>
      <c r="C259" s="8" t="s">
        <v>551</v>
      </c>
      <c r="D259" s="8" t="s">
        <v>164</v>
      </c>
      <c r="E259" s="8" t="s">
        <v>40</v>
      </c>
    </row>
    <row r="260" spans="1:5">
      <c r="A260" s="8">
        <v>648</v>
      </c>
      <c r="B260" s="8" t="s">
        <v>552</v>
      </c>
      <c r="C260" s="8" t="s">
        <v>553</v>
      </c>
      <c r="D260" s="8" t="s">
        <v>213</v>
      </c>
      <c r="E260" s="8" t="s">
        <v>40</v>
      </c>
    </row>
    <row r="261" spans="1:5">
      <c r="A261" s="8">
        <v>649</v>
      </c>
      <c r="B261" s="8" t="s">
        <v>554</v>
      </c>
      <c r="C261" s="8" t="s">
        <v>555</v>
      </c>
      <c r="D261" s="8" t="s">
        <v>43</v>
      </c>
      <c r="E261" s="8" t="s">
        <v>40</v>
      </c>
    </row>
    <row r="262" spans="1:5">
      <c r="A262" s="8">
        <v>653</v>
      </c>
      <c r="B262" s="8" t="s">
        <v>556</v>
      </c>
      <c r="C262" s="8" t="s">
        <v>445</v>
      </c>
      <c r="D262" s="8" t="s">
        <v>164</v>
      </c>
      <c r="E262" s="8" t="s">
        <v>40</v>
      </c>
    </row>
    <row r="263" spans="1:5">
      <c r="A263" s="8">
        <v>662</v>
      </c>
      <c r="B263" s="8" t="s">
        <v>557</v>
      </c>
      <c r="C263" s="8" t="s">
        <v>558</v>
      </c>
      <c r="D263" s="8" t="s">
        <v>208</v>
      </c>
      <c r="E263" s="8" t="s">
        <v>40</v>
      </c>
    </row>
    <row r="264" spans="1:5">
      <c r="A264" s="8">
        <v>663</v>
      </c>
      <c r="B264" s="8" t="s">
        <v>162</v>
      </c>
      <c r="C264" s="8" t="s">
        <v>559</v>
      </c>
      <c r="D264" s="8" t="s">
        <v>60</v>
      </c>
      <c r="E264" s="8" t="s">
        <v>40</v>
      </c>
    </row>
    <row r="265" spans="1:5">
      <c r="A265" s="8">
        <v>668</v>
      </c>
      <c r="B265" s="8" t="s">
        <v>560</v>
      </c>
      <c r="C265" s="8" t="s">
        <v>304</v>
      </c>
      <c r="D265" s="8" t="s">
        <v>43</v>
      </c>
      <c r="E265" s="8" t="s">
        <v>40</v>
      </c>
    </row>
    <row r="266" spans="1:5">
      <c r="A266" s="8">
        <v>670</v>
      </c>
      <c r="B266" s="8" t="s">
        <v>561</v>
      </c>
      <c r="C266" s="8" t="s">
        <v>156</v>
      </c>
      <c r="D266" s="8" t="s">
        <v>43</v>
      </c>
      <c r="E266" s="8" t="s">
        <v>40</v>
      </c>
    </row>
    <row r="267" spans="1:5">
      <c r="A267" s="8">
        <v>677</v>
      </c>
      <c r="B267" s="8" t="s">
        <v>562</v>
      </c>
      <c r="C267" s="8" t="s">
        <v>563</v>
      </c>
      <c r="D267" s="8" t="s">
        <v>81</v>
      </c>
      <c r="E267" s="8" t="s">
        <v>40</v>
      </c>
    </row>
    <row r="268" spans="1:5">
      <c r="A268" s="8">
        <v>686</v>
      </c>
      <c r="B268" s="8" t="s">
        <v>564</v>
      </c>
      <c r="C268" s="8" t="s">
        <v>565</v>
      </c>
      <c r="D268" s="8" t="s">
        <v>438</v>
      </c>
      <c r="E268" s="8" t="s">
        <v>40</v>
      </c>
    </row>
    <row r="269" spans="1:5">
      <c r="A269" s="8">
        <v>687</v>
      </c>
      <c r="B269" s="8" t="s">
        <v>566</v>
      </c>
      <c r="C269" s="8" t="s">
        <v>567</v>
      </c>
      <c r="D269" s="8" t="s">
        <v>43</v>
      </c>
      <c r="E269" s="8" t="s">
        <v>40</v>
      </c>
    </row>
    <row r="270" spans="1:5">
      <c r="A270" s="8">
        <v>691</v>
      </c>
      <c r="B270" s="8" t="s">
        <v>568</v>
      </c>
      <c r="C270" s="8" t="s">
        <v>569</v>
      </c>
      <c r="D270" s="8" t="s">
        <v>43</v>
      </c>
      <c r="E270" s="8" t="s">
        <v>40</v>
      </c>
    </row>
    <row r="271" spans="1:5">
      <c r="A271" s="8">
        <v>692</v>
      </c>
      <c r="B271" s="8" t="s">
        <v>570</v>
      </c>
      <c r="C271" s="8" t="s">
        <v>571</v>
      </c>
      <c r="D271" s="8" t="s">
        <v>43</v>
      </c>
      <c r="E271" s="8" t="s">
        <v>40</v>
      </c>
    </row>
    <row r="272" spans="1:5">
      <c r="A272" s="8">
        <v>694</v>
      </c>
      <c r="B272" s="8" t="s">
        <v>572</v>
      </c>
      <c r="C272" s="8" t="s">
        <v>54</v>
      </c>
      <c r="D272" s="8" t="s">
        <v>54</v>
      </c>
      <c r="E272" s="8" t="s">
        <v>40</v>
      </c>
    </row>
    <row r="273" spans="1:5">
      <c r="A273" s="8">
        <v>695</v>
      </c>
      <c r="B273" s="8" t="s">
        <v>573</v>
      </c>
      <c r="C273" s="8" t="s">
        <v>574</v>
      </c>
      <c r="D273" s="8" t="s">
        <v>81</v>
      </c>
      <c r="E273" s="8" t="s">
        <v>40</v>
      </c>
    </row>
    <row r="274" spans="1:5">
      <c r="A274" s="8">
        <v>696</v>
      </c>
      <c r="B274" s="8" t="s">
        <v>575</v>
      </c>
      <c r="C274" s="8" t="s">
        <v>519</v>
      </c>
      <c r="D274" s="8" t="s">
        <v>43</v>
      </c>
      <c r="E274" s="8" t="s">
        <v>40</v>
      </c>
    </row>
    <row r="275" spans="1:5">
      <c r="A275" s="8">
        <v>698</v>
      </c>
      <c r="B275" s="8" t="s">
        <v>576</v>
      </c>
      <c r="C275" s="8" t="s">
        <v>577</v>
      </c>
      <c r="D275" s="8" t="s">
        <v>92</v>
      </c>
      <c r="E275" s="8" t="s">
        <v>40</v>
      </c>
    </row>
    <row r="276" spans="1:5">
      <c r="A276" s="8">
        <v>701</v>
      </c>
      <c r="B276" s="8" t="s">
        <v>578</v>
      </c>
      <c r="C276" s="8" t="s">
        <v>579</v>
      </c>
      <c r="D276" s="8" t="s">
        <v>43</v>
      </c>
      <c r="E276" s="8" t="s">
        <v>40</v>
      </c>
    </row>
    <row r="277" spans="1:5">
      <c r="A277" s="8">
        <v>702</v>
      </c>
      <c r="B277" s="8" t="s">
        <v>580</v>
      </c>
      <c r="C277" s="8" t="s">
        <v>581</v>
      </c>
      <c r="D277" s="8" t="s">
        <v>43</v>
      </c>
      <c r="E277" s="8" t="s">
        <v>40</v>
      </c>
    </row>
    <row r="278" spans="1:5">
      <c r="A278" s="8">
        <v>703</v>
      </c>
      <c r="B278" s="8" t="s">
        <v>582</v>
      </c>
      <c r="C278" s="8" t="s">
        <v>583</v>
      </c>
      <c r="D278" s="8" t="s">
        <v>39</v>
      </c>
      <c r="E278" s="8" t="s">
        <v>40</v>
      </c>
    </row>
    <row r="279" spans="1:5">
      <c r="A279" s="8">
        <v>706</v>
      </c>
      <c r="B279" s="8" t="s">
        <v>584</v>
      </c>
      <c r="C279" s="8" t="s">
        <v>585</v>
      </c>
      <c r="D279" s="8" t="s">
        <v>132</v>
      </c>
      <c r="E279" s="8" t="s">
        <v>40</v>
      </c>
    </row>
    <row r="280" spans="1:5">
      <c r="A280" s="8">
        <v>708</v>
      </c>
      <c r="B280" s="8" t="s">
        <v>586</v>
      </c>
      <c r="C280" s="8" t="s">
        <v>587</v>
      </c>
      <c r="D280" s="8" t="s">
        <v>97</v>
      </c>
      <c r="E280" s="8" t="s">
        <v>40</v>
      </c>
    </row>
    <row r="281" spans="1:5">
      <c r="A281" s="8">
        <v>709</v>
      </c>
      <c r="B281" s="8" t="s">
        <v>588</v>
      </c>
      <c r="C281" s="8" t="s">
        <v>589</v>
      </c>
      <c r="D281" s="8" t="s">
        <v>97</v>
      </c>
      <c r="E281" s="8" t="s">
        <v>40</v>
      </c>
    </row>
    <row r="282" spans="1:5">
      <c r="A282" s="8">
        <v>714</v>
      </c>
      <c r="B282" s="8" t="s">
        <v>590</v>
      </c>
      <c r="C282" s="8" t="s">
        <v>591</v>
      </c>
      <c r="D282" s="8" t="s">
        <v>48</v>
      </c>
      <c r="E282" s="8" t="s">
        <v>40</v>
      </c>
    </row>
    <row r="283" spans="1:5">
      <c r="A283" s="8">
        <v>716</v>
      </c>
      <c r="B283" s="8" t="s">
        <v>592</v>
      </c>
      <c r="C283" s="8" t="s">
        <v>593</v>
      </c>
      <c r="D283" s="8" t="s">
        <v>201</v>
      </c>
      <c r="E283" s="8" t="s">
        <v>40</v>
      </c>
    </row>
    <row r="284" spans="1:5">
      <c r="A284" s="8">
        <v>743</v>
      </c>
      <c r="B284" s="8" t="s">
        <v>594</v>
      </c>
      <c r="C284" s="8" t="s">
        <v>414</v>
      </c>
      <c r="D284" s="8" t="s">
        <v>54</v>
      </c>
      <c r="E284" s="8" t="s">
        <v>40</v>
      </c>
    </row>
    <row r="285" spans="1:5">
      <c r="A285" s="8">
        <v>744</v>
      </c>
      <c r="B285" s="8" t="s">
        <v>595</v>
      </c>
      <c r="C285" s="8" t="s">
        <v>150</v>
      </c>
      <c r="D285" s="8" t="s">
        <v>57</v>
      </c>
      <c r="E285" s="8" t="s">
        <v>40</v>
      </c>
    </row>
    <row r="286" spans="1:5">
      <c r="A286" s="8">
        <v>746</v>
      </c>
      <c r="B286" s="8" t="s">
        <v>596</v>
      </c>
      <c r="C286" s="8" t="s">
        <v>531</v>
      </c>
      <c r="D286" s="8" t="s">
        <v>238</v>
      </c>
      <c r="E286" s="8" t="s">
        <v>239</v>
      </c>
    </row>
    <row r="287" spans="1:5">
      <c r="A287" s="8">
        <v>747</v>
      </c>
      <c r="B287" s="8" t="s">
        <v>597</v>
      </c>
      <c r="C287" s="8" t="s">
        <v>598</v>
      </c>
      <c r="D287" s="8" t="s">
        <v>48</v>
      </c>
      <c r="E287" s="8" t="s">
        <v>40</v>
      </c>
    </row>
    <row r="288" spans="1:5">
      <c r="A288" s="8">
        <v>751</v>
      </c>
      <c r="B288" s="8" t="s">
        <v>599</v>
      </c>
      <c r="C288" s="8" t="s">
        <v>600</v>
      </c>
      <c r="D288" s="8" t="s">
        <v>43</v>
      </c>
      <c r="E288" s="8" t="s">
        <v>40</v>
      </c>
    </row>
    <row r="289" spans="1:5">
      <c r="A289" s="8">
        <v>753</v>
      </c>
      <c r="B289" s="8" t="s">
        <v>601</v>
      </c>
      <c r="C289" s="8" t="s">
        <v>602</v>
      </c>
      <c r="D289" s="8" t="s">
        <v>603</v>
      </c>
      <c r="E289" s="8" t="s">
        <v>40</v>
      </c>
    </row>
    <row r="290" spans="1:5">
      <c r="A290" s="8">
        <v>766</v>
      </c>
      <c r="B290" s="8" t="s">
        <v>604</v>
      </c>
      <c r="C290" s="8" t="s">
        <v>605</v>
      </c>
      <c r="D290" s="8" t="s">
        <v>43</v>
      </c>
      <c r="E290" s="8" t="s">
        <v>40</v>
      </c>
    </row>
    <row r="291" spans="1:5">
      <c r="A291" s="8">
        <v>771</v>
      </c>
      <c r="B291" s="8" t="s">
        <v>606</v>
      </c>
      <c r="C291" s="8" t="s">
        <v>607</v>
      </c>
      <c r="D291" s="8" t="s">
        <v>238</v>
      </c>
      <c r="E291" s="8" t="s">
        <v>239</v>
      </c>
    </row>
    <row r="292" spans="1:5">
      <c r="A292" s="8">
        <v>772</v>
      </c>
      <c r="B292" s="8" t="s">
        <v>608</v>
      </c>
      <c r="C292" s="8" t="s">
        <v>508</v>
      </c>
      <c r="D292" s="8" t="s">
        <v>238</v>
      </c>
      <c r="E292" s="8" t="s">
        <v>239</v>
      </c>
    </row>
    <row r="293" spans="1:5">
      <c r="A293" s="8">
        <v>773</v>
      </c>
      <c r="B293" s="8" t="s">
        <v>609</v>
      </c>
      <c r="C293" s="8" t="s">
        <v>610</v>
      </c>
      <c r="D293" s="8" t="s">
        <v>238</v>
      </c>
      <c r="E293" s="8" t="s">
        <v>239</v>
      </c>
    </row>
    <row r="294" spans="1:5">
      <c r="A294" s="8">
        <v>781</v>
      </c>
      <c r="B294" s="8" t="s">
        <v>611</v>
      </c>
      <c r="C294" s="8" t="s">
        <v>612</v>
      </c>
      <c r="D294" s="8" t="s">
        <v>238</v>
      </c>
      <c r="E294" s="8" t="s">
        <v>239</v>
      </c>
    </row>
    <row r="295" spans="1:5">
      <c r="A295" s="8">
        <v>801</v>
      </c>
      <c r="B295" s="8" t="s">
        <v>613</v>
      </c>
      <c r="C295" s="8" t="s">
        <v>614</v>
      </c>
      <c r="D295" s="8" t="s">
        <v>57</v>
      </c>
      <c r="E295" s="8" t="s">
        <v>40</v>
      </c>
    </row>
    <row r="296" spans="1:5">
      <c r="A296" s="8">
        <v>806</v>
      </c>
      <c r="B296" s="8" t="s">
        <v>615</v>
      </c>
      <c r="C296" s="8" t="s">
        <v>359</v>
      </c>
      <c r="D296" s="8" t="s">
        <v>54</v>
      </c>
      <c r="E296" s="8" t="s">
        <v>40</v>
      </c>
    </row>
    <row r="297" spans="1:5">
      <c r="A297" s="8">
        <v>810</v>
      </c>
      <c r="B297" s="8" t="s">
        <v>616</v>
      </c>
      <c r="C297" s="8" t="s">
        <v>617</v>
      </c>
      <c r="D297" s="8" t="s">
        <v>54</v>
      </c>
      <c r="E297" s="8" t="s">
        <v>40</v>
      </c>
    </row>
    <row r="298" spans="1:5">
      <c r="A298" s="8">
        <v>811</v>
      </c>
      <c r="B298" s="8" t="s">
        <v>618</v>
      </c>
      <c r="C298" s="8" t="s">
        <v>198</v>
      </c>
      <c r="D298" s="8" t="s">
        <v>181</v>
      </c>
      <c r="E298" s="8" t="s">
        <v>40</v>
      </c>
    </row>
    <row r="299" spans="1:5">
      <c r="A299" s="8">
        <v>812</v>
      </c>
      <c r="B299" s="8" t="s">
        <v>619</v>
      </c>
      <c r="C299" s="8" t="s">
        <v>620</v>
      </c>
      <c r="D299" s="8" t="s">
        <v>43</v>
      </c>
      <c r="E299" s="8" t="s">
        <v>40</v>
      </c>
    </row>
    <row r="300" spans="1:5">
      <c r="A300" s="8">
        <v>815</v>
      </c>
      <c r="B300" s="8" t="s">
        <v>621</v>
      </c>
      <c r="C300" s="8" t="s">
        <v>622</v>
      </c>
      <c r="D300" s="8" t="s">
        <v>39</v>
      </c>
      <c r="E300" s="8" t="s">
        <v>40</v>
      </c>
    </row>
    <row r="301" spans="1:5">
      <c r="A301" s="8">
        <v>816</v>
      </c>
      <c r="B301" s="8" t="s">
        <v>623</v>
      </c>
      <c r="C301" s="8" t="s">
        <v>127</v>
      </c>
      <c r="D301" s="8" t="s">
        <v>48</v>
      </c>
      <c r="E301" s="8" t="s">
        <v>40</v>
      </c>
    </row>
    <row r="302" spans="1:5">
      <c r="A302" s="8">
        <v>818</v>
      </c>
      <c r="B302" s="8" t="s">
        <v>624</v>
      </c>
      <c r="C302" s="8" t="s">
        <v>76</v>
      </c>
      <c r="D302" s="8" t="s">
        <v>39</v>
      </c>
      <c r="E302" s="8" t="s">
        <v>40</v>
      </c>
    </row>
    <row r="303" spans="1:5">
      <c r="A303" s="8">
        <v>829</v>
      </c>
      <c r="B303" s="8" t="s">
        <v>625</v>
      </c>
      <c r="C303" s="8" t="s">
        <v>286</v>
      </c>
      <c r="D303" s="8" t="s">
        <v>79</v>
      </c>
      <c r="E303" s="8" t="s">
        <v>40</v>
      </c>
    </row>
    <row r="304" spans="1:5">
      <c r="A304" s="8">
        <v>830</v>
      </c>
      <c r="B304" s="8" t="s">
        <v>626</v>
      </c>
      <c r="C304" s="8" t="s">
        <v>627</v>
      </c>
      <c r="D304" s="8" t="s">
        <v>39</v>
      </c>
      <c r="E304" s="8" t="s">
        <v>40</v>
      </c>
    </row>
    <row r="305" spans="1:5">
      <c r="A305" s="8">
        <v>832</v>
      </c>
      <c r="B305" s="8" t="s">
        <v>628</v>
      </c>
      <c r="C305" s="8" t="s">
        <v>629</v>
      </c>
      <c r="D305" s="8" t="s">
        <v>630</v>
      </c>
      <c r="E305" s="8" t="s">
        <v>40</v>
      </c>
    </row>
    <row r="306" spans="1:5">
      <c r="A306" s="8">
        <v>834</v>
      </c>
      <c r="B306" s="8" t="s">
        <v>631</v>
      </c>
      <c r="C306" s="8" t="s">
        <v>632</v>
      </c>
      <c r="D306" s="8" t="s">
        <v>97</v>
      </c>
      <c r="E306" s="8" t="s">
        <v>40</v>
      </c>
    </row>
    <row r="307" spans="1:5">
      <c r="A307" s="8">
        <v>835</v>
      </c>
      <c r="B307" s="8" t="s">
        <v>633</v>
      </c>
      <c r="C307" s="8" t="s">
        <v>634</v>
      </c>
      <c r="D307" s="8" t="s">
        <v>39</v>
      </c>
      <c r="E307" s="8" t="s">
        <v>40</v>
      </c>
    </row>
    <row r="308" spans="1:5">
      <c r="A308" s="8">
        <v>836</v>
      </c>
      <c r="B308" s="8" t="s">
        <v>635</v>
      </c>
      <c r="C308" s="8" t="s">
        <v>636</v>
      </c>
      <c r="D308" s="8" t="s">
        <v>438</v>
      </c>
      <c r="E308" s="8" t="s">
        <v>40</v>
      </c>
    </row>
    <row r="309" spans="1:5">
      <c r="A309" s="8">
        <v>839</v>
      </c>
      <c r="B309" s="8" t="s">
        <v>637</v>
      </c>
      <c r="C309" s="8" t="s">
        <v>638</v>
      </c>
      <c r="D309" s="8" t="s">
        <v>60</v>
      </c>
      <c r="E309" s="8" t="s">
        <v>40</v>
      </c>
    </row>
    <row r="310" spans="1:5">
      <c r="A310" s="8">
        <v>841</v>
      </c>
      <c r="B310" s="8" t="s">
        <v>639</v>
      </c>
      <c r="C310" s="8" t="s">
        <v>422</v>
      </c>
      <c r="D310" s="8" t="s">
        <v>43</v>
      </c>
      <c r="E310" s="8" t="s">
        <v>40</v>
      </c>
    </row>
    <row r="311" spans="1:5">
      <c r="A311" s="8">
        <v>842</v>
      </c>
      <c r="B311" s="8" t="s">
        <v>640</v>
      </c>
      <c r="C311" s="8" t="s">
        <v>641</v>
      </c>
      <c r="D311" s="8" t="s">
        <v>92</v>
      </c>
      <c r="E311" s="8" t="s">
        <v>40</v>
      </c>
    </row>
    <row r="312" spans="1:5">
      <c r="A312" s="8">
        <v>846</v>
      </c>
      <c r="B312" s="8" t="s">
        <v>642</v>
      </c>
      <c r="C312" s="8" t="s">
        <v>304</v>
      </c>
      <c r="D312" s="8" t="s">
        <v>43</v>
      </c>
      <c r="E312" s="8" t="s">
        <v>40</v>
      </c>
    </row>
    <row r="313" spans="1:5">
      <c r="A313" s="8">
        <v>847</v>
      </c>
      <c r="B313" s="8" t="s">
        <v>643</v>
      </c>
      <c r="C313" s="8" t="s">
        <v>644</v>
      </c>
      <c r="D313" s="8" t="s">
        <v>603</v>
      </c>
      <c r="E313" s="8" t="s">
        <v>40</v>
      </c>
    </row>
    <row r="314" spans="1:5">
      <c r="A314" s="8">
        <v>848</v>
      </c>
      <c r="B314" s="8" t="s">
        <v>645</v>
      </c>
      <c r="C314" s="8" t="s">
        <v>646</v>
      </c>
      <c r="D314" s="8" t="s">
        <v>43</v>
      </c>
      <c r="E314" s="8" t="s">
        <v>40</v>
      </c>
    </row>
    <row r="315" spans="1:5">
      <c r="A315" s="8">
        <v>852</v>
      </c>
      <c r="B315" s="8" t="s">
        <v>647</v>
      </c>
      <c r="C315" s="8" t="s">
        <v>648</v>
      </c>
      <c r="D315" s="8" t="s">
        <v>43</v>
      </c>
      <c r="E315" s="8" t="s">
        <v>40</v>
      </c>
    </row>
    <row r="316" spans="1:5">
      <c r="A316" s="8">
        <v>854</v>
      </c>
      <c r="B316" s="8" t="s">
        <v>649</v>
      </c>
      <c r="C316" s="8" t="s">
        <v>650</v>
      </c>
      <c r="D316" s="8" t="s">
        <v>238</v>
      </c>
      <c r="E316" s="8" t="s">
        <v>239</v>
      </c>
    </row>
    <row r="317" spans="1:5">
      <c r="A317" s="8">
        <v>857</v>
      </c>
      <c r="B317" s="8" t="s">
        <v>651</v>
      </c>
      <c r="C317" s="8" t="s">
        <v>652</v>
      </c>
      <c r="D317" s="8" t="s">
        <v>39</v>
      </c>
      <c r="E317" s="8" t="s">
        <v>40</v>
      </c>
    </row>
    <row r="318" spans="1:5">
      <c r="A318" s="8">
        <v>858</v>
      </c>
      <c r="B318" s="8" t="s">
        <v>653</v>
      </c>
      <c r="C318" s="8" t="s">
        <v>654</v>
      </c>
      <c r="D318" s="8" t="s">
        <v>39</v>
      </c>
      <c r="E318" s="8" t="s">
        <v>40</v>
      </c>
    </row>
    <row r="319" spans="1:5">
      <c r="A319" s="8">
        <v>862</v>
      </c>
      <c r="B319" s="8" t="s">
        <v>655</v>
      </c>
      <c r="C319" s="8" t="s">
        <v>656</v>
      </c>
      <c r="D319" s="8" t="s">
        <v>39</v>
      </c>
      <c r="E319" s="8" t="s">
        <v>40</v>
      </c>
    </row>
    <row r="320" spans="1:5">
      <c r="A320" s="8">
        <v>865</v>
      </c>
      <c r="B320" s="8" t="s">
        <v>657</v>
      </c>
      <c r="C320" s="8" t="s">
        <v>237</v>
      </c>
      <c r="D320" s="8" t="s">
        <v>238</v>
      </c>
      <c r="E320" s="8" t="s">
        <v>239</v>
      </c>
    </row>
    <row r="321" spans="1:5">
      <c r="A321" s="8">
        <v>867</v>
      </c>
      <c r="B321" s="8" t="s">
        <v>658</v>
      </c>
      <c r="C321" s="8" t="s">
        <v>659</v>
      </c>
      <c r="D321" s="8" t="s">
        <v>43</v>
      </c>
      <c r="E321" s="8" t="s">
        <v>40</v>
      </c>
    </row>
    <row r="322" spans="1:5">
      <c r="A322" s="8">
        <v>868</v>
      </c>
      <c r="B322" s="8" t="s">
        <v>660</v>
      </c>
      <c r="C322" s="8" t="s">
        <v>661</v>
      </c>
      <c r="D322" s="8" t="s">
        <v>79</v>
      </c>
      <c r="E322" s="8" t="s">
        <v>40</v>
      </c>
    </row>
    <row r="323" spans="1:5">
      <c r="A323" s="8">
        <v>870</v>
      </c>
      <c r="B323" s="8" t="s">
        <v>662</v>
      </c>
      <c r="C323" s="8" t="s">
        <v>663</v>
      </c>
      <c r="D323" s="8" t="s">
        <v>54</v>
      </c>
      <c r="E323" s="8" t="s">
        <v>40</v>
      </c>
    </row>
    <row r="324" spans="1:5">
      <c r="A324" s="8">
        <v>871</v>
      </c>
      <c r="B324" s="8" t="s">
        <v>664</v>
      </c>
      <c r="C324" s="8" t="s">
        <v>665</v>
      </c>
      <c r="D324" s="8" t="s">
        <v>54</v>
      </c>
      <c r="E324" s="8" t="s">
        <v>40</v>
      </c>
    </row>
    <row r="325" spans="1:5">
      <c r="A325" s="8">
        <v>876</v>
      </c>
      <c r="B325" s="8" t="s">
        <v>666</v>
      </c>
      <c r="C325" s="8" t="s">
        <v>667</v>
      </c>
      <c r="D325" s="8" t="s">
        <v>668</v>
      </c>
      <c r="E325" s="8" t="s">
        <v>40</v>
      </c>
    </row>
    <row r="326" spans="1:5">
      <c r="A326" s="8">
        <v>877</v>
      </c>
      <c r="B326" s="8" t="s">
        <v>669</v>
      </c>
      <c r="C326" s="8" t="s">
        <v>670</v>
      </c>
      <c r="D326" s="8" t="s">
        <v>668</v>
      </c>
      <c r="E326" s="8" t="s">
        <v>40</v>
      </c>
    </row>
    <row r="327" spans="1:5">
      <c r="A327" s="8">
        <v>884</v>
      </c>
      <c r="B327" s="8" t="s">
        <v>671</v>
      </c>
      <c r="C327" s="8" t="s">
        <v>672</v>
      </c>
      <c r="D327" s="8" t="s">
        <v>54</v>
      </c>
      <c r="E327" s="8" t="s">
        <v>40</v>
      </c>
    </row>
    <row r="328" spans="1:5">
      <c r="A328" s="8">
        <v>885</v>
      </c>
      <c r="B328" s="8" t="s">
        <v>673</v>
      </c>
      <c r="C328" s="8" t="s">
        <v>674</v>
      </c>
      <c r="D328" s="8" t="s">
        <v>137</v>
      </c>
      <c r="E328" s="8" t="s">
        <v>40</v>
      </c>
    </row>
    <row r="329" spans="1:5">
      <c r="A329" s="8">
        <v>888</v>
      </c>
      <c r="B329" s="8" t="s">
        <v>675</v>
      </c>
      <c r="C329" s="8" t="s">
        <v>676</v>
      </c>
      <c r="D329" s="8" t="s">
        <v>438</v>
      </c>
      <c r="E329" s="8" t="s">
        <v>40</v>
      </c>
    </row>
    <row r="330" spans="1:5">
      <c r="A330" s="8">
        <v>894</v>
      </c>
      <c r="B330" s="8" t="s">
        <v>677</v>
      </c>
      <c r="C330" s="8" t="s">
        <v>345</v>
      </c>
      <c r="D330" s="8" t="s">
        <v>39</v>
      </c>
      <c r="E330" s="8" t="s">
        <v>40</v>
      </c>
    </row>
    <row r="331" spans="1:5">
      <c r="A331" s="8">
        <v>900</v>
      </c>
      <c r="B331" s="8" t="s">
        <v>678</v>
      </c>
      <c r="C331" s="8" t="s">
        <v>679</v>
      </c>
      <c r="D331" s="8" t="s">
        <v>429</v>
      </c>
      <c r="E331" s="8" t="s">
        <v>40</v>
      </c>
    </row>
    <row r="332" spans="1:5">
      <c r="A332" s="8">
        <v>904</v>
      </c>
      <c r="B332" s="8" t="s">
        <v>680</v>
      </c>
      <c r="C332" s="8" t="s">
        <v>681</v>
      </c>
      <c r="D332" s="8" t="s">
        <v>39</v>
      </c>
      <c r="E332" s="8" t="s">
        <v>40</v>
      </c>
    </row>
    <row r="333" spans="1:5">
      <c r="A333" s="8">
        <v>907</v>
      </c>
      <c r="B333" s="8" t="s">
        <v>682</v>
      </c>
      <c r="C333" s="8" t="s">
        <v>683</v>
      </c>
      <c r="D333" s="8" t="s">
        <v>238</v>
      </c>
      <c r="E333" s="8" t="s">
        <v>239</v>
      </c>
    </row>
    <row r="334" spans="1:5">
      <c r="A334" s="8">
        <v>910</v>
      </c>
      <c r="B334" s="8" t="s">
        <v>684</v>
      </c>
      <c r="C334" s="8" t="s">
        <v>685</v>
      </c>
      <c r="D334" s="8" t="s">
        <v>39</v>
      </c>
      <c r="E334" s="8" t="s">
        <v>40</v>
      </c>
    </row>
    <row r="335" spans="1:5">
      <c r="A335" s="8">
        <v>919</v>
      </c>
      <c r="B335" s="8" t="s">
        <v>686</v>
      </c>
      <c r="C335" s="8" t="s">
        <v>237</v>
      </c>
      <c r="D335" s="8" t="s">
        <v>238</v>
      </c>
      <c r="E335" s="8" t="s">
        <v>239</v>
      </c>
    </row>
    <row r="336" spans="1:5">
      <c r="A336" s="8">
        <v>930</v>
      </c>
      <c r="B336" s="8" t="s">
        <v>687</v>
      </c>
      <c r="C336" s="8" t="s">
        <v>688</v>
      </c>
      <c r="D336" s="8" t="s">
        <v>132</v>
      </c>
      <c r="E336" s="8" t="s">
        <v>40</v>
      </c>
    </row>
    <row r="337" spans="1:5">
      <c r="A337" s="8">
        <v>931</v>
      </c>
      <c r="B337" s="8" t="s">
        <v>689</v>
      </c>
      <c r="C337" s="8" t="s">
        <v>690</v>
      </c>
      <c r="D337" s="8" t="s">
        <v>691</v>
      </c>
      <c r="E337" s="8" t="s">
        <v>40</v>
      </c>
    </row>
    <row r="338" spans="1:5">
      <c r="A338" s="8">
        <v>932</v>
      </c>
      <c r="B338" s="8" t="s">
        <v>692</v>
      </c>
      <c r="C338" s="8" t="s">
        <v>693</v>
      </c>
      <c r="D338" s="8" t="s">
        <v>69</v>
      </c>
      <c r="E338" s="8" t="s">
        <v>40</v>
      </c>
    </row>
    <row r="339" spans="1:5">
      <c r="A339" s="8">
        <v>935</v>
      </c>
      <c r="B339" s="8" t="s">
        <v>694</v>
      </c>
      <c r="C339" s="8" t="s">
        <v>695</v>
      </c>
      <c r="D339" s="8" t="s">
        <v>696</v>
      </c>
      <c r="E339" s="8" t="s">
        <v>40</v>
      </c>
    </row>
    <row r="340" spans="1:5">
      <c r="A340" s="8">
        <v>937</v>
      </c>
      <c r="B340" s="8" t="s">
        <v>697</v>
      </c>
      <c r="C340" s="8" t="s">
        <v>698</v>
      </c>
      <c r="D340" s="8" t="s">
        <v>696</v>
      </c>
      <c r="E340" s="8" t="s">
        <v>40</v>
      </c>
    </row>
    <row r="341" spans="1:5">
      <c r="A341" s="8">
        <v>938</v>
      </c>
      <c r="B341" s="8" t="s">
        <v>699</v>
      </c>
      <c r="C341" s="8" t="s">
        <v>422</v>
      </c>
      <c r="D341" s="8" t="s">
        <v>696</v>
      </c>
      <c r="E341" s="8" t="s">
        <v>40</v>
      </c>
    </row>
    <row r="342" spans="1:5">
      <c r="A342" s="8">
        <v>945</v>
      </c>
      <c r="B342" s="8" t="s">
        <v>700</v>
      </c>
      <c r="C342" s="8" t="s">
        <v>701</v>
      </c>
      <c r="D342" s="8" t="s">
        <v>57</v>
      </c>
      <c r="E342" s="8" t="s">
        <v>40</v>
      </c>
    </row>
    <row r="343" spans="1:5">
      <c r="A343" s="8">
        <v>948</v>
      </c>
      <c r="B343" s="8" t="s">
        <v>702</v>
      </c>
      <c r="C343" s="8" t="s">
        <v>460</v>
      </c>
      <c r="D343" s="8" t="s">
        <v>264</v>
      </c>
      <c r="E343" s="8" t="s">
        <v>40</v>
      </c>
    </row>
    <row r="344" spans="1:5">
      <c r="A344" s="8">
        <v>949</v>
      </c>
      <c r="B344" s="8" t="s">
        <v>703</v>
      </c>
      <c r="C344" s="8" t="s">
        <v>460</v>
      </c>
      <c r="D344" s="8" t="s">
        <v>264</v>
      </c>
      <c r="E344" s="8" t="s">
        <v>40</v>
      </c>
    </row>
    <row r="345" spans="1:5">
      <c r="A345" s="8">
        <v>955</v>
      </c>
      <c r="B345" s="8" t="s">
        <v>704</v>
      </c>
      <c r="C345" s="8" t="s">
        <v>705</v>
      </c>
      <c r="D345" s="8" t="s">
        <v>603</v>
      </c>
      <c r="E345" s="8" t="s">
        <v>40</v>
      </c>
    </row>
    <row r="346" spans="1:5">
      <c r="A346" s="8">
        <v>957</v>
      </c>
      <c r="B346" s="8" t="s">
        <v>706</v>
      </c>
      <c r="C346" s="8" t="s">
        <v>707</v>
      </c>
      <c r="D346" s="8" t="s">
        <v>603</v>
      </c>
      <c r="E346" s="8" t="s">
        <v>40</v>
      </c>
    </row>
    <row r="347" spans="1:5">
      <c r="A347" s="8">
        <v>967</v>
      </c>
      <c r="B347" s="8" t="s">
        <v>708</v>
      </c>
      <c r="C347" s="8" t="s">
        <v>709</v>
      </c>
      <c r="D347" s="8" t="s">
        <v>213</v>
      </c>
      <c r="E347" s="8" t="s">
        <v>40</v>
      </c>
    </row>
    <row r="348" spans="1:5">
      <c r="A348" s="8">
        <v>968</v>
      </c>
      <c r="B348" s="8" t="s">
        <v>710</v>
      </c>
      <c r="C348" s="8" t="s">
        <v>711</v>
      </c>
      <c r="D348" s="8" t="s">
        <v>43</v>
      </c>
      <c r="E348" s="8" t="s">
        <v>40</v>
      </c>
    </row>
    <row r="349" spans="1:5">
      <c r="A349" s="8">
        <v>971</v>
      </c>
      <c r="B349" s="8" t="s">
        <v>712</v>
      </c>
      <c r="C349" s="8" t="s">
        <v>713</v>
      </c>
      <c r="D349" s="8" t="s">
        <v>43</v>
      </c>
      <c r="E349" s="8" t="s">
        <v>40</v>
      </c>
    </row>
    <row r="350" spans="1:5">
      <c r="A350" s="8">
        <v>972</v>
      </c>
      <c r="B350" s="8" t="s">
        <v>714</v>
      </c>
      <c r="C350" s="8" t="s">
        <v>715</v>
      </c>
      <c r="D350" s="8" t="s">
        <v>43</v>
      </c>
      <c r="E350" s="8" t="s">
        <v>40</v>
      </c>
    </row>
    <row r="351" spans="1:5">
      <c r="A351" s="8">
        <v>973</v>
      </c>
      <c r="B351" s="8" t="s">
        <v>716</v>
      </c>
      <c r="C351" s="8" t="s">
        <v>717</v>
      </c>
      <c r="D351" s="8" t="s">
        <v>43</v>
      </c>
      <c r="E351" s="8" t="s">
        <v>40</v>
      </c>
    </row>
    <row r="352" spans="1:5">
      <c r="A352" s="8">
        <v>977</v>
      </c>
      <c r="B352" s="8" t="s">
        <v>718</v>
      </c>
      <c r="C352" s="8" t="s">
        <v>719</v>
      </c>
      <c r="D352" s="8" t="s">
        <v>159</v>
      </c>
      <c r="E352" s="8" t="s">
        <v>40</v>
      </c>
    </row>
    <row r="353" spans="1:5">
      <c r="A353" s="8">
        <v>980</v>
      </c>
      <c r="B353" s="8" t="s">
        <v>720</v>
      </c>
      <c r="C353" s="8" t="s">
        <v>721</v>
      </c>
      <c r="D353" s="8" t="s">
        <v>43</v>
      </c>
      <c r="E353" s="8" t="s">
        <v>40</v>
      </c>
    </row>
    <row r="354" spans="1:5">
      <c r="A354" s="8">
        <v>981</v>
      </c>
      <c r="B354" s="8" t="s">
        <v>722</v>
      </c>
      <c r="C354" s="8" t="s">
        <v>723</v>
      </c>
      <c r="D354" s="8" t="s">
        <v>43</v>
      </c>
      <c r="E354" s="8" t="s">
        <v>40</v>
      </c>
    </row>
    <row r="355" spans="1:5">
      <c r="A355" s="8">
        <v>987</v>
      </c>
      <c r="B355" s="8" t="s">
        <v>724</v>
      </c>
      <c r="C355" s="8" t="s">
        <v>725</v>
      </c>
      <c r="D355" s="8" t="s">
        <v>726</v>
      </c>
      <c r="E355" s="8" t="s">
        <v>40</v>
      </c>
    </row>
    <row r="356" spans="1:5">
      <c r="A356" s="8">
        <v>988</v>
      </c>
      <c r="B356" s="8" t="s">
        <v>727</v>
      </c>
      <c r="C356" s="8" t="s">
        <v>725</v>
      </c>
      <c r="D356" s="8" t="s">
        <v>726</v>
      </c>
      <c r="E356" s="8" t="s">
        <v>40</v>
      </c>
    </row>
    <row r="357" spans="1:5">
      <c r="A357" s="8">
        <v>991</v>
      </c>
      <c r="B357" s="8" t="s">
        <v>728</v>
      </c>
      <c r="C357" s="8" t="s">
        <v>641</v>
      </c>
      <c r="D357" s="8" t="s">
        <v>92</v>
      </c>
      <c r="E357" s="8" t="s">
        <v>40</v>
      </c>
    </row>
    <row r="358" spans="1:5">
      <c r="A358" s="8">
        <v>996</v>
      </c>
      <c r="B358" s="8" t="s">
        <v>729</v>
      </c>
      <c r="C358" s="8" t="s">
        <v>730</v>
      </c>
      <c r="D358" s="8" t="s">
        <v>92</v>
      </c>
      <c r="E358" s="8" t="s">
        <v>40</v>
      </c>
    </row>
    <row r="359" spans="1:5">
      <c r="A359" s="8">
        <v>997</v>
      </c>
      <c r="B359" s="8" t="s">
        <v>712</v>
      </c>
      <c r="C359" s="8" t="s">
        <v>705</v>
      </c>
      <c r="D359" s="8" t="s">
        <v>603</v>
      </c>
      <c r="E359" s="8" t="s">
        <v>40</v>
      </c>
    </row>
    <row r="360" spans="1:5">
      <c r="A360" s="8">
        <v>999</v>
      </c>
      <c r="B360" s="8" t="s">
        <v>731</v>
      </c>
      <c r="C360" s="8" t="s">
        <v>732</v>
      </c>
      <c r="D360" s="8" t="s">
        <v>201</v>
      </c>
      <c r="E360" s="8" t="s">
        <v>40</v>
      </c>
    </row>
    <row r="361" spans="1:5">
      <c r="A361" s="8">
        <v>1002</v>
      </c>
      <c r="B361" s="8" t="s">
        <v>733</v>
      </c>
      <c r="C361" s="8" t="s">
        <v>734</v>
      </c>
      <c r="D361" s="8" t="s">
        <v>630</v>
      </c>
      <c r="E361" s="8" t="s">
        <v>40</v>
      </c>
    </row>
    <row r="362" spans="1:5">
      <c r="A362" s="8">
        <v>1011</v>
      </c>
      <c r="B362" s="8" t="s">
        <v>735</v>
      </c>
      <c r="C362" s="8" t="s">
        <v>736</v>
      </c>
      <c r="D362" s="8" t="s">
        <v>92</v>
      </c>
      <c r="E362" s="8" t="s">
        <v>40</v>
      </c>
    </row>
    <row r="363" spans="1:5">
      <c r="A363" s="8">
        <v>1014</v>
      </c>
      <c r="B363" s="8" t="s">
        <v>737</v>
      </c>
      <c r="C363" s="8" t="s">
        <v>738</v>
      </c>
      <c r="D363" s="8" t="s">
        <v>81</v>
      </c>
      <c r="E363" s="8" t="s">
        <v>40</v>
      </c>
    </row>
    <row r="364" spans="1:5">
      <c r="A364" s="8">
        <v>1018</v>
      </c>
      <c r="B364" s="8" t="s">
        <v>739</v>
      </c>
      <c r="C364" s="8" t="s">
        <v>286</v>
      </c>
      <c r="D364" s="8" t="s">
        <v>79</v>
      </c>
      <c r="E364" s="8" t="s">
        <v>40</v>
      </c>
    </row>
    <row r="365" spans="1:5">
      <c r="A365" s="8">
        <v>1023</v>
      </c>
      <c r="B365" s="8" t="s">
        <v>740</v>
      </c>
      <c r="C365" s="8" t="s">
        <v>741</v>
      </c>
      <c r="D365" s="8" t="s">
        <v>39</v>
      </c>
      <c r="E365" s="8" t="s">
        <v>40</v>
      </c>
    </row>
    <row r="366" spans="1:5">
      <c r="A366" s="8">
        <v>1024</v>
      </c>
      <c r="B366" s="8" t="s">
        <v>742</v>
      </c>
      <c r="C366" s="8" t="s">
        <v>286</v>
      </c>
      <c r="D366" s="8" t="s">
        <v>79</v>
      </c>
      <c r="E366" s="8" t="s">
        <v>40</v>
      </c>
    </row>
    <row r="367" spans="1:5">
      <c r="A367" s="8">
        <v>1025</v>
      </c>
      <c r="B367" s="8" t="s">
        <v>743</v>
      </c>
      <c r="C367" s="8" t="s">
        <v>744</v>
      </c>
      <c r="D367" s="8" t="s">
        <v>39</v>
      </c>
      <c r="E367" s="8" t="s">
        <v>40</v>
      </c>
    </row>
    <row r="368" spans="1:5">
      <c r="A368" s="8">
        <v>1027</v>
      </c>
      <c r="B368" s="8" t="s">
        <v>745</v>
      </c>
      <c r="C368" s="8" t="s">
        <v>746</v>
      </c>
      <c r="D368" s="8" t="s">
        <v>60</v>
      </c>
      <c r="E368" s="8" t="s">
        <v>40</v>
      </c>
    </row>
    <row r="369" spans="1:5">
      <c r="A369" s="8">
        <v>1038</v>
      </c>
      <c r="B369" s="8" t="s">
        <v>747</v>
      </c>
      <c r="C369" s="8" t="s">
        <v>748</v>
      </c>
      <c r="D369" s="8" t="s">
        <v>81</v>
      </c>
      <c r="E369" s="8" t="s">
        <v>40</v>
      </c>
    </row>
    <row r="370" spans="1:5">
      <c r="A370" s="8">
        <v>1051</v>
      </c>
      <c r="B370" s="8" t="s">
        <v>749</v>
      </c>
      <c r="C370" s="8" t="s">
        <v>750</v>
      </c>
      <c r="D370" s="8" t="s">
        <v>319</v>
      </c>
      <c r="E370" s="8" t="s">
        <v>40</v>
      </c>
    </row>
    <row r="371" spans="1:5">
      <c r="A371" s="8">
        <v>1058</v>
      </c>
      <c r="B371" s="8" t="s">
        <v>751</v>
      </c>
      <c r="C371" s="8" t="s">
        <v>752</v>
      </c>
      <c r="D371" s="8" t="s">
        <v>181</v>
      </c>
      <c r="E371" s="8" t="s">
        <v>40</v>
      </c>
    </row>
    <row r="372" spans="1:5">
      <c r="A372" s="8">
        <v>1065</v>
      </c>
      <c r="B372" s="8" t="s">
        <v>753</v>
      </c>
      <c r="C372" s="8" t="s">
        <v>754</v>
      </c>
      <c r="D372" s="8" t="s">
        <v>57</v>
      </c>
      <c r="E372" s="8" t="s">
        <v>40</v>
      </c>
    </row>
    <row r="373" spans="1:5">
      <c r="A373" s="8">
        <v>1071</v>
      </c>
      <c r="B373" s="8" t="s">
        <v>755</v>
      </c>
      <c r="C373" s="8" t="s">
        <v>756</v>
      </c>
      <c r="D373" s="8" t="s">
        <v>201</v>
      </c>
      <c r="E373" s="8" t="s">
        <v>40</v>
      </c>
    </row>
    <row r="374" spans="1:5">
      <c r="A374" s="8">
        <v>1072</v>
      </c>
      <c r="B374" s="8" t="s">
        <v>757</v>
      </c>
      <c r="C374" s="8" t="s">
        <v>304</v>
      </c>
      <c r="D374" s="8" t="s">
        <v>43</v>
      </c>
      <c r="E374" s="8" t="s">
        <v>40</v>
      </c>
    </row>
    <row r="375" spans="1:5">
      <c r="A375" s="8">
        <v>1073</v>
      </c>
      <c r="B375" s="8" t="s">
        <v>758</v>
      </c>
      <c r="C375" s="8" t="s">
        <v>759</v>
      </c>
      <c r="D375" s="8" t="s">
        <v>181</v>
      </c>
      <c r="E375" s="8" t="s">
        <v>40</v>
      </c>
    </row>
    <row r="376" spans="1:5">
      <c r="A376" s="8">
        <v>1075</v>
      </c>
      <c r="B376" s="8" t="s">
        <v>760</v>
      </c>
      <c r="C376" s="8" t="s">
        <v>761</v>
      </c>
      <c r="D376" s="8" t="s">
        <v>238</v>
      </c>
      <c r="E376" s="8" t="s">
        <v>239</v>
      </c>
    </row>
    <row r="377" spans="1:5">
      <c r="A377" s="8">
        <v>1076</v>
      </c>
      <c r="B377" s="8" t="s">
        <v>762</v>
      </c>
      <c r="C377" s="8" t="s">
        <v>627</v>
      </c>
      <c r="D377" s="8" t="s">
        <v>39</v>
      </c>
      <c r="E377" s="8" t="s">
        <v>40</v>
      </c>
    </row>
    <row r="378" spans="1:5">
      <c r="A378" s="8">
        <v>1080</v>
      </c>
      <c r="B378" s="8" t="s">
        <v>763</v>
      </c>
      <c r="C378" s="8" t="s">
        <v>411</v>
      </c>
      <c r="D378" s="8" t="s">
        <v>159</v>
      </c>
      <c r="E378" s="8" t="s">
        <v>40</v>
      </c>
    </row>
    <row r="379" spans="1:5">
      <c r="A379" s="8">
        <v>1085</v>
      </c>
      <c r="B379" s="8" t="s">
        <v>764</v>
      </c>
      <c r="C379" s="8" t="s">
        <v>765</v>
      </c>
      <c r="D379" s="8" t="s">
        <v>201</v>
      </c>
      <c r="E379" s="8" t="s">
        <v>40</v>
      </c>
    </row>
    <row r="380" spans="1:5">
      <c r="A380" s="8">
        <v>1086</v>
      </c>
      <c r="B380" s="8" t="s">
        <v>766</v>
      </c>
      <c r="C380" s="8" t="s">
        <v>767</v>
      </c>
      <c r="D380" s="8" t="s">
        <v>159</v>
      </c>
      <c r="E380" s="8" t="s">
        <v>40</v>
      </c>
    </row>
    <row r="381" spans="1:5">
      <c r="A381" s="8">
        <v>1089</v>
      </c>
      <c r="B381" s="8" t="s">
        <v>768</v>
      </c>
      <c r="C381" s="8" t="s">
        <v>769</v>
      </c>
      <c r="D381" s="8" t="s">
        <v>48</v>
      </c>
      <c r="E381" s="8" t="s">
        <v>40</v>
      </c>
    </row>
    <row r="382" spans="1:5">
      <c r="A382" s="8">
        <v>1091</v>
      </c>
      <c r="B382" s="8" t="s">
        <v>770</v>
      </c>
      <c r="C382" s="8" t="s">
        <v>235</v>
      </c>
      <c r="D382" s="8" t="s">
        <v>132</v>
      </c>
      <c r="E382" s="8" t="s">
        <v>40</v>
      </c>
    </row>
    <row r="383" spans="1:5">
      <c r="A383" s="8">
        <v>1094</v>
      </c>
      <c r="B383" s="8" t="s">
        <v>771</v>
      </c>
      <c r="C383" s="8" t="s">
        <v>772</v>
      </c>
      <c r="D383" s="8" t="s">
        <v>691</v>
      </c>
      <c r="E383" s="8" t="s">
        <v>40</v>
      </c>
    </row>
    <row r="384" spans="1:5">
      <c r="A384" s="8">
        <v>1099</v>
      </c>
      <c r="B384" s="8" t="s">
        <v>773</v>
      </c>
      <c r="C384" s="8" t="s">
        <v>774</v>
      </c>
      <c r="D384" s="8" t="s">
        <v>201</v>
      </c>
      <c r="E384" s="8" t="s">
        <v>40</v>
      </c>
    </row>
    <row r="385" spans="1:5">
      <c r="A385" s="8">
        <v>1100</v>
      </c>
      <c r="B385" s="8" t="s">
        <v>775</v>
      </c>
      <c r="C385" s="8" t="s">
        <v>776</v>
      </c>
      <c r="D385" s="8" t="s">
        <v>60</v>
      </c>
      <c r="E385" s="8" t="s">
        <v>40</v>
      </c>
    </row>
    <row r="386" spans="1:5">
      <c r="A386" s="8">
        <v>1102</v>
      </c>
      <c r="B386" s="8" t="s">
        <v>777</v>
      </c>
      <c r="C386" s="8" t="s">
        <v>778</v>
      </c>
      <c r="D386" s="8" t="s">
        <v>630</v>
      </c>
      <c r="E386" s="8" t="s">
        <v>40</v>
      </c>
    </row>
    <row r="387" spans="1:5">
      <c r="A387" s="8">
        <v>1108</v>
      </c>
      <c r="B387" s="8" t="s">
        <v>779</v>
      </c>
      <c r="C387" s="8" t="s">
        <v>780</v>
      </c>
      <c r="D387" s="8" t="s">
        <v>696</v>
      </c>
      <c r="E387" s="8" t="s">
        <v>40</v>
      </c>
    </row>
    <row r="388" spans="1:5">
      <c r="A388" s="8">
        <v>1111</v>
      </c>
      <c r="B388" s="8" t="s">
        <v>781</v>
      </c>
      <c r="C388" s="8" t="s">
        <v>782</v>
      </c>
      <c r="D388" s="8" t="s">
        <v>438</v>
      </c>
      <c r="E388" s="8" t="s">
        <v>40</v>
      </c>
    </row>
    <row r="389" spans="1:5">
      <c r="A389" s="8">
        <v>1114</v>
      </c>
      <c r="B389" s="8" t="s">
        <v>783</v>
      </c>
      <c r="C389" s="8" t="s">
        <v>784</v>
      </c>
      <c r="D389" s="8" t="s">
        <v>238</v>
      </c>
      <c r="E389" s="8" t="s">
        <v>239</v>
      </c>
    </row>
    <row r="390" spans="1:5">
      <c r="A390" s="8">
        <v>1123</v>
      </c>
      <c r="B390" s="8" t="s">
        <v>785</v>
      </c>
      <c r="C390" s="8" t="s">
        <v>786</v>
      </c>
      <c r="D390" s="8" t="s">
        <v>159</v>
      </c>
      <c r="E390" s="8" t="s">
        <v>40</v>
      </c>
    </row>
    <row r="391" spans="1:5">
      <c r="A391" s="8">
        <v>1124</v>
      </c>
      <c r="B391" s="8" t="s">
        <v>787</v>
      </c>
      <c r="C391" s="8" t="s">
        <v>765</v>
      </c>
      <c r="D391" s="8" t="s">
        <v>201</v>
      </c>
      <c r="E391" s="8" t="s">
        <v>40</v>
      </c>
    </row>
    <row r="392" spans="1:5">
      <c r="A392" s="8">
        <v>1126</v>
      </c>
      <c r="B392" s="8" t="s">
        <v>788</v>
      </c>
      <c r="C392" s="8" t="s">
        <v>789</v>
      </c>
      <c r="D392" s="8" t="s">
        <v>54</v>
      </c>
      <c r="E392" s="8" t="s">
        <v>40</v>
      </c>
    </row>
    <row r="393" spans="1:5">
      <c r="A393" s="8">
        <v>1137</v>
      </c>
      <c r="B393" s="8" t="s">
        <v>790</v>
      </c>
      <c r="C393" s="8" t="s">
        <v>791</v>
      </c>
      <c r="D393" s="8" t="s">
        <v>159</v>
      </c>
      <c r="E393" s="8" t="s">
        <v>40</v>
      </c>
    </row>
    <row r="394" spans="1:5">
      <c r="A394" s="8">
        <v>1138</v>
      </c>
      <c r="B394" s="8" t="s">
        <v>792</v>
      </c>
      <c r="C394" s="8" t="s">
        <v>793</v>
      </c>
      <c r="D394" s="8" t="s">
        <v>43</v>
      </c>
      <c r="E394" s="8" t="s">
        <v>40</v>
      </c>
    </row>
    <row r="395" spans="1:5">
      <c r="A395" s="8">
        <v>1143</v>
      </c>
      <c r="B395" s="8" t="s">
        <v>794</v>
      </c>
      <c r="C395" s="8" t="s">
        <v>795</v>
      </c>
      <c r="D395" s="8" t="s">
        <v>97</v>
      </c>
      <c r="E395" s="8" t="s">
        <v>40</v>
      </c>
    </row>
    <row r="396" spans="1:5">
      <c r="A396" s="8">
        <v>1153</v>
      </c>
      <c r="B396" s="8" t="s">
        <v>796</v>
      </c>
      <c r="C396" s="8" t="s">
        <v>797</v>
      </c>
      <c r="D396" s="8" t="s">
        <v>60</v>
      </c>
      <c r="E396" s="8" t="s">
        <v>40</v>
      </c>
    </row>
    <row r="397" spans="1:5">
      <c r="A397" s="8">
        <v>1155</v>
      </c>
      <c r="B397" s="8" t="s">
        <v>798</v>
      </c>
      <c r="C397" s="8" t="s">
        <v>414</v>
      </c>
      <c r="D397" s="8" t="s">
        <v>54</v>
      </c>
      <c r="E397" s="8" t="s">
        <v>40</v>
      </c>
    </row>
    <row r="398" spans="1:5">
      <c r="A398" s="8">
        <v>1156</v>
      </c>
      <c r="B398" s="8" t="s">
        <v>799</v>
      </c>
      <c r="C398" s="8" t="s">
        <v>800</v>
      </c>
      <c r="D398" s="8" t="s">
        <v>408</v>
      </c>
      <c r="E398" s="8" t="s">
        <v>409</v>
      </c>
    </row>
    <row r="399" spans="1:5">
      <c r="A399" s="8">
        <v>1157</v>
      </c>
      <c r="B399" s="8" t="s">
        <v>801</v>
      </c>
      <c r="C399" s="8" t="s">
        <v>802</v>
      </c>
      <c r="D399" s="8" t="s">
        <v>208</v>
      </c>
      <c r="E399" s="8" t="s">
        <v>40</v>
      </c>
    </row>
    <row r="400" spans="1:5">
      <c r="A400" s="8">
        <v>1159</v>
      </c>
      <c r="B400" s="8" t="s">
        <v>803</v>
      </c>
      <c r="C400" s="8" t="s">
        <v>804</v>
      </c>
      <c r="D400" s="8" t="s">
        <v>43</v>
      </c>
      <c r="E400" s="8" t="s">
        <v>40</v>
      </c>
    </row>
    <row r="401" spans="1:5">
      <c r="A401" s="8">
        <v>1160</v>
      </c>
      <c r="B401" s="8" t="s">
        <v>805</v>
      </c>
      <c r="C401" s="8" t="s">
        <v>806</v>
      </c>
      <c r="D401" s="8" t="s">
        <v>43</v>
      </c>
      <c r="E401" s="8" t="s">
        <v>40</v>
      </c>
    </row>
    <row r="402" spans="1:5">
      <c r="A402" s="8">
        <v>1164</v>
      </c>
      <c r="B402" s="8" t="s">
        <v>807</v>
      </c>
      <c r="C402" s="8" t="s">
        <v>808</v>
      </c>
      <c r="D402" s="8" t="s">
        <v>809</v>
      </c>
      <c r="E402" s="8" t="s">
        <v>40</v>
      </c>
    </row>
    <row r="403" spans="1:5">
      <c r="A403" s="8">
        <v>1165</v>
      </c>
      <c r="B403" s="8" t="s">
        <v>810</v>
      </c>
      <c r="C403" s="8" t="s">
        <v>641</v>
      </c>
      <c r="D403" s="8" t="s">
        <v>92</v>
      </c>
      <c r="E403" s="8" t="s">
        <v>40</v>
      </c>
    </row>
    <row r="404" spans="1:5">
      <c r="A404" s="8">
        <v>1168</v>
      </c>
      <c r="B404" s="8" t="s">
        <v>811</v>
      </c>
      <c r="C404" s="8" t="s">
        <v>812</v>
      </c>
      <c r="D404" s="8" t="s">
        <v>97</v>
      </c>
      <c r="E404" s="8" t="s">
        <v>40</v>
      </c>
    </row>
    <row r="405" spans="1:5">
      <c r="A405" s="8">
        <v>1178</v>
      </c>
      <c r="B405" s="8" t="s">
        <v>813</v>
      </c>
      <c r="C405" s="8" t="s">
        <v>690</v>
      </c>
      <c r="D405" s="8" t="s">
        <v>691</v>
      </c>
      <c r="E405" s="8" t="s">
        <v>40</v>
      </c>
    </row>
    <row r="406" spans="1:5">
      <c r="A406" s="8">
        <v>1188</v>
      </c>
      <c r="B406" s="8" t="s">
        <v>814</v>
      </c>
      <c r="C406" s="8" t="s">
        <v>815</v>
      </c>
      <c r="D406" s="8" t="s">
        <v>39</v>
      </c>
      <c r="E406" s="8" t="s">
        <v>40</v>
      </c>
    </row>
    <row r="407" spans="1:5">
      <c r="A407" s="8">
        <v>1189</v>
      </c>
      <c r="B407" s="8" t="s">
        <v>144</v>
      </c>
      <c r="C407" s="8" t="s">
        <v>816</v>
      </c>
      <c r="D407" s="8" t="s">
        <v>39</v>
      </c>
      <c r="E407" s="8" t="s">
        <v>40</v>
      </c>
    </row>
    <row r="408" spans="1:5">
      <c r="A408" s="8">
        <v>1197</v>
      </c>
      <c r="B408" s="8" t="s">
        <v>817</v>
      </c>
      <c r="C408" s="8" t="s">
        <v>818</v>
      </c>
      <c r="D408" s="8" t="s">
        <v>43</v>
      </c>
      <c r="E408" s="8" t="s">
        <v>40</v>
      </c>
    </row>
    <row r="409" spans="1:5">
      <c r="A409" s="8">
        <v>1208</v>
      </c>
      <c r="B409" s="8" t="s">
        <v>819</v>
      </c>
      <c r="C409" s="8" t="s">
        <v>772</v>
      </c>
      <c r="D409" s="8" t="s">
        <v>121</v>
      </c>
      <c r="E409" s="8" t="s">
        <v>40</v>
      </c>
    </row>
    <row r="410" spans="1:5">
      <c r="A410" s="8">
        <v>1209</v>
      </c>
      <c r="B410" s="8" t="s">
        <v>820</v>
      </c>
      <c r="C410" s="8" t="s">
        <v>693</v>
      </c>
      <c r="D410" s="8" t="s">
        <v>69</v>
      </c>
      <c r="E410" s="8" t="s">
        <v>40</v>
      </c>
    </row>
    <row r="411" spans="1:5">
      <c r="A411" s="8">
        <v>1212</v>
      </c>
      <c r="B411" s="8" t="s">
        <v>821</v>
      </c>
      <c r="C411" s="8" t="s">
        <v>577</v>
      </c>
      <c r="D411" s="8" t="s">
        <v>92</v>
      </c>
      <c r="E411" s="8" t="s">
        <v>40</v>
      </c>
    </row>
    <row r="412" spans="1:5">
      <c r="A412" s="8">
        <v>1218</v>
      </c>
      <c r="B412" s="8" t="s">
        <v>822</v>
      </c>
      <c r="C412" s="8" t="s">
        <v>351</v>
      </c>
      <c r="D412" s="8" t="s">
        <v>97</v>
      </c>
      <c r="E412" s="8" t="s">
        <v>40</v>
      </c>
    </row>
    <row r="413" spans="1:5">
      <c r="A413" s="8">
        <v>1225</v>
      </c>
      <c r="B413" s="8" t="s">
        <v>823</v>
      </c>
      <c r="C413" s="8" t="s">
        <v>824</v>
      </c>
      <c r="D413" s="8" t="s">
        <v>429</v>
      </c>
      <c r="E413" s="8" t="s">
        <v>40</v>
      </c>
    </row>
    <row r="414" spans="1:5">
      <c r="A414" s="8">
        <v>1228</v>
      </c>
      <c r="B414" s="8" t="s">
        <v>825</v>
      </c>
      <c r="C414" s="8" t="s">
        <v>826</v>
      </c>
      <c r="D414" s="8" t="s">
        <v>48</v>
      </c>
      <c r="E414" s="8" t="s">
        <v>40</v>
      </c>
    </row>
    <row r="415" spans="1:5">
      <c r="A415" s="8">
        <v>1230</v>
      </c>
      <c r="B415" s="8" t="s">
        <v>827</v>
      </c>
      <c r="C415" s="8" t="s">
        <v>414</v>
      </c>
      <c r="D415" s="8" t="s">
        <v>54</v>
      </c>
      <c r="E415" s="8" t="s">
        <v>40</v>
      </c>
    </row>
    <row r="416" spans="1:5">
      <c r="A416" s="8">
        <v>1241</v>
      </c>
      <c r="B416" s="8" t="s">
        <v>828</v>
      </c>
      <c r="C416" s="8" t="s">
        <v>829</v>
      </c>
      <c r="D416" s="8" t="s">
        <v>238</v>
      </c>
      <c r="E416" s="8" t="s">
        <v>239</v>
      </c>
    </row>
    <row r="417" spans="1:5">
      <c r="A417" s="8">
        <v>1243</v>
      </c>
      <c r="B417" s="8" t="s">
        <v>830</v>
      </c>
      <c r="C417" s="8" t="s">
        <v>831</v>
      </c>
      <c r="D417" s="8" t="s">
        <v>39</v>
      </c>
      <c r="E417" s="8" t="s">
        <v>40</v>
      </c>
    </row>
    <row r="418" spans="1:5">
      <c r="A418" s="8">
        <v>1245</v>
      </c>
      <c r="B418" s="8" t="s">
        <v>832</v>
      </c>
      <c r="C418" s="8" t="s">
        <v>833</v>
      </c>
      <c r="D418" s="8" t="s">
        <v>208</v>
      </c>
      <c r="E418" s="8" t="s">
        <v>40</v>
      </c>
    </row>
    <row r="419" spans="1:5">
      <c r="A419" s="8">
        <v>1246</v>
      </c>
      <c r="B419" s="8" t="s">
        <v>834</v>
      </c>
      <c r="C419" s="8" t="s">
        <v>835</v>
      </c>
      <c r="D419" s="8" t="s">
        <v>238</v>
      </c>
      <c r="E419" s="8" t="s">
        <v>239</v>
      </c>
    </row>
    <row r="420" spans="1:5">
      <c r="A420" s="8">
        <v>1247</v>
      </c>
      <c r="B420" s="8" t="s">
        <v>836</v>
      </c>
      <c r="C420" s="8" t="s">
        <v>837</v>
      </c>
      <c r="D420" s="8" t="s">
        <v>181</v>
      </c>
      <c r="E420" s="8" t="s">
        <v>40</v>
      </c>
    </row>
    <row r="421" spans="1:5">
      <c r="A421" s="8">
        <v>1248</v>
      </c>
      <c r="B421" s="8" t="s">
        <v>838</v>
      </c>
      <c r="C421" s="8" t="s">
        <v>839</v>
      </c>
      <c r="D421" s="8" t="s">
        <v>81</v>
      </c>
      <c r="E421" s="8" t="s">
        <v>40</v>
      </c>
    </row>
    <row r="422" spans="1:5">
      <c r="A422" s="8">
        <v>1250</v>
      </c>
      <c r="B422" s="8" t="s">
        <v>840</v>
      </c>
      <c r="C422" s="8" t="s">
        <v>841</v>
      </c>
      <c r="D422" s="8" t="s">
        <v>39</v>
      </c>
      <c r="E422" s="8" t="s">
        <v>40</v>
      </c>
    </row>
    <row r="423" spans="1:5">
      <c r="A423" s="8">
        <v>1251</v>
      </c>
      <c r="B423" s="8" t="s">
        <v>842</v>
      </c>
      <c r="C423" s="8" t="s">
        <v>843</v>
      </c>
      <c r="D423" s="8" t="s">
        <v>57</v>
      </c>
      <c r="E423" s="8" t="s">
        <v>40</v>
      </c>
    </row>
    <row r="424" spans="1:5">
      <c r="A424" s="8">
        <v>1254</v>
      </c>
      <c r="B424" s="8" t="s">
        <v>844</v>
      </c>
      <c r="C424" s="8" t="s">
        <v>845</v>
      </c>
      <c r="D424" s="8" t="s">
        <v>39</v>
      </c>
      <c r="E424" s="8" t="s">
        <v>40</v>
      </c>
    </row>
    <row r="425" spans="1:5">
      <c r="A425" s="8">
        <v>1255</v>
      </c>
      <c r="B425" s="8" t="s">
        <v>846</v>
      </c>
      <c r="C425" s="8" t="s">
        <v>847</v>
      </c>
      <c r="D425" s="8" t="s">
        <v>164</v>
      </c>
      <c r="E425" s="8" t="s">
        <v>40</v>
      </c>
    </row>
    <row r="426" spans="1:5">
      <c r="A426" s="8">
        <v>1257</v>
      </c>
      <c r="B426" s="8" t="s">
        <v>848</v>
      </c>
      <c r="C426" s="8" t="s">
        <v>849</v>
      </c>
      <c r="D426" s="8" t="s">
        <v>48</v>
      </c>
      <c r="E426" s="8" t="s">
        <v>40</v>
      </c>
    </row>
    <row r="427" spans="1:5">
      <c r="A427" s="8">
        <v>1258</v>
      </c>
      <c r="B427" s="8" t="s">
        <v>850</v>
      </c>
      <c r="C427" s="8" t="s">
        <v>458</v>
      </c>
      <c r="D427" s="8" t="s">
        <v>264</v>
      </c>
      <c r="E427" s="8" t="s">
        <v>40</v>
      </c>
    </row>
    <row r="428" spans="1:5">
      <c r="A428" s="8">
        <v>1259</v>
      </c>
      <c r="B428" s="8" t="s">
        <v>851</v>
      </c>
      <c r="C428" s="8" t="s">
        <v>852</v>
      </c>
      <c r="D428" s="8" t="s">
        <v>132</v>
      </c>
      <c r="E428" s="8" t="s">
        <v>40</v>
      </c>
    </row>
    <row r="429" spans="1:5">
      <c r="A429" s="8">
        <v>1261</v>
      </c>
      <c r="B429" s="8" t="s">
        <v>853</v>
      </c>
      <c r="C429" s="8" t="s">
        <v>854</v>
      </c>
      <c r="D429" s="8" t="s">
        <v>630</v>
      </c>
      <c r="E429" s="8" t="s">
        <v>40</v>
      </c>
    </row>
    <row r="430" spans="1:5">
      <c r="A430" s="8">
        <v>1262</v>
      </c>
      <c r="B430" s="8" t="s">
        <v>855</v>
      </c>
      <c r="C430" s="8" t="s">
        <v>856</v>
      </c>
      <c r="D430" s="8" t="s">
        <v>159</v>
      </c>
      <c r="E430" s="8" t="s">
        <v>40</v>
      </c>
    </row>
    <row r="431" spans="1:5">
      <c r="A431" s="8">
        <v>1266</v>
      </c>
      <c r="B431" s="8" t="s">
        <v>857</v>
      </c>
      <c r="C431" s="8" t="s">
        <v>858</v>
      </c>
      <c r="D431" s="8" t="s">
        <v>43</v>
      </c>
      <c r="E431" s="8" t="s">
        <v>40</v>
      </c>
    </row>
    <row r="432" spans="1:5">
      <c r="A432" s="8">
        <v>1277</v>
      </c>
      <c r="B432" s="8" t="s">
        <v>859</v>
      </c>
      <c r="C432" s="8" t="s">
        <v>860</v>
      </c>
      <c r="D432" s="8" t="s">
        <v>60</v>
      </c>
      <c r="E432" s="8" t="s">
        <v>40</v>
      </c>
    </row>
    <row r="433" spans="1:5">
      <c r="A433" s="8">
        <v>1279</v>
      </c>
      <c r="B433" s="8" t="s">
        <v>861</v>
      </c>
      <c r="C433" s="8" t="s">
        <v>145</v>
      </c>
      <c r="D433" s="8" t="s">
        <v>48</v>
      </c>
      <c r="E433" s="8" t="s">
        <v>40</v>
      </c>
    </row>
    <row r="434" spans="1:5">
      <c r="A434" s="8">
        <v>1280</v>
      </c>
      <c r="B434" s="8" t="s">
        <v>862</v>
      </c>
      <c r="C434" s="8" t="s">
        <v>648</v>
      </c>
      <c r="D434" s="8" t="s">
        <v>43</v>
      </c>
      <c r="E434" s="8" t="s">
        <v>40</v>
      </c>
    </row>
    <row r="435" spans="1:5">
      <c r="A435" s="8">
        <v>1285</v>
      </c>
      <c r="B435" s="8" t="s">
        <v>863</v>
      </c>
      <c r="C435" s="8" t="s">
        <v>829</v>
      </c>
      <c r="D435" s="8" t="s">
        <v>238</v>
      </c>
      <c r="E435" s="8" t="s">
        <v>239</v>
      </c>
    </row>
    <row r="436" spans="1:5">
      <c r="A436" s="8">
        <v>1287</v>
      </c>
      <c r="B436" s="8" t="s">
        <v>864</v>
      </c>
      <c r="C436" s="8" t="s">
        <v>865</v>
      </c>
      <c r="D436" s="8" t="s">
        <v>319</v>
      </c>
      <c r="E436" s="8" t="s">
        <v>40</v>
      </c>
    </row>
    <row r="437" spans="1:5">
      <c r="A437" s="8">
        <v>1288</v>
      </c>
      <c r="B437" s="8" t="s">
        <v>866</v>
      </c>
      <c r="C437" s="8" t="s">
        <v>867</v>
      </c>
      <c r="D437" s="8" t="s">
        <v>691</v>
      </c>
      <c r="E437" s="8" t="s">
        <v>40</v>
      </c>
    </row>
    <row r="438" spans="1:5">
      <c r="A438" s="8">
        <v>1289</v>
      </c>
      <c r="B438" s="8" t="s">
        <v>868</v>
      </c>
      <c r="C438" s="8" t="s">
        <v>845</v>
      </c>
      <c r="D438" s="8" t="s">
        <v>60</v>
      </c>
      <c r="E438" s="8" t="s">
        <v>40</v>
      </c>
    </row>
    <row r="439" spans="1:5">
      <c r="A439" s="8">
        <v>1290</v>
      </c>
      <c r="B439" s="8" t="s">
        <v>869</v>
      </c>
      <c r="C439" s="8" t="s">
        <v>577</v>
      </c>
      <c r="D439" s="8" t="s">
        <v>92</v>
      </c>
      <c r="E439" s="8" t="s">
        <v>40</v>
      </c>
    </row>
    <row r="440" spans="1:5">
      <c r="A440" s="8">
        <v>1293</v>
      </c>
      <c r="B440" s="8" t="s">
        <v>870</v>
      </c>
      <c r="C440" s="8" t="s">
        <v>871</v>
      </c>
      <c r="D440" s="8" t="s">
        <v>319</v>
      </c>
      <c r="E440" s="8" t="s">
        <v>40</v>
      </c>
    </row>
    <row r="441" spans="1:5">
      <c r="A441" s="8">
        <v>1294</v>
      </c>
      <c r="B441" s="8" t="s">
        <v>872</v>
      </c>
      <c r="C441" s="8" t="s">
        <v>873</v>
      </c>
      <c r="D441" s="8" t="s">
        <v>264</v>
      </c>
      <c r="E441" s="8" t="s">
        <v>40</v>
      </c>
    </row>
    <row r="442" spans="1:5">
      <c r="A442" s="8">
        <v>1296</v>
      </c>
      <c r="B442" s="8" t="s">
        <v>874</v>
      </c>
      <c r="C442" s="8" t="s">
        <v>875</v>
      </c>
      <c r="D442" s="8" t="s">
        <v>164</v>
      </c>
      <c r="E442" s="8" t="s">
        <v>40</v>
      </c>
    </row>
    <row r="443" spans="1:5">
      <c r="A443" s="8">
        <v>1303</v>
      </c>
      <c r="B443" s="8" t="s">
        <v>876</v>
      </c>
      <c r="C443" s="8" t="s">
        <v>877</v>
      </c>
      <c r="D443" s="8" t="s">
        <v>654</v>
      </c>
      <c r="E443" s="8" t="s">
        <v>40</v>
      </c>
    </row>
    <row r="444" spans="1:5">
      <c r="A444" s="8">
        <v>1305</v>
      </c>
      <c r="B444" s="8" t="s">
        <v>878</v>
      </c>
      <c r="C444" s="8" t="s">
        <v>879</v>
      </c>
      <c r="D444" s="8" t="s">
        <v>238</v>
      </c>
      <c r="E444" s="8" t="s">
        <v>239</v>
      </c>
    </row>
    <row r="445" spans="1:5">
      <c r="A445" s="8">
        <v>1306</v>
      </c>
      <c r="B445" s="8" t="s">
        <v>880</v>
      </c>
      <c r="C445" s="8" t="s">
        <v>881</v>
      </c>
      <c r="D445" s="8" t="s">
        <v>132</v>
      </c>
      <c r="E445" s="8" t="s">
        <v>40</v>
      </c>
    </row>
    <row r="446" spans="1:5">
      <c r="A446" s="8">
        <v>1307</v>
      </c>
      <c r="B446" s="8" t="s">
        <v>882</v>
      </c>
      <c r="C446" s="8" t="s">
        <v>883</v>
      </c>
      <c r="D446" s="8" t="s">
        <v>181</v>
      </c>
      <c r="E446" s="8" t="s">
        <v>40</v>
      </c>
    </row>
    <row r="447" spans="1:5">
      <c r="A447" s="8">
        <v>1308</v>
      </c>
      <c r="B447" s="8" t="s">
        <v>884</v>
      </c>
      <c r="C447" s="8" t="s">
        <v>166</v>
      </c>
      <c r="D447" s="8" t="s">
        <v>81</v>
      </c>
      <c r="E447" s="8" t="s">
        <v>40</v>
      </c>
    </row>
    <row r="448" spans="1:5">
      <c r="A448" s="8">
        <v>1310</v>
      </c>
      <c r="B448" s="8" t="s">
        <v>885</v>
      </c>
      <c r="C448" s="8" t="s">
        <v>272</v>
      </c>
      <c r="D448" s="8" t="s">
        <v>238</v>
      </c>
      <c r="E448" s="8" t="s">
        <v>239</v>
      </c>
    </row>
    <row r="449" spans="1:5">
      <c r="A449" s="8">
        <v>1311</v>
      </c>
      <c r="B449" s="8" t="s">
        <v>886</v>
      </c>
      <c r="C449" s="8" t="s">
        <v>887</v>
      </c>
      <c r="D449" s="8" t="s">
        <v>630</v>
      </c>
      <c r="E449" s="8" t="s">
        <v>40</v>
      </c>
    </row>
    <row r="450" spans="1:5">
      <c r="A450" s="8">
        <v>1317</v>
      </c>
      <c r="B450" s="8" t="s">
        <v>888</v>
      </c>
      <c r="C450" s="8" t="s">
        <v>889</v>
      </c>
      <c r="D450" s="8" t="s">
        <v>81</v>
      </c>
      <c r="E450" s="8" t="s">
        <v>40</v>
      </c>
    </row>
    <row r="451" spans="1:5">
      <c r="A451" s="8">
        <v>1318</v>
      </c>
      <c r="B451" s="8" t="s">
        <v>890</v>
      </c>
      <c r="C451" s="8" t="s">
        <v>891</v>
      </c>
      <c r="D451" s="8" t="s">
        <v>264</v>
      </c>
      <c r="E451" s="8" t="s">
        <v>40</v>
      </c>
    </row>
    <row r="452" spans="1:5">
      <c r="A452" s="8">
        <v>1319</v>
      </c>
      <c r="B452" s="8" t="s">
        <v>892</v>
      </c>
      <c r="C452" s="8" t="s">
        <v>893</v>
      </c>
      <c r="D452" s="8" t="s">
        <v>319</v>
      </c>
      <c r="E452" s="8" t="s">
        <v>40</v>
      </c>
    </row>
    <row r="453" spans="1:5">
      <c r="A453" s="8">
        <v>1322</v>
      </c>
      <c r="B453" s="8" t="s">
        <v>894</v>
      </c>
      <c r="C453" s="8" t="s">
        <v>895</v>
      </c>
      <c r="D453" s="8" t="s">
        <v>39</v>
      </c>
      <c r="E453" s="8" t="s">
        <v>40</v>
      </c>
    </row>
    <row r="454" spans="1:5">
      <c r="A454" s="8">
        <v>1323</v>
      </c>
      <c r="B454" s="8" t="s">
        <v>896</v>
      </c>
      <c r="C454" s="8" t="s">
        <v>897</v>
      </c>
      <c r="D454" s="8" t="s">
        <v>43</v>
      </c>
      <c r="E454" s="8" t="s">
        <v>40</v>
      </c>
    </row>
    <row r="455" spans="1:5">
      <c r="A455" s="8">
        <v>1325</v>
      </c>
      <c r="B455" s="8" t="s">
        <v>898</v>
      </c>
      <c r="C455" s="8" t="s">
        <v>829</v>
      </c>
      <c r="D455" s="8" t="s">
        <v>238</v>
      </c>
      <c r="E455" s="8" t="s">
        <v>239</v>
      </c>
    </row>
    <row r="456" spans="1:5">
      <c r="A456" s="8">
        <v>1329</v>
      </c>
      <c r="B456" s="8" t="s">
        <v>899</v>
      </c>
      <c r="C456" s="8" t="s">
        <v>900</v>
      </c>
      <c r="D456" s="8" t="s">
        <v>691</v>
      </c>
      <c r="E456" s="8" t="s">
        <v>40</v>
      </c>
    </row>
    <row r="457" spans="1:5">
      <c r="A457" s="8">
        <v>1332</v>
      </c>
      <c r="B457" s="8" t="s">
        <v>901</v>
      </c>
      <c r="C457" s="8" t="s">
        <v>902</v>
      </c>
      <c r="D457" s="8" t="s">
        <v>208</v>
      </c>
      <c r="E457" s="8" t="s">
        <v>40</v>
      </c>
    </row>
    <row r="458" spans="1:5">
      <c r="A458" s="8">
        <v>1334</v>
      </c>
      <c r="B458" s="8" t="s">
        <v>903</v>
      </c>
      <c r="C458" s="8" t="s">
        <v>607</v>
      </c>
      <c r="D458" s="8" t="s">
        <v>238</v>
      </c>
      <c r="E458" s="8" t="s">
        <v>239</v>
      </c>
    </row>
    <row r="459" spans="1:5">
      <c r="A459" s="8">
        <v>1339</v>
      </c>
      <c r="B459" s="8" t="s">
        <v>904</v>
      </c>
      <c r="C459" s="8" t="s">
        <v>905</v>
      </c>
      <c r="D459" s="8" t="s">
        <v>208</v>
      </c>
      <c r="E459" s="8" t="s">
        <v>40</v>
      </c>
    </row>
    <row r="460" spans="1:5">
      <c r="A460" s="8">
        <v>1350</v>
      </c>
      <c r="B460" s="8" t="s">
        <v>906</v>
      </c>
      <c r="C460" s="8" t="s">
        <v>907</v>
      </c>
      <c r="D460" s="8" t="s">
        <v>116</v>
      </c>
      <c r="E460" s="8" t="s">
        <v>40</v>
      </c>
    </row>
    <row r="461" spans="1:5">
      <c r="A461" s="8">
        <v>1351</v>
      </c>
      <c r="B461" s="8" t="s">
        <v>908</v>
      </c>
      <c r="C461" s="8" t="s">
        <v>304</v>
      </c>
      <c r="D461" s="8" t="s">
        <v>43</v>
      </c>
      <c r="E461" s="8" t="s">
        <v>40</v>
      </c>
    </row>
    <row r="462" spans="1:5">
      <c r="A462" s="8">
        <v>1359</v>
      </c>
      <c r="B462" s="8" t="s">
        <v>909</v>
      </c>
      <c r="C462" s="8" t="s">
        <v>910</v>
      </c>
      <c r="D462" s="8" t="s">
        <v>603</v>
      </c>
      <c r="E462" s="8" t="s">
        <v>40</v>
      </c>
    </row>
    <row r="463" spans="1:5">
      <c r="A463" s="8">
        <v>1360</v>
      </c>
      <c r="B463" s="8" t="s">
        <v>911</v>
      </c>
      <c r="C463" s="8" t="s">
        <v>607</v>
      </c>
      <c r="D463" s="8" t="s">
        <v>238</v>
      </c>
      <c r="E463" s="8" t="s">
        <v>239</v>
      </c>
    </row>
    <row r="464" spans="1:5">
      <c r="A464" s="8">
        <v>1369</v>
      </c>
      <c r="B464" s="8" t="s">
        <v>912</v>
      </c>
      <c r="C464" s="8" t="s">
        <v>913</v>
      </c>
      <c r="D464" s="8" t="s">
        <v>57</v>
      </c>
      <c r="E464" s="8" t="s">
        <v>40</v>
      </c>
    </row>
    <row r="465" spans="1:5">
      <c r="A465" s="8">
        <v>1370</v>
      </c>
      <c r="B465" s="8" t="s">
        <v>914</v>
      </c>
      <c r="C465" s="8" t="s">
        <v>168</v>
      </c>
      <c r="D465" s="8" t="s">
        <v>396</v>
      </c>
      <c r="E465" s="8" t="s">
        <v>40</v>
      </c>
    </row>
    <row r="466" spans="1:5">
      <c r="A466" s="8">
        <v>1374</v>
      </c>
      <c r="B466" s="8" t="s">
        <v>915</v>
      </c>
      <c r="C466" s="8" t="s">
        <v>607</v>
      </c>
      <c r="D466" s="8" t="s">
        <v>238</v>
      </c>
      <c r="E466" s="8" t="s">
        <v>239</v>
      </c>
    </row>
    <row r="467" spans="1:5">
      <c r="A467" s="8">
        <v>1378</v>
      </c>
      <c r="B467" s="8" t="s">
        <v>916</v>
      </c>
      <c r="C467" s="8" t="s">
        <v>917</v>
      </c>
      <c r="D467" s="8" t="s">
        <v>388</v>
      </c>
      <c r="E467" s="8" t="s">
        <v>40</v>
      </c>
    </row>
    <row r="468" spans="1:5">
      <c r="A468" s="8">
        <v>1382</v>
      </c>
      <c r="B468" s="8" t="s">
        <v>918</v>
      </c>
      <c r="C468" s="8" t="s">
        <v>919</v>
      </c>
      <c r="D468" s="8" t="s">
        <v>920</v>
      </c>
      <c r="E468" s="8" t="s">
        <v>409</v>
      </c>
    </row>
    <row r="469" spans="1:5">
      <c r="A469" s="8">
        <v>1388</v>
      </c>
      <c r="B469" s="8" t="s">
        <v>415</v>
      </c>
      <c r="C469" s="8" t="s">
        <v>921</v>
      </c>
      <c r="D469" s="8" t="s">
        <v>43</v>
      </c>
      <c r="E469" s="8" t="s">
        <v>40</v>
      </c>
    </row>
    <row r="470" spans="1:5">
      <c r="A470" s="8">
        <v>1389</v>
      </c>
      <c r="B470" s="8" t="s">
        <v>922</v>
      </c>
      <c r="C470" s="8" t="s">
        <v>923</v>
      </c>
      <c r="D470" s="8" t="s">
        <v>438</v>
      </c>
      <c r="E470" s="8" t="s">
        <v>40</v>
      </c>
    </row>
    <row r="471" spans="1:5">
      <c r="A471" s="8">
        <v>1391</v>
      </c>
      <c r="B471" s="8" t="s">
        <v>924</v>
      </c>
      <c r="C471" s="8" t="s">
        <v>925</v>
      </c>
      <c r="D471" s="8" t="s">
        <v>97</v>
      </c>
      <c r="E471" s="8" t="s">
        <v>40</v>
      </c>
    </row>
    <row r="472" spans="1:5">
      <c r="A472" s="8">
        <v>1398</v>
      </c>
      <c r="B472" s="8" t="s">
        <v>926</v>
      </c>
      <c r="C472" s="8" t="s">
        <v>871</v>
      </c>
      <c r="D472" s="8" t="s">
        <v>319</v>
      </c>
      <c r="E472" s="8" t="s">
        <v>40</v>
      </c>
    </row>
    <row r="473" spans="1:5">
      <c r="A473" s="8">
        <v>1403</v>
      </c>
      <c r="B473" s="8" t="s">
        <v>543</v>
      </c>
      <c r="C473" s="8" t="s">
        <v>927</v>
      </c>
      <c r="D473" s="8" t="s">
        <v>48</v>
      </c>
      <c r="E473" s="8" t="s">
        <v>40</v>
      </c>
    </row>
    <row r="474" spans="1:5">
      <c r="A474" s="8">
        <v>1405</v>
      </c>
      <c r="B474" s="8" t="s">
        <v>928</v>
      </c>
      <c r="C474" s="8" t="s">
        <v>929</v>
      </c>
      <c r="D474" s="8" t="s">
        <v>54</v>
      </c>
      <c r="E474" s="8" t="s">
        <v>40</v>
      </c>
    </row>
    <row r="475" spans="1:5">
      <c r="A475" s="8">
        <v>1410</v>
      </c>
      <c r="B475" s="8" t="s">
        <v>930</v>
      </c>
      <c r="C475" s="8" t="s">
        <v>905</v>
      </c>
      <c r="D475" s="8" t="s">
        <v>208</v>
      </c>
      <c r="E475" s="8" t="s">
        <v>40</v>
      </c>
    </row>
    <row r="476" spans="1:5">
      <c r="A476" s="8">
        <v>1413</v>
      </c>
      <c r="B476" s="8" t="s">
        <v>931</v>
      </c>
      <c r="C476" s="8" t="s">
        <v>932</v>
      </c>
      <c r="D476" s="8" t="s">
        <v>159</v>
      </c>
      <c r="E476" s="8" t="s">
        <v>40</v>
      </c>
    </row>
    <row r="477" spans="1:5">
      <c r="A477" s="8">
        <v>1414</v>
      </c>
      <c r="B477" s="8" t="s">
        <v>933</v>
      </c>
      <c r="C477" s="8" t="s">
        <v>934</v>
      </c>
      <c r="D477" s="8" t="s">
        <v>630</v>
      </c>
      <c r="E477" s="8" t="s">
        <v>40</v>
      </c>
    </row>
    <row r="478" spans="1:5">
      <c r="A478" s="8">
        <v>1418</v>
      </c>
      <c r="B478" s="8" t="s">
        <v>935</v>
      </c>
      <c r="C478" s="8" t="s">
        <v>936</v>
      </c>
      <c r="D478" s="8" t="s">
        <v>159</v>
      </c>
      <c r="E478" s="8" t="s">
        <v>40</v>
      </c>
    </row>
    <row r="479" spans="1:5">
      <c r="A479" s="8">
        <v>1421</v>
      </c>
      <c r="B479" s="8" t="s">
        <v>937</v>
      </c>
      <c r="C479" s="8" t="s">
        <v>938</v>
      </c>
      <c r="D479" s="8" t="s">
        <v>393</v>
      </c>
      <c r="E479" s="8" t="s">
        <v>40</v>
      </c>
    </row>
    <row r="480" spans="1:5">
      <c r="A480" s="8">
        <v>1422</v>
      </c>
      <c r="B480" s="8" t="s">
        <v>939</v>
      </c>
      <c r="C480" s="8" t="s">
        <v>940</v>
      </c>
      <c r="D480" s="8" t="s">
        <v>43</v>
      </c>
      <c r="E480" s="8" t="s">
        <v>40</v>
      </c>
    </row>
    <row r="481" spans="1:5">
      <c r="A481" s="8">
        <v>1425</v>
      </c>
      <c r="B481" s="8" t="s">
        <v>941</v>
      </c>
      <c r="C481" s="8" t="s">
        <v>942</v>
      </c>
      <c r="D481" s="8" t="s">
        <v>603</v>
      </c>
      <c r="E481" s="8" t="s">
        <v>40</v>
      </c>
    </row>
    <row r="482" spans="1:5">
      <c r="A482" s="8">
        <v>1432</v>
      </c>
      <c r="B482" s="8" t="s">
        <v>943</v>
      </c>
      <c r="C482" s="8" t="s">
        <v>944</v>
      </c>
      <c r="D482" s="8" t="s">
        <v>603</v>
      </c>
      <c r="E482" s="8" t="s">
        <v>40</v>
      </c>
    </row>
    <row r="483" spans="1:5">
      <c r="A483" s="8">
        <v>1444</v>
      </c>
      <c r="B483" s="8" t="s">
        <v>945</v>
      </c>
      <c r="C483" s="8" t="s">
        <v>690</v>
      </c>
      <c r="D483" s="8" t="s">
        <v>691</v>
      </c>
      <c r="E483" s="8" t="s">
        <v>40</v>
      </c>
    </row>
    <row r="484" spans="1:5">
      <c r="A484" s="8">
        <v>1446</v>
      </c>
      <c r="B484" s="8" t="s">
        <v>946</v>
      </c>
      <c r="C484" s="8" t="s">
        <v>264</v>
      </c>
      <c r="D484" s="8" t="s">
        <v>947</v>
      </c>
      <c r="E484" s="8" t="s">
        <v>40</v>
      </c>
    </row>
    <row r="485" spans="1:5">
      <c r="A485" s="8">
        <v>1448</v>
      </c>
      <c r="B485" s="8" t="s">
        <v>948</v>
      </c>
      <c r="C485" s="8" t="s">
        <v>949</v>
      </c>
      <c r="D485" s="8" t="s">
        <v>696</v>
      </c>
      <c r="E485" s="8" t="s">
        <v>40</v>
      </c>
    </row>
    <row r="486" spans="1:5">
      <c r="A486" s="8">
        <v>1450</v>
      </c>
      <c r="B486" s="8" t="s">
        <v>950</v>
      </c>
      <c r="C486" s="8" t="s">
        <v>243</v>
      </c>
      <c r="D486" s="8" t="s">
        <v>54</v>
      </c>
      <c r="E486" s="8" t="s">
        <v>40</v>
      </c>
    </row>
    <row r="487" spans="1:5">
      <c r="A487" s="8">
        <v>1452</v>
      </c>
      <c r="B487" s="8" t="s">
        <v>951</v>
      </c>
      <c r="C487" s="8" t="s">
        <v>523</v>
      </c>
      <c r="D487" s="8" t="s">
        <v>43</v>
      </c>
      <c r="E487" s="8" t="s">
        <v>40</v>
      </c>
    </row>
    <row r="488" spans="1:5">
      <c r="A488" s="8">
        <v>1458</v>
      </c>
      <c r="B488" s="8" t="s">
        <v>952</v>
      </c>
      <c r="C488" s="8" t="s">
        <v>648</v>
      </c>
      <c r="D488" s="8" t="s">
        <v>43</v>
      </c>
      <c r="E488" s="8" t="s">
        <v>40</v>
      </c>
    </row>
    <row r="489" spans="1:5">
      <c r="A489" s="8">
        <v>1466</v>
      </c>
      <c r="B489" s="8" t="s">
        <v>953</v>
      </c>
      <c r="C489" s="8" t="s">
        <v>954</v>
      </c>
      <c r="D489" s="8" t="s">
        <v>490</v>
      </c>
      <c r="E489" s="8" t="s">
        <v>40</v>
      </c>
    </row>
    <row r="490" spans="1:5">
      <c r="A490" s="8">
        <v>1468</v>
      </c>
      <c r="B490" s="8" t="s">
        <v>955</v>
      </c>
      <c r="C490" s="8" t="s">
        <v>956</v>
      </c>
      <c r="D490" s="8" t="s">
        <v>54</v>
      </c>
      <c r="E490" s="8" t="s">
        <v>40</v>
      </c>
    </row>
    <row r="491" spans="1:5">
      <c r="A491" s="8">
        <v>1474</v>
      </c>
      <c r="B491" s="8" t="s">
        <v>957</v>
      </c>
      <c r="C491" s="8" t="s">
        <v>958</v>
      </c>
      <c r="D491" s="8" t="s">
        <v>60</v>
      </c>
      <c r="E491" s="8" t="s">
        <v>40</v>
      </c>
    </row>
    <row r="492" spans="1:5">
      <c r="A492" s="8">
        <v>1477</v>
      </c>
      <c r="B492" s="8" t="s">
        <v>959</v>
      </c>
      <c r="C492" s="8" t="s">
        <v>960</v>
      </c>
      <c r="D492" s="8" t="s">
        <v>164</v>
      </c>
      <c r="E492" s="8" t="s">
        <v>40</v>
      </c>
    </row>
    <row r="493" spans="1:5">
      <c r="A493" s="8">
        <v>1481</v>
      </c>
      <c r="B493" s="8" t="s">
        <v>961</v>
      </c>
      <c r="C493" s="8" t="s">
        <v>229</v>
      </c>
      <c r="D493" s="8" t="s">
        <v>39</v>
      </c>
      <c r="E493" s="8" t="s">
        <v>40</v>
      </c>
    </row>
    <row r="494" spans="1:5">
      <c r="A494" s="8">
        <v>1482</v>
      </c>
      <c r="B494" s="8" t="s">
        <v>962</v>
      </c>
      <c r="C494" s="8" t="s">
        <v>963</v>
      </c>
      <c r="D494" s="8" t="s">
        <v>964</v>
      </c>
      <c r="E494" s="8" t="s">
        <v>239</v>
      </c>
    </row>
    <row r="495" spans="1:5">
      <c r="A495" s="8">
        <v>1492</v>
      </c>
      <c r="B495" s="8" t="s">
        <v>965</v>
      </c>
      <c r="C495" s="8" t="s">
        <v>966</v>
      </c>
      <c r="D495" s="8" t="s">
        <v>92</v>
      </c>
      <c r="E495" s="8" t="s">
        <v>40</v>
      </c>
    </row>
    <row r="496" spans="1:5">
      <c r="A496" s="8">
        <v>1493</v>
      </c>
      <c r="B496" s="8" t="s">
        <v>967</v>
      </c>
      <c r="C496" s="8" t="s">
        <v>707</v>
      </c>
      <c r="D496" s="8" t="s">
        <v>54</v>
      </c>
      <c r="E496" s="8" t="s">
        <v>40</v>
      </c>
    </row>
    <row r="497" spans="1:5">
      <c r="A497" s="8">
        <v>1495</v>
      </c>
      <c r="B497" s="8" t="s">
        <v>903</v>
      </c>
      <c r="C497" s="8" t="s">
        <v>968</v>
      </c>
      <c r="D497" s="8" t="s">
        <v>97</v>
      </c>
      <c r="E497" s="8" t="s">
        <v>40</v>
      </c>
    </row>
    <row r="498" spans="1:5">
      <c r="A498" s="8">
        <v>1501</v>
      </c>
      <c r="B498" s="8" t="s">
        <v>969</v>
      </c>
      <c r="C498" s="8" t="s">
        <v>970</v>
      </c>
      <c r="D498" s="8" t="s">
        <v>79</v>
      </c>
      <c r="E498" s="8" t="s">
        <v>40</v>
      </c>
    </row>
    <row r="499" spans="1:5">
      <c r="A499" s="8">
        <v>1502</v>
      </c>
      <c r="B499" s="8" t="s">
        <v>971</v>
      </c>
      <c r="C499" s="8" t="s">
        <v>972</v>
      </c>
      <c r="D499" s="8" t="s">
        <v>39</v>
      </c>
      <c r="E499" s="8" t="s">
        <v>40</v>
      </c>
    </row>
    <row r="500" spans="1:5">
      <c r="A500" s="8">
        <v>1504</v>
      </c>
      <c r="B500" s="8" t="s">
        <v>973</v>
      </c>
      <c r="C500" s="8" t="s">
        <v>974</v>
      </c>
      <c r="D500" s="8" t="s">
        <v>39</v>
      </c>
      <c r="E500" s="8" t="s">
        <v>40</v>
      </c>
    </row>
    <row r="501" spans="1:5">
      <c r="A501" s="8">
        <v>1506</v>
      </c>
      <c r="B501" s="8" t="s">
        <v>975</v>
      </c>
      <c r="C501" s="8" t="s">
        <v>345</v>
      </c>
      <c r="D501" s="8" t="s">
        <v>39</v>
      </c>
      <c r="E501" s="8" t="s">
        <v>40</v>
      </c>
    </row>
    <row r="502" spans="1:5">
      <c r="A502" s="8">
        <v>1507</v>
      </c>
      <c r="B502" s="8" t="s">
        <v>976</v>
      </c>
      <c r="C502" s="8" t="s">
        <v>977</v>
      </c>
      <c r="D502" s="8" t="s">
        <v>54</v>
      </c>
      <c r="E502" s="8" t="s">
        <v>40</v>
      </c>
    </row>
    <row r="503" spans="1:5">
      <c r="A503" s="8">
        <v>1510</v>
      </c>
      <c r="B503" s="8" t="s">
        <v>884</v>
      </c>
      <c r="C503" s="8" t="s">
        <v>978</v>
      </c>
      <c r="D503" s="8" t="s">
        <v>603</v>
      </c>
      <c r="E503" s="8" t="s">
        <v>40</v>
      </c>
    </row>
    <row r="504" spans="1:5">
      <c r="A504" s="8">
        <v>1511</v>
      </c>
      <c r="B504" s="8" t="s">
        <v>979</v>
      </c>
      <c r="C504" s="8" t="s">
        <v>929</v>
      </c>
      <c r="D504" s="8" t="s">
        <v>54</v>
      </c>
      <c r="E504" s="8" t="s">
        <v>40</v>
      </c>
    </row>
    <row r="505" spans="1:5">
      <c r="A505" s="8">
        <v>1512</v>
      </c>
      <c r="B505" s="8" t="s">
        <v>980</v>
      </c>
      <c r="C505" s="8" t="s">
        <v>981</v>
      </c>
      <c r="D505" s="8" t="s">
        <v>181</v>
      </c>
      <c r="E505" s="8" t="s">
        <v>40</v>
      </c>
    </row>
    <row r="506" spans="1:5">
      <c r="A506" s="8">
        <v>1515</v>
      </c>
      <c r="B506" s="8" t="s">
        <v>982</v>
      </c>
      <c r="C506" s="8" t="s">
        <v>634</v>
      </c>
      <c r="D506" s="8" t="s">
        <v>43</v>
      </c>
      <c r="E506" s="8" t="s">
        <v>40</v>
      </c>
    </row>
    <row r="507" spans="1:5">
      <c r="A507" s="8">
        <v>1517</v>
      </c>
      <c r="B507" s="8" t="s">
        <v>983</v>
      </c>
      <c r="C507" s="8" t="s">
        <v>981</v>
      </c>
      <c r="D507" s="8" t="s">
        <v>181</v>
      </c>
      <c r="E507" s="8" t="s">
        <v>40</v>
      </c>
    </row>
    <row r="508" spans="1:5">
      <c r="A508" s="8">
        <v>1518</v>
      </c>
      <c r="B508" s="8" t="s">
        <v>984</v>
      </c>
      <c r="C508" s="8" t="s">
        <v>985</v>
      </c>
      <c r="D508" s="8" t="s">
        <v>54</v>
      </c>
      <c r="E508" s="8" t="s">
        <v>40</v>
      </c>
    </row>
    <row r="509" spans="1:5">
      <c r="A509" s="8">
        <v>1519</v>
      </c>
      <c r="B509" s="8" t="s">
        <v>986</v>
      </c>
      <c r="C509" s="8" t="s">
        <v>987</v>
      </c>
      <c r="D509" s="8" t="s">
        <v>181</v>
      </c>
      <c r="E509" s="8" t="s">
        <v>40</v>
      </c>
    </row>
    <row r="510" spans="1:5">
      <c r="A510" s="8">
        <v>1522</v>
      </c>
      <c r="B510" s="8" t="s">
        <v>988</v>
      </c>
      <c r="C510" s="8" t="s">
        <v>989</v>
      </c>
      <c r="D510" s="8" t="s">
        <v>159</v>
      </c>
      <c r="E510" s="8" t="s">
        <v>40</v>
      </c>
    </row>
    <row r="511" spans="1:5">
      <c r="A511" s="8">
        <v>1523</v>
      </c>
      <c r="B511" s="8" t="s">
        <v>990</v>
      </c>
      <c r="C511" s="8" t="s">
        <v>991</v>
      </c>
      <c r="D511" s="8" t="s">
        <v>57</v>
      </c>
      <c r="E511" s="8" t="s">
        <v>40</v>
      </c>
    </row>
    <row r="512" spans="1:5">
      <c r="A512" s="8">
        <v>1528</v>
      </c>
      <c r="B512" s="8" t="s">
        <v>992</v>
      </c>
      <c r="C512" s="8" t="s">
        <v>293</v>
      </c>
      <c r="D512" s="8" t="s">
        <v>39</v>
      </c>
      <c r="E512" s="8" t="s">
        <v>40</v>
      </c>
    </row>
    <row r="513" spans="1:5">
      <c r="A513" s="8">
        <v>1529</v>
      </c>
      <c r="B513" s="8" t="s">
        <v>993</v>
      </c>
      <c r="C513" s="8" t="s">
        <v>286</v>
      </c>
      <c r="D513" s="8" t="s">
        <v>79</v>
      </c>
      <c r="E513" s="8" t="s">
        <v>40</v>
      </c>
    </row>
    <row r="514" spans="1:5">
      <c r="A514" s="8">
        <v>1533</v>
      </c>
      <c r="B514" s="8" t="s">
        <v>994</v>
      </c>
      <c r="C514" s="8" t="s">
        <v>995</v>
      </c>
      <c r="D514" s="8" t="s">
        <v>429</v>
      </c>
      <c r="E514" s="8" t="s">
        <v>40</v>
      </c>
    </row>
    <row r="515" spans="1:5">
      <c r="A515" s="8">
        <v>1538</v>
      </c>
      <c r="B515" s="8" t="s">
        <v>996</v>
      </c>
      <c r="C515" s="8" t="s">
        <v>858</v>
      </c>
      <c r="D515" s="8" t="s">
        <v>43</v>
      </c>
      <c r="E515" s="8" t="s">
        <v>40</v>
      </c>
    </row>
    <row r="516" spans="1:5">
      <c r="A516" s="8">
        <v>1539</v>
      </c>
      <c r="B516" s="8" t="s">
        <v>997</v>
      </c>
      <c r="C516" s="8" t="s">
        <v>998</v>
      </c>
      <c r="D516" s="8" t="s">
        <v>319</v>
      </c>
      <c r="E516" s="8" t="s">
        <v>40</v>
      </c>
    </row>
    <row r="517" spans="1:5">
      <c r="A517" s="8">
        <v>1540</v>
      </c>
      <c r="B517" s="8" t="s">
        <v>999</v>
      </c>
      <c r="C517" s="8" t="s">
        <v>944</v>
      </c>
      <c r="D517" s="8" t="s">
        <v>603</v>
      </c>
      <c r="E517" s="8" t="s">
        <v>40</v>
      </c>
    </row>
    <row r="518" spans="1:5">
      <c r="A518" s="8">
        <v>1546</v>
      </c>
      <c r="B518" s="8" t="s">
        <v>1000</v>
      </c>
      <c r="C518" s="8" t="s">
        <v>1001</v>
      </c>
      <c r="D518" s="8" t="s">
        <v>54</v>
      </c>
      <c r="E518" s="8" t="s">
        <v>40</v>
      </c>
    </row>
    <row r="519" spans="1:5">
      <c r="A519" s="8">
        <v>1551</v>
      </c>
      <c r="B519" s="8" t="s">
        <v>1002</v>
      </c>
      <c r="C519" s="8" t="s">
        <v>1003</v>
      </c>
      <c r="D519" s="8" t="s">
        <v>54</v>
      </c>
      <c r="E519" s="8" t="s">
        <v>40</v>
      </c>
    </row>
    <row r="520" spans="1:5">
      <c r="A520" s="8">
        <v>1553</v>
      </c>
      <c r="B520" s="8" t="s">
        <v>1004</v>
      </c>
      <c r="C520" s="8" t="s">
        <v>1005</v>
      </c>
      <c r="D520" s="8" t="s">
        <v>319</v>
      </c>
      <c r="E520" s="8" t="s">
        <v>40</v>
      </c>
    </row>
    <row r="521" spans="1:5">
      <c r="A521" s="8">
        <v>1554</v>
      </c>
      <c r="B521" s="8" t="s">
        <v>1006</v>
      </c>
      <c r="C521" s="8" t="s">
        <v>1007</v>
      </c>
      <c r="D521" s="8" t="s">
        <v>54</v>
      </c>
      <c r="E521" s="8" t="s">
        <v>40</v>
      </c>
    </row>
    <row r="522" spans="1:5">
      <c r="A522" s="8">
        <v>1555</v>
      </c>
      <c r="B522" s="8" t="s">
        <v>1008</v>
      </c>
      <c r="C522" s="8" t="s">
        <v>1009</v>
      </c>
      <c r="D522" s="8" t="s">
        <v>79</v>
      </c>
      <c r="E522" s="8" t="s">
        <v>40</v>
      </c>
    </row>
    <row r="523" spans="1:5">
      <c r="A523" s="8">
        <v>1557</v>
      </c>
      <c r="B523" s="8" t="s">
        <v>1010</v>
      </c>
      <c r="C523" s="8" t="s">
        <v>1011</v>
      </c>
      <c r="D523" s="8" t="s">
        <v>57</v>
      </c>
      <c r="E523" s="8" t="s">
        <v>40</v>
      </c>
    </row>
    <row r="524" spans="1:5">
      <c r="A524" s="8">
        <v>1559</v>
      </c>
      <c r="B524" s="8" t="s">
        <v>1012</v>
      </c>
      <c r="C524" s="8" t="s">
        <v>1013</v>
      </c>
      <c r="D524" s="8" t="s">
        <v>54</v>
      </c>
      <c r="E524" s="8" t="s">
        <v>40</v>
      </c>
    </row>
    <row r="525" spans="1:5">
      <c r="A525" s="8">
        <v>1561</v>
      </c>
      <c r="B525" s="8" t="s">
        <v>1014</v>
      </c>
      <c r="C525" s="8" t="s">
        <v>1015</v>
      </c>
      <c r="D525" s="8" t="s">
        <v>69</v>
      </c>
      <c r="E525" s="8" t="s">
        <v>40</v>
      </c>
    </row>
    <row r="526" spans="1:5">
      <c r="A526" s="8">
        <v>1566</v>
      </c>
      <c r="B526" s="8" t="s">
        <v>1016</v>
      </c>
      <c r="C526" s="8" t="s">
        <v>1017</v>
      </c>
      <c r="D526" s="8" t="s">
        <v>1018</v>
      </c>
      <c r="E526" s="8" t="s">
        <v>40</v>
      </c>
    </row>
    <row r="527" spans="1:5">
      <c r="A527" s="8">
        <v>1569</v>
      </c>
      <c r="B527" s="8" t="s">
        <v>1019</v>
      </c>
      <c r="C527" s="8" t="s">
        <v>1020</v>
      </c>
      <c r="D527" s="8" t="s">
        <v>1018</v>
      </c>
      <c r="E527" s="8" t="s">
        <v>40</v>
      </c>
    </row>
    <row r="528" spans="1:5">
      <c r="A528" s="8">
        <v>1571</v>
      </c>
      <c r="B528" s="8" t="s">
        <v>1021</v>
      </c>
      <c r="C528" s="8" t="s">
        <v>1022</v>
      </c>
      <c r="D528" s="8" t="s">
        <v>603</v>
      </c>
      <c r="E528" s="8" t="s">
        <v>40</v>
      </c>
    </row>
    <row r="529" spans="1:5">
      <c r="A529" s="8">
        <v>1572</v>
      </c>
      <c r="B529" s="8" t="s">
        <v>1023</v>
      </c>
      <c r="C529" s="8" t="s">
        <v>858</v>
      </c>
      <c r="D529" s="8" t="s">
        <v>43</v>
      </c>
      <c r="E529" s="8" t="s">
        <v>40</v>
      </c>
    </row>
    <row r="530" spans="1:5">
      <c r="A530" s="8">
        <v>1573</v>
      </c>
      <c r="B530" s="8" t="s">
        <v>1024</v>
      </c>
      <c r="C530" s="8" t="s">
        <v>1024</v>
      </c>
      <c r="D530" s="8" t="s">
        <v>1025</v>
      </c>
      <c r="E530" s="8" t="s">
        <v>1026</v>
      </c>
    </row>
    <row r="531" spans="1:5">
      <c r="A531" s="8">
        <v>1574</v>
      </c>
      <c r="B531" s="8" t="s">
        <v>1027</v>
      </c>
      <c r="C531" s="8" t="s">
        <v>1028</v>
      </c>
      <c r="D531" s="8" t="s">
        <v>1025</v>
      </c>
      <c r="E531" s="8" t="s">
        <v>1026</v>
      </c>
    </row>
    <row r="532" spans="1:5">
      <c r="A532" s="8">
        <v>1576</v>
      </c>
      <c r="B532" s="8" t="s">
        <v>1029</v>
      </c>
      <c r="C532" s="8" t="s">
        <v>1030</v>
      </c>
      <c r="D532" s="8" t="s">
        <v>1031</v>
      </c>
      <c r="E532" s="8" t="s">
        <v>1026</v>
      </c>
    </row>
    <row r="533" spans="1:5">
      <c r="A533" s="8">
        <v>1577</v>
      </c>
      <c r="B533" s="8" t="s">
        <v>1032</v>
      </c>
      <c r="C533" s="8" t="s">
        <v>1033</v>
      </c>
      <c r="D533" s="8" t="s">
        <v>1034</v>
      </c>
      <c r="E533" s="8" t="s">
        <v>1026</v>
      </c>
    </row>
    <row r="534" spans="1:5">
      <c r="A534" s="8">
        <v>1580</v>
      </c>
      <c r="B534" s="8" t="s">
        <v>1035</v>
      </c>
      <c r="C534" s="8" t="s">
        <v>1036</v>
      </c>
      <c r="D534" s="8" t="s">
        <v>1037</v>
      </c>
      <c r="E534" s="8" t="s">
        <v>1026</v>
      </c>
    </row>
    <row r="535" spans="1:5">
      <c r="A535" s="8">
        <v>1583</v>
      </c>
      <c r="B535" s="8" t="s">
        <v>1038</v>
      </c>
      <c r="C535" s="8" t="s">
        <v>1039</v>
      </c>
      <c r="D535" s="8" t="s">
        <v>208</v>
      </c>
      <c r="E535" s="8" t="s">
        <v>40</v>
      </c>
    </row>
    <row r="536" spans="1:5">
      <c r="A536" s="8">
        <v>1584</v>
      </c>
      <c r="B536" s="8" t="s">
        <v>1040</v>
      </c>
      <c r="C536" s="8" t="s">
        <v>1041</v>
      </c>
      <c r="D536" s="8" t="s">
        <v>208</v>
      </c>
      <c r="E536" s="8" t="s">
        <v>40</v>
      </c>
    </row>
    <row r="537" spans="1:5">
      <c r="A537" s="8">
        <v>1585</v>
      </c>
      <c r="B537" s="8" t="s">
        <v>1042</v>
      </c>
      <c r="C537" s="8" t="s">
        <v>1043</v>
      </c>
      <c r="D537" s="8" t="s">
        <v>54</v>
      </c>
      <c r="E537" s="8" t="s">
        <v>40</v>
      </c>
    </row>
    <row r="538" spans="1:5">
      <c r="A538" s="8">
        <v>1590</v>
      </c>
      <c r="B538" s="8" t="s">
        <v>1044</v>
      </c>
      <c r="C538" s="8" t="s">
        <v>1045</v>
      </c>
      <c r="D538" s="8" t="s">
        <v>81</v>
      </c>
      <c r="E538" s="8" t="s">
        <v>40</v>
      </c>
    </row>
    <row r="539" spans="1:5">
      <c r="A539" s="8">
        <v>1591</v>
      </c>
      <c r="B539" s="8" t="s">
        <v>1046</v>
      </c>
      <c r="C539" s="8" t="s">
        <v>243</v>
      </c>
      <c r="D539" s="8" t="s">
        <v>54</v>
      </c>
      <c r="E539" s="8" t="s">
        <v>40</v>
      </c>
    </row>
    <row r="540" spans="1:5">
      <c r="A540" s="8">
        <v>1592</v>
      </c>
      <c r="B540" s="8" t="s">
        <v>1047</v>
      </c>
      <c r="C540" s="8" t="s">
        <v>1048</v>
      </c>
      <c r="D540" s="8" t="s">
        <v>57</v>
      </c>
      <c r="E540" s="8" t="s">
        <v>40</v>
      </c>
    </row>
    <row r="541" spans="1:5">
      <c r="A541" s="8">
        <v>1595</v>
      </c>
      <c r="B541" s="8" t="s">
        <v>337</v>
      </c>
      <c r="C541" s="8" t="s">
        <v>1049</v>
      </c>
      <c r="D541" s="8" t="s">
        <v>264</v>
      </c>
      <c r="E541" s="8" t="s">
        <v>40</v>
      </c>
    </row>
    <row r="542" spans="1:5">
      <c r="A542" s="8">
        <v>1596</v>
      </c>
      <c r="B542" s="8" t="s">
        <v>1050</v>
      </c>
      <c r="C542" s="8" t="s">
        <v>1051</v>
      </c>
      <c r="D542" s="8" t="s">
        <v>39</v>
      </c>
      <c r="E542" s="8" t="s">
        <v>40</v>
      </c>
    </row>
    <row r="543" spans="1:5">
      <c r="A543" s="8">
        <v>1598</v>
      </c>
      <c r="B543" s="8" t="s">
        <v>1052</v>
      </c>
      <c r="C543" s="8" t="s">
        <v>648</v>
      </c>
      <c r="D543" s="8" t="s">
        <v>159</v>
      </c>
      <c r="E543" s="8" t="s">
        <v>40</v>
      </c>
    </row>
    <row r="544" spans="1:5">
      <c r="A544" s="8">
        <v>1599</v>
      </c>
      <c r="B544" s="8" t="s">
        <v>1053</v>
      </c>
      <c r="C544" s="8" t="s">
        <v>989</v>
      </c>
      <c r="D544" s="8" t="s">
        <v>159</v>
      </c>
      <c r="E544" s="8" t="s">
        <v>40</v>
      </c>
    </row>
    <row r="545" spans="1:5">
      <c r="A545" s="8">
        <v>1600</v>
      </c>
      <c r="B545" s="8" t="s">
        <v>1054</v>
      </c>
      <c r="C545" s="8" t="s">
        <v>359</v>
      </c>
      <c r="D545" s="8" t="s">
        <v>54</v>
      </c>
      <c r="E545" s="8" t="s">
        <v>40</v>
      </c>
    </row>
    <row r="546" spans="1:5">
      <c r="A546" s="8">
        <v>1601</v>
      </c>
      <c r="B546" s="8" t="s">
        <v>1055</v>
      </c>
      <c r="C546" s="8" t="s">
        <v>1056</v>
      </c>
      <c r="D546" s="8" t="s">
        <v>54</v>
      </c>
      <c r="E546" s="8" t="s">
        <v>40</v>
      </c>
    </row>
    <row r="547" spans="1:5">
      <c r="A547" s="8">
        <v>1610</v>
      </c>
      <c r="B547" s="8" t="s">
        <v>1057</v>
      </c>
      <c r="C547" s="8" t="s">
        <v>1058</v>
      </c>
      <c r="D547" s="8" t="s">
        <v>159</v>
      </c>
      <c r="E547" s="8" t="s">
        <v>40</v>
      </c>
    </row>
    <row r="548" spans="1:5">
      <c r="A548" s="8">
        <v>1619</v>
      </c>
      <c r="B548" s="8" t="s">
        <v>1059</v>
      </c>
      <c r="C548" s="8" t="s">
        <v>1060</v>
      </c>
      <c r="D548" s="8" t="s">
        <v>208</v>
      </c>
      <c r="E548" s="8" t="s">
        <v>40</v>
      </c>
    </row>
    <row r="549" spans="1:5">
      <c r="A549" s="8">
        <v>1622</v>
      </c>
      <c r="B549" s="8" t="s">
        <v>1061</v>
      </c>
      <c r="C549" s="8" t="s">
        <v>1062</v>
      </c>
      <c r="D549" s="8" t="s">
        <v>43</v>
      </c>
      <c r="E549" s="8" t="s">
        <v>40</v>
      </c>
    </row>
    <row r="550" spans="1:5">
      <c r="A550" s="8">
        <v>1625</v>
      </c>
      <c r="B550" s="8" t="s">
        <v>1063</v>
      </c>
      <c r="C550" s="8" t="s">
        <v>1064</v>
      </c>
      <c r="D550" s="8" t="s">
        <v>121</v>
      </c>
      <c r="E550" s="8" t="s">
        <v>40</v>
      </c>
    </row>
    <row r="551" spans="1:5">
      <c r="A551" s="8">
        <v>1626</v>
      </c>
      <c r="B551" s="8" t="s">
        <v>640</v>
      </c>
      <c r="C551" s="8" t="s">
        <v>1065</v>
      </c>
      <c r="D551" s="8" t="s">
        <v>48</v>
      </c>
      <c r="E551" s="8" t="s">
        <v>40</v>
      </c>
    </row>
    <row r="552" spans="1:5">
      <c r="A552" s="8">
        <v>1629</v>
      </c>
      <c r="B552" s="8" t="s">
        <v>1066</v>
      </c>
      <c r="C552" s="8" t="s">
        <v>1067</v>
      </c>
      <c r="D552" s="8" t="s">
        <v>438</v>
      </c>
      <c r="E552" s="8" t="s">
        <v>40</v>
      </c>
    </row>
    <row r="553" spans="1:5">
      <c r="A553" s="8">
        <v>1633</v>
      </c>
      <c r="B553" s="8" t="s">
        <v>1068</v>
      </c>
      <c r="C553" s="8" t="s">
        <v>966</v>
      </c>
      <c r="D553" s="8" t="s">
        <v>92</v>
      </c>
      <c r="E553" s="8" t="s">
        <v>40</v>
      </c>
    </row>
    <row r="554" spans="1:5">
      <c r="A554" s="8">
        <v>1635</v>
      </c>
      <c r="B554" s="8" t="s">
        <v>1069</v>
      </c>
      <c r="C554" s="8" t="s">
        <v>1070</v>
      </c>
      <c r="D554" s="8" t="s">
        <v>54</v>
      </c>
      <c r="E554" s="8" t="s">
        <v>40</v>
      </c>
    </row>
    <row r="555" spans="1:5">
      <c r="A555" s="8">
        <v>1640</v>
      </c>
      <c r="B555" s="8" t="s">
        <v>1071</v>
      </c>
      <c r="C555" s="8" t="s">
        <v>1072</v>
      </c>
      <c r="D555" s="8" t="s">
        <v>97</v>
      </c>
      <c r="E555" s="8" t="s">
        <v>40</v>
      </c>
    </row>
    <row r="556" spans="1:5">
      <c r="A556" s="8">
        <v>1642</v>
      </c>
      <c r="B556" s="8" t="s">
        <v>1073</v>
      </c>
      <c r="C556" s="8" t="s">
        <v>1074</v>
      </c>
      <c r="D556" s="8" t="s">
        <v>164</v>
      </c>
      <c r="E556" s="8" t="s">
        <v>40</v>
      </c>
    </row>
    <row r="557" spans="1:5">
      <c r="A557" s="8">
        <v>1646</v>
      </c>
      <c r="B557" s="8" t="s">
        <v>1075</v>
      </c>
      <c r="C557" s="8" t="s">
        <v>1076</v>
      </c>
      <c r="D557" s="8" t="s">
        <v>79</v>
      </c>
      <c r="E557" s="8" t="s">
        <v>40</v>
      </c>
    </row>
    <row r="558" spans="1:5">
      <c r="A558" s="8">
        <v>1647</v>
      </c>
      <c r="B558" s="8" t="s">
        <v>1077</v>
      </c>
      <c r="C558" s="8" t="s">
        <v>1078</v>
      </c>
      <c r="D558" s="8" t="s">
        <v>48</v>
      </c>
      <c r="E558" s="8" t="s">
        <v>40</v>
      </c>
    </row>
    <row r="559" spans="1:5">
      <c r="A559" s="8">
        <v>1648</v>
      </c>
      <c r="B559" s="8" t="s">
        <v>1079</v>
      </c>
      <c r="C559" s="8" t="s">
        <v>934</v>
      </c>
      <c r="D559" s="8" t="s">
        <v>630</v>
      </c>
      <c r="E559" s="8" t="s">
        <v>40</v>
      </c>
    </row>
    <row r="560" spans="1:5">
      <c r="A560" s="8">
        <v>1649</v>
      </c>
      <c r="B560" s="8" t="s">
        <v>1080</v>
      </c>
      <c r="C560" s="8" t="s">
        <v>1081</v>
      </c>
      <c r="D560" s="8" t="s">
        <v>57</v>
      </c>
      <c r="E560" s="8" t="s">
        <v>40</v>
      </c>
    </row>
    <row r="561" spans="1:5">
      <c r="A561" s="8">
        <v>1657</v>
      </c>
      <c r="B561" s="8" t="s">
        <v>1082</v>
      </c>
      <c r="C561" s="8" t="s">
        <v>1083</v>
      </c>
      <c r="D561" s="8" t="s">
        <v>1025</v>
      </c>
      <c r="E561" s="8" t="s">
        <v>1026</v>
      </c>
    </row>
    <row r="562" spans="1:5">
      <c r="A562" s="8">
        <v>1658</v>
      </c>
      <c r="B562" s="8" t="s">
        <v>1084</v>
      </c>
      <c r="C562" s="8" t="s">
        <v>900</v>
      </c>
      <c r="D562" s="8" t="s">
        <v>691</v>
      </c>
      <c r="E562" s="8" t="s">
        <v>40</v>
      </c>
    </row>
    <row r="563" spans="1:5">
      <c r="A563" s="8">
        <v>1660</v>
      </c>
      <c r="B563" s="8" t="s">
        <v>1085</v>
      </c>
      <c r="C563" s="8" t="s">
        <v>54</v>
      </c>
      <c r="D563" s="8" t="s">
        <v>54</v>
      </c>
      <c r="E563" s="8" t="s">
        <v>40</v>
      </c>
    </row>
    <row r="564" spans="1:5">
      <c r="A564" s="8">
        <v>1661</v>
      </c>
      <c r="B564" s="8" t="s">
        <v>1086</v>
      </c>
      <c r="C564" s="8" t="s">
        <v>1087</v>
      </c>
      <c r="D564" s="8" t="s">
        <v>43</v>
      </c>
      <c r="E564" s="8" t="s">
        <v>40</v>
      </c>
    </row>
    <row r="565" spans="1:5">
      <c r="A565" s="8">
        <v>1662</v>
      </c>
      <c r="B565" s="8" t="s">
        <v>1088</v>
      </c>
      <c r="C565" s="8" t="s">
        <v>1089</v>
      </c>
      <c r="D565" s="8" t="s">
        <v>43</v>
      </c>
      <c r="E565" s="8" t="s">
        <v>40</v>
      </c>
    </row>
    <row r="566" spans="1:5">
      <c r="A566" s="8">
        <v>1665</v>
      </c>
      <c r="B566" s="8" t="s">
        <v>1090</v>
      </c>
      <c r="C566" s="8" t="s">
        <v>1091</v>
      </c>
      <c r="D566" s="8" t="s">
        <v>54</v>
      </c>
      <c r="E566" s="8" t="s">
        <v>40</v>
      </c>
    </row>
    <row r="567" spans="1:5">
      <c r="A567" s="8">
        <v>1671</v>
      </c>
      <c r="B567" s="8" t="s">
        <v>1092</v>
      </c>
      <c r="C567" s="8" t="s">
        <v>1093</v>
      </c>
      <c r="D567" s="8" t="s">
        <v>43</v>
      </c>
      <c r="E567" s="8" t="s">
        <v>40</v>
      </c>
    </row>
    <row r="568" spans="1:5">
      <c r="A568" s="8">
        <v>1672</v>
      </c>
      <c r="B568" s="8" t="s">
        <v>1094</v>
      </c>
      <c r="C568" s="8" t="s">
        <v>1095</v>
      </c>
      <c r="D568" s="8" t="s">
        <v>48</v>
      </c>
      <c r="E568" s="8" t="s">
        <v>40</v>
      </c>
    </row>
    <row r="569" spans="1:5">
      <c r="A569" s="8">
        <v>1675</v>
      </c>
      <c r="B569" s="8" t="s">
        <v>1096</v>
      </c>
      <c r="C569" s="8" t="s">
        <v>1097</v>
      </c>
      <c r="D569" s="8" t="s">
        <v>132</v>
      </c>
      <c r="E569" s="8" t="s">
        <v>40</v>
      </c>
    </row>
    <row r="570" spans="1:5">
      <c r="A570" s="8">
        <v>1676</v>
      </c>
      <c r="B570" s="8" t="s">
        <v>1098</v>
      </c>
      <c r="C570" s="8" t="s">
        <v>1099</v>
      </c>
      <c r="D570" s="8" t="s">
        <v>48</v>
      </c>
      <c r="E570" s="8" t="s">
        <v>40</v>
      </c>
    </row>
    <row r="571" spans="1:5">
      <c r="A571" s="8">
        <v>1677</v>
      </c>
      <c r="B571" s="8" t="s">
        <v>1100</v>
      </c>
      <c r="C571" s="8" t="s">
        <v>1101</v>
      </c>
      <c r="D571" s="8" t="s">
        <v>39</v>
      </c>
      <c r="E571" s="8" t="s">
        <v>40</v>
      </c>
    </row>
    <row r="572" spans="1:5">
      <c r="A572" s="8">
        <v>1678</v>
      </c>
      <c r="B572" s="8" t="s">
        <v>1102</v>
      </c>
      <c r="C572" s="8" t="s">
        <v>1103</v>
      </c>
      <c r="D572" s="8" t="s">
        <v>43</v>
      </c>
      <c r="E572" s="8" t="s">
        <v>40</v>
      </c>
    </row>
    <row r="573" spans="1:5">
      <c r="A573" s="8">
        <v>1683</v>
      </c>
      <c r="B573" s="8" t="s">
        <v>1104</v>
      </c>
      <c r="C573" s="8" t="s">
        <v>1105</v>
      </c>
      <c r="D573" s="8" t="s">
        <v>630</v>
      </c>
      <c r="E573" s="8" t="s">
        <v>40</v>
      </c>
    </row>
    <row r="574" spans="1:5">
      <c r="A574" s="8">
        <v>1684</v>
      </c>
      <c r="B574" s="8" t="s">
        <v>1106</v>
      </c>
      <c r="C574" s="8" t="s">
        <v>1107</v>
      </c>
      <c r="D574" s="8" t="s">
        <v>39</v>
      </c>
      <c r="E574" s="8" t="s">
        <v>40</v>
      </c>
    </row>
    <row r="575" spans="1:5">
      <c r="A575" s="8">
        <v>1690</v>
      </c>
      <c r="B575" s="8" t="s">
        <v>1108</v>
      </c>
      <c r="C575" s="8" t="s">
        <v>1109</v>
      </c>
      <c r="D575" s="8" t="s">
        <v>1025</v>
      </c>
      <c r="E575" s="8" t="s">
        <v>1026</v>
      </c>
    </row>
    <row r="576" spans="1:5">
      <c r="A576" s="8">
        <v>1699</v>
      </c>
      <c r="B576" s="8" t="s">
        <v>1110</v>
      </c>
      <c r="C576" s="8" t="s">
        <v>1111</v>
      </c>
      <c r="D576" s="8" t="s">
        <v>201</v>
      </c>
      <c r="E576" s="8" t="s">
        <v>40</v>
      </c>
    </row>
    <row r="577" spans="1:5">
      <c r="A577" s="8">
        <v>1700</v>
      </c>
      <c r="B577" s="8" t="s">
        <v>1112</v>
      </c>
      <c r="C577" s="8" t="s">
        <v>45</v>
      </c>
      <c r="D577" s="8" t="s">
        <v>43</v>
      </c>
      <c r="E577" s="8" t="s">
        <v>40</v>
      </c>
    </row>
    <row r="578" spans="1:5">
      <c r="A578" s="8">
        <v>1701</v>
      </c>
      <c r="B578" s="8" t="s">
        <v>1113</v>
      </c>
      <c r="C578" s="8" t="s">
        <v>1114</v>
      </c>
      <c r="D578" s="8" t="s">
        <v>39</v>
      </c>
      <c r="E578" s="8" t="s">
        <v>40</v>
      </c>
    </row>
    <row r="579" spans="1:5">
      <c r="A579" s="8">
        <v>1706</v>
      </c>
      <c r="B579" s="8" t="s">
        <v>1115</v>
      </c>
      <c r="C579" s="8" t="s">
        <v>1116</v>
      </c>
      <c r="D579" s="8" t="s">
        <v>691</v>
      </c>
      <c r="E579" s="8" t="s">
        <v>40</v>
      </c>
    </row>
    <row r="580" spans="1:5">
      <c r="A580" s="8">
        <v>1708</v>
      </c>
      <c r="B580" s="8" t="s">
        <v>1117</v>
      </c>
      <c r="C580" s="8" t="s">
        <v>1118</v>
      </c>
      <c r="D580" s="8" t="s">
        <v>97</v>
      </c>
      <c r="E580" s="8" t="s">
        <v>40</v>
      </c>
    </row>
    <row r="581" spans="1:5">
      <c r="A581" s="8">
        <v>1710</v>
      </c>
      <c r="B581" s="8" t="s">
        <v>1119</v>
      </c>
      <c r="C581" s="8" t="s">
        <v>1120</v>
      </c>
      <c r="D581" s="8" t="s">
        <v>696</v>
      </c>
      <c r="E581" s="8" t="s">
        <v>40</v>
      </c>
    </row>
    <row r="582" spans="1:5">
      <c r="A582" s="8">
        <v>1711</v>
      </c>
      <c r="B582" s="8" t="s">
        <v>1121</v>
      </c>
      <c r="C582" s="8" t="s">
        <v>1122</v>
      </c>
      <c r="D582" s="8" t="s">
        <v>39</v>
      </c>
      <c r="E582" s="8" t="s">
        <v>40</v>
      </c>
    </row>
    <row r="583" spans="1:5">
      <c r="A583" s="8">
        <v>1712</v>
      </c>
      <c r="B583" s="8" t="s">
        <v>1123</v>
      </c>
      <c r="C583" s="8" t="s">
        <v>1124</v>
      </c>
      <c r="D583" s="8" t="s">
        <v>97</v>
      </c>
      <c r="E583" s="8" t="s">
        <v>40</v>
      </c>
    </row>
    <row r="584" spans="1:5">
      <c r="A584" s="8">
        <v>1714</v>
      </c>
      <c r="B584" s="8" t="s">
        <v>1125</v>
      </c>
      <c r="C584" s="8" t="s">
        <v>1097</v>
      </c>
      <c r="D584" s="8" t="s">
        <v>132</v>
      </c>
      <c r="E584" s="8" t="s">
        <v>40</v>
      </c>
    </row>
    <row r="585" spans="1:5">
      <c r="A585" s="8">
        <v>1716</v>
      </c>
      <c r="B585" s="8" t="s">
        <v>1126</v>
      </c>
      <c r="C585" s="8" t="s">
        <v>1127</v>
      </c>
      <c r="D585" s="8" t="s">
        <v>132</v>
      </c>
      <c r="E585" s="8" t="s">
        <v>40</v>
      </c>
    </row>
    <row r="586" spans="1:5">
      <c r="A586" s="8">
        <v>1718</v>
      </c>
      <c r="B586" s="8" t="s">
        <v>1128</v>
      </c>
      <c r="C586" s="8" t="s">
        <v>1129</v>
      </c>
      <c r="D586" s="8" t="s">
        <v>39</v>
      </c>
      <c r="E586" s="8" t="s">
        <v>40</v>
      </c>
    </row>
    <row r="587" spans="1:5">
      <c r="A587" s="8">
        <v>1719</v>
      </c>
      <c r="B587" s="8" t="s">
        <v>1130</v>
      </c>
      <c r="C587" s="8" t="s">
        <v>1131</v>
      </c>
      <c r="D587" s="8" t="s">
        <v>438</v>
      </c>
      <c r="E587" s="8" t="s">
        <v>40</v>
      </c>
    </row>
    <row r="588" spans="1:5">
      <c r="A588" s="8">
        <v>1720</v>
      </c>
      <c r="B588" s="8" t="s">
        <v>1132</v>
      </c>
      <c r="C588" s="8" t="s">
        <v>1133</v>
      </c>
      <c r="D588" s="8" t="s">
        <v>79</v>
      </c>
      <c r="E588" s="8" t="s">
        <v>40</v>
      </c>
    </row>
    <row r="589" spans="1:5">
      <c r="A589" s="8">
        <v>1721</v>
      </c>
      <c r="B589" s="8" t="s">
        <v>1134</v>
      </c>
      <c r="C589" s="8" t="s">
        <v>981</v>
      </c>
      <c r="D589" s="8" t="s">
        <v>181</v>
      </c>
      <c r="E589" s="8" t="s">
        <v>40</v>
      </c>
    </row>
    <row r="590" spans="1:5">
      <c r="A590" s="8">
        <v>1723</v>
      </c>
      <c r="B590" s="8" t="s">
        <v>1135</v>
      </c>
      <c r="C590" s="8" t="s">
        <v>1136</v>
      </c>
      <c r="D590" s="8" t="s">
        <v>691</v>
      </c>
      <c r="E590" s="8" t="s">
        <v>40</v>
      </c>
    </row>
    <row r="591" spans="1:5">
      <c r="A591" s="8">
        <v>1726</v>
      </c>
      <c r="B591" s="8" t="s">
        <v>1137</v>
      </c>
      <c r="C591" s="8" t="s">
        <v>1138</v>
      </c>
      <c r="D591" s="8" t="s">
        <v>92</v>
      </c>
      <c r="E591" s="8" t="s">
        <v>40</v>
      </c>
    </row>
    <row r="592" spans="1:5">
      <c r="A592" s="8">
        <v>1727</v>
      </c>
      <c r="B592" s="8" t="s">
        <v>1139</v>
      </c>
      <c r="C592" s="8" t="s">
        <v>1140</v>
      </c>
      <c r="D592" s="8" t="s">
        <v>438</v>
      </c>
      <c r="E592" s="8" t="s">
        <v>40</v>
      </c>
    </row>
    <row r="593" spans="1:5">
      <c r="A593" s="8">
        <v>1729</v>
      </c>
      <c r="B593" s="8" t="s">
        <v>1141</v>
      </c>
      <c r="C593" s="8" t="s">
        <v>1142</v>
      </c>
      <c r="D593" s="8" t="s">
        <v>181</v>
      </c>
      <c r="E593" s="8" t="s">
        <v>40</v>
      </c>
    </row>
    <row r="594" spans="1:5">
      <c r="A594" s="8">
        <v>1730</v>
      </c>
      <c r="B594" s="8" t="s">
        <v>1143</v>
      </c>
      <c r="C594" s="8" t="s">
        <v>1144</v>
      </c>
      <c r="D594" s="8" t="s">
        <v>691</v>
      </c>
      <c r="E594" s="8" t="s">
        <v>40</v>
      </c>
    </row>
    <row r="595" spans="1:5">
      <c r="A595" s="8">
        <v>1731</v>
      </c>
      <c r="B595" s="8" t="s">
        <v>1145</v>
      </c>
      <c r="C595" s="8" t="s">
        <v>1146</v>
      </c>
      <c r="D595" s="8" t="s">
        <v>159</v>
      </c>
      <c r="E595" s="8" t="s">
        <v>40</v>
      </c>
    </row>
    <row r="596" spans="1:5">
      <c r="A596" s="8">
        <v>1732</v>
      </c>
      <c r="B596" s="8" t="s">
        <v>1147</v>
      </c>
      <c r="C596" s="8" t="s">
        <v>1097</v>
      </c>
      <c r="D596" s="8" t="s">
        <v>132</v>
      </c>
      <c r="E596" s="8" t="s">
        <v>40</v>
      </c>
    </row>
    <row r="597" spans="1:5">
      <c r="A597" s="8">
        <v>1735</v>
      </c>
      <c r="B597" s="8" t="s">
        <v>1148</v>
      </c>
      <c r="C597" s="8" t="s">
        <v>241</v>
      </c>
      <c r="D597" s="8" t="s">
        <v>60</v>
      </c>
      <c r="E597" s="8" t="s">
        <v>40</v>
      </c>
    </row>
    <row r="598" spans="1:5">
      <c r="A598" s="8">
        <v>1736</v>
      </c>
      <c r="B598" s="8" t="s">
        <v>1149</v>
      </c>
      <c r="C598" s="8" t="s">
        <v>1150</v>
      </c>
      <c r="D598" s="8" t="s">
        <v>121</v>
      </c>
      <c r="E598" s="8" t="s">
        <v>40</v>
      </c>
    </row>
    <row r="599" spans="1:5">
      <c r="A599" s="8">
        <v>1737</v>
      </c>
      <c r="B599" s="8" t="s">
        <v>1151</v>
      </c>
      <c r="C599" s="8" t="s">
        <v>1152</v>
      </c>
      <c r="D599" s="8" t="s">
        <v>691</v>
      </c>
      <c r="E599" s="8" t="s">
        <v>40</v>
      </c>
    </row>
    <row r="600" spans="1:5">
      <c r="A600" s="8">
        <v>1739</v>
      </c>
      <c r="B600" s="8" t="s">
        <v>1153</v>
      </c>
      <c r="C600" s="8" t="s">
        <v>143</v>
      </c>
      <c r="D600" s="8" t="s">
        <v>121</v>
      </c>
      <c r="E600" s="8" t="s">
        <v>40</v>
      </c>
    </row>
    <row r="601" spans="1:5">
      <c r="A601" s="8">
        <v>1740</v>
      </c>
      <c r="B601" s="8" t="s">
        <v>1154</v>
      </c>
      <c r="C601" s="8" t="s">
        <v>1155</v>
      </c>
      <c r="D601" s="8" t="s">
        <v>201</v>
      </c>
      <c r="E601" s="8" t="s">
        <v>40</v>
      </c>
    </row>
    <row r="602" spans="1:5">
      <c r="A602" s="8">
        <v>1741</v>
      </c>
      <c r="B602" s="8" t="s">
        <v>1156</v>
      </c>
      <c r="C602" s="8" t="s">
        <v>1157</v>
      </c>
      <c r="D602" s="8" t="s">
        <v>79</v>
      </c>
      <c r="E602" s="8" t="s">
        <v>40</v>
      </c>
    </row>
    <row r="603" spans="1:5">
      <c r="A603" s="8">
        <v>1743</v>
      </c>
      <c r="B603" s="8" t="s">
        <v>1158</v>
      </c>
      <c r="C603" s="8" t="s">
        <v>161</v>
      </c>
      <c r="D603" s="8" t="s">
        <v>97</v>
      </c>
      <c r="E603" s="8" t="s">
        <v>40</v>
      </c>
    </row>
    <row r="604" spans="1:5">
      <c r="A604" s="8">
        <v>1744</v>
      </c>
      <c r="B604" s="8" t="s">
        <v>1159</v>
      </c>
      <c r="C604" s="8" t="s">
        <v>1003</v>
      </c>
      <c r="D604" s="8" t="s">
        <v>57</v>
      </c>
      <c r="E604" s="8" t="s">
        <v>40</v>
      </c>
    </row>
    <row r="605" spans="1:5">
      <c r="A605" s="8">
        <v>1745</v>
      </c>
      <c r="B605" s="8" t="s">
        <v>1160</v>
      </c>
      <c r="C605" s="8" t="s">
        <v>1161</v>
      </c>
      <c r="D605" s="8" t="s">
        <v>164</v>
      </c>
      <c r="E605" s="8" t="s">
        <v>40</v>
      </c>
    </row>
    <row r="606" spans="1:5">
      <c r="A606" s="8">
        <v>1746</v>
      </c>
      <c r="B606" s="8" t="s">
        <v>1162</v>
      </c>
      <c r="C606" s="8" t="s">
        <v>1163</v>
      </c>
      <c r="D606" s="8" t="s">
        <v>630</v>
      </c>
      <c r="E606" s="8" t="s">
        <v>40</v>
      </c>
    </row>
    <row r="607" spans="1:5">
      <c r="A607" s="8">
        <v>1747</v>
      </c>
      <c r="B607" s="8" t="s">
        <v>1164</v>
      </c>
      <c r="C607" s="8" t="s">
        <v>447</v>
      </c>
      <c r="D607" s="8" t="s">
        <v>79</v>
      </c>
      <c r="E607" s="8" t="s">
        <v>40</v>
      </c>
    </row>
    <row r="608" spans="1:5">
      <c r="A608" s="8">
        <v>1750</v>
      </c>
      <c r="B608" s="8" t="s">
        <v>1165</v>
      </c>
      <c r="C608" s="8" t="s">
        <v>1166</v>
      </c>
      <c r="D608" s="8" t="s">
        <v>69</v>
      </c>
      <c r="E608" s="8" t="s">
        <v>40</v>
      </c>
    </row>
    <row r="609" spans="1:5">
      <c r="A609" s="8">
        <v>1751</v>
      </c>
      <c r="B609" s="8" t="s">
        <v>1167</v>
      </c>
      <c r="C609" s="8" t="s">
        <v>1168</v>
      </c>
      <c r="D609" s="8" t="s">
        <v>54</v>
      </c>
      <c r="E609" s="8" t="s">
        <v>40</v>
      </c>
    </row>
    <row r="610" spans="1:5">
      <c r="A610" s="8">
        <v>1756</v>
      </c>
      <c r="B610" s="8" t="s">
        <v>1169</v>
      </c>
      <c r="C610" s="8" t="s">
        <v>1150</v>
      </c>
      <c r="D610" s="8" t="s">
        <v>121</v>
      </c>
      <c r="E610" s="8" t="s">
        <v>40</v>
      </c>
    </row>
    <row r="611" spans="1:5">
      <c r="A611" s="8">
        <v>1757</v>
      </c>
      <c r="B611" s="8" t="s">
        <v>1170</v>
      </c>
      <c r="C611" s="8" t="s">
        <v>1171</v>
      </c>
      <c r="D611" s="8" t="s">
        <v>60</v>
      </c>
      <c r="E611" s="8" t="s">
        <v>40</v>
      </c>
    </row>
    <row r="612" spans="1:5">
      <c r="A612" s="8">
        <v>1758</v>
      </c>
      <c r="B612" s="8" t="s">
        <v>1172</v>
      </c>
      <c r="C612" s="8" t="s">
        <v>1173</v>
      </c>
      <c r="D612" s="8" t="s">
        <v>319</v>
      </c>
      <c r="E612" s="8" t="s">
        <v>40</v>
      </c>
    </row>
    <row r="613" spans="1:5">
      <c r="A613" s="8">
        <v>1759</v>
      </c>
      <c r="B613" s="8" t="s">
        <v>1174</v>
      </c>
      <c r="C613" s="8" t="s">
        <v>1175</v>
      </c>
      <c r="D613" s="8" t="s">
        <v>43</v>
      </c>
      <c r="E613" s="8" t="s">
        <v>40</v>
      </c>
    </row>
    <row r="614" spans="1:5">
      <c r="A614" s="8">
        <v>1761</v>
      </c>
      <c r="B614" s="8" t="s">
        <v>1176</v>
      </c>
      <c r="C614" s="8" t="s">
        <v>1177</v>
      </c>
      <c r="D614" s="8" t="s">
        <v>60</v>
      </c>
      <c r="E614" s="8" t="s">
        <v>40</v>
      </c>
    </row>
    <row r="615" spans="1:5">
      <c r="A615" s="8">
        <v>1763</v>
      </c>
      <c r="B615" s="8" t="s">
        <v>1178</v>
      </c>
      <c r="C615" s="8" t="s">
        <v>1179</v>
      </c>
      <c r="D615" s="8" t="s">
        <v>691</v>
      </c>
      <c r="E615" s="8" t="s">
        <v>40</v>
      </c>
    </row>
    <row r="616" spans="1:5">
      <c r="A616" s="8">
        <v>1764</v>
      </c>
      <c r="B616" s="8" t="s">
        <v>1180</v>
      </c>
      <c r="C616" s="8" t="s">
        <v>1181</v>
      </c>
      <c r="D616" s="8" t="s">
        <v>691</v>
      </c>
      <c r="E616" s="8" t="s">
        <v>40</v>
      </c>
    </row>
    <row r="617" spans="1:5">
      <c r="A617" s="8">
        <v>1768</v>
      </c>
      <c r="B617" s="8" t="s">
        <v>1182</v>
      </c>
      <c r="C617" s="8" t="s">
        <v>1183</v>
      </c>
      <c r="D617" s="8" t="s">
        <v>60</v>
      </c>
      <c r="E617" s="8" t="s">
        <v>40</v>
      </c>
    </row>
    <row r="618" spans="1:5">
      <c r="A618" s="8">
        <v>1769</v>
      </c>
      <c r="B618" s="8" t="s">
        <v>1184</v>
      </c>
      <c r="C618" s="8" t="s">
        <v>1179</v>
      </c>
      <c r="D618" s="8" t="s">
        <v>696</v>
      </c>
      <c r="E618" s="8" t="s">
        <v>40</v>
      </c>
    </row>
    <row r="619" spans="1:5">
      <c r="A619" s="8">
        <v>1771</v>
      </c>
      <c r="B619" s="8" t="s">
        <v>1185</v>
      </c>
      <c r="C619" s="8" t="s">
        <v>854</v>
      </c>
      <c r="D619" s="8" t="s">
        <v>630</v>
      </c>
      <c r="E619" s="8" t="s">
        <v>40</v>
      </c>
    </row>
    <row r="620" spans="1:5">
      <c r="A620" s="8">
        <v>1772</v>
      </c>
      <c r="B620" s="8" t="s">
        <v>1186</v>
      </c>
      <c r="C620" s="8" t="s">
        <v>1187</v>
      </c>
      <c r="D620" s="8" t="s">
        <v>408</v>
      </c>
      <c r="E620" s="8" t="s">
        <v>409</v>
      </c>
    </row>
    <row r="621" spans="1:5">
      <c r="A621" s="8">
        <v>1775</v>
      </c>
      <c r="B621" s="8" t="s">
        <v>1188</v>
      </c>
      <c r="C621" s="8" t="s">
        <v>1179</v>
      </c>
      <c r="D621" s="8" t="s">
        <v>691</v>
      </c>
      <c r="E621" s="8" t="s">
        <v>40</v>
      </c>
    </row>
    <row r="622" spans="1:5">
      <c r="A622" s="8">
        <v>1777</v>
      </c>
      <c r="B622" s="8" t="s">
        <v>512</v>
      </c>
      <c r="C622" s="8" t="s">
        <v>1189</v>
      </c>
      <c r="D622" s="8" t="s">
        <v>696</v>
      </c>
      <c r="E622" s="8" t="s">
        <v>40</v>
      </c>
    </row>
    <row r="623" spans="1:5">
      <c r="A623" s="8">
        <v>1778</v>
      </c>
      <c r="B623" s="8" t="s">
        <v>1190</v>
      </c>
      <c r="C623" s="8" t="s">
        <v>1191</v>
      </c>
      <c r="D623" s="8" t="s">
        <v>264</v>
      </c>
      <c r="E623" s="8" t="s">
        <v>40</v>
      </c>
    </row>
    <row r="624" spans="1:5">
      <c r="A624" s="8">
        <v>1781</v>
      </c>
      <c r="B624" s="8" t="s">
        <v>1192</v>
      </c>
      <c r="C624" s="8" t="s">
        <v>143</v>
      </c>
      <c r="D624" s="8" t="s">
        <v>121</v>
      </c>
      <c r="E624" s="8" t="s">
        <v>40</v>
      </c>
    </row>
    <row r="625" spans="1:5">
      <c r="A625" s="8">
        <v>1785</v>
      </c>
      <c r="B625" s="8" t="s">
        <v>1193</v>
      </c>
      <c r="C625" s="8" t="s">
        <v>1194</v>
      </c>
      <c r="D625" s="8" t="s">
        <v>691</v>
      </c>
      <c r="E625" s="8" t="s">
        <v>40</v>
      </c>
    </row>
    <row r="626" spans="1:5">
      <c r="A626" s="8">
        <v>1786</v>
      </c>
      <c r="B626" s="8" t="s">
        <v>1195</v>
      </c>
      <c r="C626" s="8" t="s">
        <v>738</v>
      </c>
      <c r="D626" s="8" t="s">
        <v>181</v>
      </c>
      <c r="E626" s="8" t="s">
        <v>40</v>
      </c>
    </row>
    <row r="627" spans="1:5">
      <c r="A627" s="8">
        <v>1787</v>
      </c>
      <c r="B627" s="8" t="s">
        <v>1196</v>
      </c>
      <c r="C627" s="8" t="s">
        <v>166</v>
      </c>
      <c r="D627" s="8" t="s">
        <v>81</v>
      </c>
      <c r="E627" s="8" t="s">
        <v>40</v>
      </c>
    </row>
    <row r="628" spans="1:5">
      <c r="A628" s="8">
        <v>1791</v>
      </c>
      <c r="B628" s="8" t="s">
        <v>1197</v>
      </c>
      <c r="C628" s="8" t="s">
        <v>1198</v>
      </c>
      <c r="D628" s="8" t="s">
        <v>48</v>
      </c>
      <c r="E628" s="8" t="s">
        <v>40</v>
      </c>
    </row>
    <row r="629" spans="1:5">
      <c r="A629" s="8">
        <v>1792</v>
      </c>
      <c r="B629" s="8" t="s">
        <v>1199</v>
      </c>
      <c r="C629" s="8" t="s">
        <v>1200</v>
      </c>
      <c r="D629" s="8" t="s">
        <v>132</v>
      </c>
      <c r="E629" s="8" t="s">
        <v>40</v>
      </c>
    </row>
    <row r="630" spans="1:5">
      <c r="A630" s="8">
        <v>1793</v>
      </c>
      <c r="B630" s="8" t="s">
        <v>1201</v>
      </c>
      <c r="C630" s="8" t="s">
        <v>1202</v>
      </c>
      <c r="D630" s="8" t="s">
        <v>159</v>
      </c>
      <c r="E630" s="8" t="s">
        <v>40</v>
      </c>
    </row>
    <row r="631" spans="1:5">
      <c r="A631" s="8">
        <v>1795</v>
      </c>
      <c r="B631" s="8" t="s">
        <v>1203</v>
      </c>
      <c r="C631" s="8" t="s">
        <v>934</v>
      </c>
      <c r="D631" s="8" t="s">
        <v>630</v>
      </c>
      <c r="E631" s="8" t="s">
        <v>40</v>
      </c>
    </row>
    <row r="632" spans="1:5">
      <c r="A632" s="8">
        <v>1796</v>
      </c>
      <c r="B632" s="8" t="s">
        <v>1204</v>
      </c>
      <c r="C632" s="8" t="s">
        <v>1056</v>
      </c>
      <c r="D632" s="8" t="s">
        <v>54</v>
      </c>
      <c r="E632" s="8" t="s">
        <v>40</v>
      </c>
    </row>
    <row r="633" spans="1:5">
      <c r="A633" s="8">
        <v>1797</v>
      </c>
      <c r="B633" s="8" t="s">
        <v>641</v>
      </c>
      <c r="C633" s="8" t="s">
        <v>1205</v>
      </c>
      <c r="D633" s="8" t="s">
        <v>1206</v>
      </c>
      <c r="E633" s="8" t="s">
        <v>1207</v>
      </c>
    </row>
    <row r="634" spans="1:5">
      <c r="A634" s="8">
        <v>1799</v>
      </c>
      <c r="B634" s="8" t="s">
        <v>1208</v>
      </c>
      <c r="C634" s="8" t="s">
        <v>1209</v>
      </c>
      <c r="D634" s="8" t="s">
        <v>208</v>
      </c>
      <c r="E634" s="8" t="s">
        <v>40</v>
      </c>
    </row>
    <row r="635" spans="1:5">
      <c r="A635" s="8">
        <v>1802</v>
      </c>
      <c r="B635" s="8" t="s">
        <v>1210</v>
      </c>
      <c r="C635" s="8" t="s">
        <v>1179</v>
      </c>
      <c r="D635" s="8" t="s">
        <v>696</v>
      </c>
      <c r="E635" s="8" t="s">
        <v>40</v>
      </c>
    </row>
    <row r="636" spans="1:5">
      <c r="A636" s="8">
        <v>1803</v>
      </c>
      <c r="B636" s="8" t="s">
        <v>1211</v>
      </c>
      <c r="C636" s="8" t="s">
        <v>1212</v>
      </c>
      <c r="D636" s="8" t="s">
        <v>54</v>
      </c>
      <c r="E636" s="8" t="s">
        <v>40</v>
      </c>
    </row>
    <row r="637" spans="1:5">
      <c r="A637" s="8">
        <v>1806</v>
      </c>
      <c r="B637" s="8" t="s">
        <v>1213</v>
      </c>
      <c r="C637" s="8" t="s">
        <v>1214</v>
      </c>
      <c r="D637" s="8" t="s">
        <v>691</v>
      </c>
      <c r="E637" s="8" t="s">
        <v>40</v>
      </c>
    </row>
    <row r="638" spans="1:5">
      <c r="A638" s="8">
        <v>1807</v>
      </c>
      <c r="B638" s="8" t="s">
        <v>1126</v>
      </c>
      <c r="C638" s="8" t="s">
        <v>1215</v>
      </c>
      <c r="D638" s="8" t="s">
        <v>48</v>
      </c>
      <c r="E638" s="8" t="s">
        <v>40</v>
      </c>
    </row>
    <row r="639" spans="1:5">
      <c r="A639" s="8">
        <v>1810</v>
      </c>
      <c r="B639" s="8" t="s">
        <v>1216</v>
      </c>
      <c r="C639" s="8" t="s">
        <v>1217</v>
      </c>
      <c r="D639" s="8" t="s">
        <v>696</v>
      </c>
      <c r="E639" s="8" t="s">
        <v>40</v>
      </c>
    </row>
    <row r="640" spans="1:5">
      <c r="A640" s="8">
        <v>1811</v>
      </c>
      <c r="B640" s="8" t="s">
        <v>1218</v>
      </c>
      <c r="C640" s="8" t="s">
        <v>591</v>
      </c>
      <c r="D640" s="8" t="s">
        <v>48</v>
      </c>
      <c r="E640" s="8" t="s">
        <v>40</v>
      </c>
    </row>
    <row r="641" spans="1:5">
      <c r="A641" s="8">
        <v>1816</v>
      </c>
      <c r="B641" s="8" t="s">
        <v>1219</v>
      </c>
      <c r="C641" s="8" t="s">
        <v>1220</v>
      </c>
      <c r="D641" s="8" t="s">
        <v>1221</v>
      </c>
      <c r="E641" s="8" t="s">
        <v>40</v>
      </c>
    </row>
    <row r="642" spans="1:5">
      <c r="A642" s="8">
        <v>1817</v>
      </c>
      <c r="B642" s="8" t="s">
        <v>1222</v>
      </c>
      <c r="C642" s="8" t="s">
        <v>1223</v>
      </c>
      <c r="D642" s="8" t="s">
        <v>164</v>
      </c>
      <c r="E642" s="8" t="s">
        <v>40</v>
      </c>
    </row>
    <row r="643" spans="1:5">
      <c r="A643" s="8">
        <v>1818</v>
      </c>
      <c r="B643" s="8" t="s">
        <v>1224</v>
      </c>
      <c r="C643" s="8" t="s">
        <v>1225</v>
      </c>
      <c r="D643" s="8" t="s">
        <v>1226</v>
      </c>
      <c r="E643" s="8" t="s">
        <v>40</v>
      </c>
    </row>
    <row r="644" spans="1:5">
      <c r="A644" s="8">
        <v>1825</v>
      </c>
      <c r="B644" s="8" t="s">
        <v>1227</v>
      </c>
      <c r="C644" s="8" t="s">
        <v>1144</v>
      </c>
      <c r="D644" s="8" t="s">
        <v>691</v>
      </c>
      <c r="E644" s="8" t="s">
        <v>40</v>
      </c>
    </row>
    <row r="645" spans="1:5">
      <c r="A645" s="8">
        <v>1827</v>
      </c>
      <c r="B645" s="8" t="s">
        <v>1228</v>
      </c>
      <c r="C645" s="8" t="s">
        <v>1179</v>
      </c>
      <c r="D645" s="8" t="s">
        <v>691</v>
      </c>
      <c r="E645" s="8" t="s">
        <v>40</v>
      </c>
    </row>
    <row r="646" spans="1:5">
      <c r="A646" s="8">
        <v>1828</v>
      </c>
      <c r="B646" s="8" t="s">
        <v>1229</v>
      </c>
      <c r="C646" s="8" t="s">
        <v>1230</v>
      </c>
      <c r="D646" s="8" t="s">
        <v>92</v>
      </c>
      <c r="E646" s="8" t="s">
        <v>40</v>
      </c>
    </row>
    <row r="647" spans="1:5">
      <c r="A647" s="8">
        <v>1831</v>
      </c>
      <c r="B647" s="8" t="s">
        <v>1231</v>
      </c>
      <c r="C647" s="8" t="s">
        <v>1232</v>
      </c>
      <c r="D647" s="8" t="s">
        <v>181</v>
      </c>
      <c r="E647" s="8" t="s">
        <v>40</v>
      </c>
    </row>
    <row r="648" spans="1:5">
      <c r="A648" s="8">
        <v>1836</v>
      </c>
      <c r="B648" s="8" t="s">
        <v>1233</v>
      </c>
      <c r="C648" s="8" t="s">
        <v>523</v>
      </c>
      <c r="D648" s="8" t="s">
        <v>43</v>
      </c>
      <c r="E648" s="8" t="s">
        <v>40</v>
      </c>
    </row>
    <row r="649" spans="1:5">
      <c r="A649" s="8">
        <v>1847</v>
      </c>
      <c r="B649" s="8" t="s">
        <v>1234</v>
      </c>
      <c r="C649" s="8" t="s">
        <v>1179</v>
      </c>
      <c r="D649" s="8" t="s">
        <v>696</v>
      </c>
      <c r="E649" s="8" t="s">
        <v>40</v>
      </c>
    </row>
    <row r="650" spans="1:5">
      <c r="A650" s="8">
        <v>1860</v>
      </c>
      <c r="B650" s="8" t="s">
        <v>1235</v>
      </c>
      <c r="C650" s="8" t="s">
        <v>919</v>
      </c>
      <c r="D650" s="8" t="s">
        <v>920</v>
      </c>
      <c r="E650" s="8" t="s">
        <v>409</v>
      </c>
    </row>
    <row r="651" spans="1:5">
      <c r="A651" s="8">
        <v>1868</v>
      </c>
      <c r="B651" s="8" t="s">
        <v>1236</v>
      </c>
      <c r="C651" s="8" t="s">
        <v>713</v>
      </c>
      <c r="D651" s="8" t="s">
        <v>43</v>
      </c>
      <c r="E651" s="8" t="s">
        <v>40</v>
      </c>
    </row>
    <row r="652" spans="1:5">
      <c r="A652" s="8">
        <v>1872</v>
      </c>
      <c r="B652" s="8" t="s">
        <v>1237</v>
      </c>
      <c r="C652" s="8" t="s">
        <v>1238</v>
      </c>
      <c r="D652" s="8" t="s">
        <v>1239</v>
      </c>
      <c r="E652" s="8" t="s">
        <v>40</v>
      </c>
    </row>
    <row r="653" spans="1:5">
      <c r="A653" s="8">
        <v>1876</v>
      </c>
      <c r="B653" s="8" t="s">
        <v>1240</v>
      </c>
      <c r="C653" s="8" t="s">
        <v>1241</v>
      </c>
      <c r="D653" s="8" t="s">
        <v>319</v>
      </c>
      <c r="E653" s="8" t="s">
        <v>40</v>
      </c>
    </row>
    <row r="654" spans="1:5">
      <c r="A654" s="8">
        <v>1880</v>
      </c>
      <c r="B654" s="8" t="s">
        <v>1242</v>
      </c>
      <c r="C654" s="8" t="s">
        <v>54</v>
      </c>
      <c r="D654" s="8" t="s">
        <v>54</v>
      </c>
      <c r="E654" s="8" t="s">
        <v>40</v>
      </c>
    </row>
    <row r="655" spans="1:5">
      <c r="A655" s="8">
        <v>1884</v>
      </c>
      <c r="B655" s="8" t="s">
        <v>1243</v>
      </c>
      <c r="C655" s="8" t="s">
        <v>1205</v>
      </c>
      <c r="D655" s="8" t="s">
        <v>1206</v>
      </c>
      <c r="E655" s="8" t="s">
        <v>1207</v>
      </c>
    </row>
    <row r="656" spans="1:5">
      <c r="A656" s="8">
        <v>1885</v>
      </c>
      <c r="B656" s="8" t="s">
        <v>1244</v>
      </c>
      <c r="C656" s="8" t="s">
        <v>1245</v>
      </c>
      <c r="D656" s="8" t="s">
        <v>159</v>
      </c>
      <c r="E656" s="8" t="s">
        <v>40</v>
      </c>
    </row>
    <row r="657" spans="1:5">
      <c r="A657" s="8">
        <v>1891</v>
      </c>
      <c r="B657" s="8" t="s">
        <v>1246</v>
      </c>
      <c r="C657" s="8" t="s">
        <v>1247</v>
      </c>
      <c r="D657" s="8" t="s">
        <v>1018</v>
      </c>
      <c r="E657" s="8" t="s">
        <v>40</v>
      </c>
    </row>
    <row r="658" spans="1:5">
      <c r="A658" s="8">
        <v>1895</v>
      </c>
      <c r="B658" s="8" t="s">
        <v>1248</v>
      </c>
      <c r="C658" s="8" t="s">
        <v>1249</v>
      </c>
      <c r="D658" s="8" t="s">
        <v>159</v>
      </c>
      <c r="E658" s="8" t="s">
        <v>40</v>
      </c>
    </row>
    <row r="659" spans="1:5">
      <c r="A659" s="8">
        <v>1896</v>
      </c>
      <c r="B659" s="8" t="s">
        <v>1250</v>
      </c>
      <c r="C659" s="8" t="s">
        <v>1122</v>
      </c>
      <c r="D659" s="8" t="s">
        <v>39</v>
      </c>
      <c r="E659" s="8" t="s">
        <v>40</v>
      </c>
    </row>
    <row r="660" spans="1:5">
      <c r="A660" s="8">
        <v>1899</v>
      </c>
      <c r="B660" s="8" t="s">
        <v>1251</v>
      </c>
      <c r="C660" s="8" t="s">
        <v>460</v>
      </c>
      <c r="D660" s="8" t="s">
        <v>264</v>
      </c>
      <c r="E660" s="8" t="s">
        <v>40</v>
      </c>
    </row>
    <row r="661" spans="1:5">
      <c r="A661" s="8">
        <v>1902</v>
      </c>
      <c r="B661" s="8" t="s">
        <v>1252</v>
      </c>
      <c r="C661" s="8" t="s">
        <v>701</v>
      </c>
      <c r="D661" s="8" t="s">
        <v>57</v>
      </c>
      <c r="E661" s="8" t="s">
        <v>40</v>
      </c>
    </row>
    <row r="662" spans="1:5">
      <c r="A662" s="8">
        <v>1908</v>
      </c>
      <c r="B662" s="8" t="s">
        <v>1253</v>
      </c>
      <c r="C662" s="8" t="s">
        <v>1254</v>
      </c>
      <c r="D662" s="8" t="s">
        <v>159</v>
      </c>
      <c r="E662" s="8" t="s">
        <v>40</v>
      </c>
    </row>
    <row r="663" spans="1:5">
      <c r="A663" s="8">
        <v>1912</v>
      </c>
      <c r="B663" s="8" t="s">
        <v>1255</v>
      </c>
      <c r="C663" s="8" t="s">
        <v>1256</v>
      </c>
      <c r="D663" s="8" t="s">
        <v>1226</v>
      </c>
      <c r="E663" s="8" t="s">
        <v>40</v>
      </c>
    </row>
    <row r="664" spans="1:5">
      <c r="A664" s="8">
        <v>1915</v>
      </c>
      <c r="B664" s="8" t="s">
        <v>1257</v>
      </c>
      <c r="C664" s="8" t="s">
        <v>264</v>
      </c>
      <c r="D664" s="8" t="s">
        <v>947</v>
      </c>
      <c r="E664" s="8" t="s">
        <v>40</v>
      </c>
    </row>
    <row r="665" spans="1:5">
      <c r="A665" s="8">
        <v>1918</v>
      </c>
      <c r="B665" s="8" t="s">
        <v>1258</v>
      </c>
      <c r="C665" s="8" t="s">
        <v>1259</v>
      </c>
      <c r="D665" s="8" t="s">
        <v>39</v>
      </c>
      <c r="E665" s="8" t="s">
        <v>40</v>
      </c>
    </row>
    <row r="666" spans="1:5">
      <c r="A666" s="8">
        <v>1922</v>
      </c>
      <c r="B666" s="8" t="s">
        <v>1260</v>
      </c>
      <c r="C666" s="8" t="s">
        <v>1261</v>
      </c>
      <c r="D666" s="8" t="s">
        <v>181</v>
      </c>
      <c r="E666" s="8" t="s">
        <v>40</v>
      </c>
    </row>
    <row r="667" spans="1:5">
      <c r="A667" s="8">
        <v>1923</v>
      </c>
      <c r="B667" s="8" t="s">
        <v>1262</v>
      </c>
      <c r="C667" s="8" t="s">
        <v>1263</v>
      </c>
      <c r="D667" s="8" t="s">
        <v>48</v>
      </c>
      <c r="E667" s="8" t="s">
        <v>40</v>
      </c>
    </row>
    <row r="668" spans="1:5">
      <c r="A668" s="8">
        <v>1927</v>
      </c>
      <c r="B668" s="8" t="s">
        <v>1264</v>
      </c>
      <c r="C668" s="8" t="s">
        <v>1265</v>
      </c>
      <c r="D668" s="8" t="s">
        <v>393</v>
      </c>
      <c r="E668" s="8" t="s">
        <v>40</v>
      </c>
    </row>
    <row r="669" spans="1:5">
      <c r="A669" s="8">
        <v>1937</v>
      </c>
      <c r="B669" s="8" t="s">
        <v>1266</v>
      </c>
      <c r="C669" s="8" t="s">
        <v>1267</v>
      </c>
      <c r="D669" s="8" t="s">
        <v>1034</v>
      </c>
      <c r="E669" s="8" t="s">
        <v>1026</v>
      </c>
    </row>
    <row r="670" spans="1:5">
      <c r="A670" s="8">
        <v>1939</v>
      </c>
      <c r="B670" s="8" t="s">
        <v>1268</v>
      </c>
      <c r="C670" s="8" t="s">
        <v>1179</v>
      </c>
      <c r="D670" s="8" t="s">
        <v>691</v>
      </c>
      <c r="E670" s="8" t="s">
        <v>40</v>
      </c>
    </row>
    <row r="671" spans="1:5">
      <c r="A671" s="8">
        <v>1940</v>
      </c>
      <c r="B671" s="8" t="s">
        <v>1269</v>
      </c>
      <c r="C671" s="8" t="s">
        <v>1270</v>
      </c>
      <c r="D671" s="8" t="s">
        <v>39</v>
      </c>
      <c r="E671" s="8" t="s">
        <v>40</v>
      </c>
    </row>
    <row r="672" spans="1:5">
      <c r="A672" s="8">
        <v>1942</v>
      </c>
      <c r="B672" s="8" t="s">
        <v>1271</v>
      </c>
      <c r="C672" s="8" t="s">
        <v>1272</v>
      </c>
      <c r="D672" s="8" t="s">
        <v>1034</v>
      </c>
      <c r="E672" s="8" t="s">
        <v>1026</v>
      </c>
    </row>
    <row r="673" spans="1:5">
      <c r="A673" s="8">
        <v>1943</v>
      </c>
      <c r="B673" s="8" t="s">
        <v>1273</v>
      </c>
      <c r="C673" s="8" t="s">
        <v>1274</v>
      </c>
      <c r="D673" s="8" t="s">
        <v>1034</v>
      </c>
      <c r="E673" s="8" t="s">
        <v>1026</v>
      </c>
    </row>
    <row r="674" spans="1:5">
      <c r="A674" s="8">
        <v>1944</v>
      </c>
      <c r="B674" s="8" t="s">
        <v>1275</v>
      </c>
      <c r="C674" s="8" t="s">
        <v>1276</v>
      </c>
      <c r="D674" s="8" t="s">
        <v>1276</v>
      </c>
      <c r="E674" s="8" t="s">
        <v>1026</v>
      </c>
    </row>
    <row r="675" spans="1:5">
      <c r="A675" s="8">
        <v>1954</v>
      </c>
      <c r="B675" s="8" t="s">
        <v>1277</v>
      </c>
      <c r="C675" s="8" t="s">
        <v>1278</v>
      </c>
      <c r="D675" s="8" t="s">
        <v>1037</v>
      </c>
      <c r="E675" s="8" t="s">
        <v>1026</v>
      </c>
    </row>
    <row r="676" spans="1:5">
      <c r="A676" s="8">
        <v>1965</v>
      </c>
      <c r="B676" s="8" t="s">
        <v>425</v>
      </c>
      <c r="C676" s="8" t="s">
        <v>1279</v>
      </c>
      <c r="D676" s="8" t="s">
        <v>60</v>
      </c>
      <c r="E676" s="8" t="s">
        <v>40</v>
      </c>
    </row>
    <row r="677" spans="1:5">
      <c r="A677" s="8">
        <v>1967</v>
      </c>
      <c r="B677" s="8" t="s">
        <v>1280</v>
      </c>
      <c r="C677" s="8" t="s">
        <v>304</v>
      </c>
      <c r="D677" s="8" t="s">
        <v>43</v>
      </c>
      <c r="E677" s="8" t="s">
        <v>40</v>
      </c>
    </row>
    <row r="678" spans="1:5">
      <c r="A678" s="8">
        <v>1972</v>
      </c>
      <c r="B678" s="8" t="s">
        <v>1281</v>
      </c>
      <c r="C678" s="8" t="s">
        <v>1282</v>
      </c>
      <c r="D678" s="8" t="s">
        <v>43</v>
      </c>
      <c r="E678" s="8" t="s">
        <v>40</v>
      </c>
    </row>
    <row r="679" spans="1:5">
      <c r="A679" s="8">
        <v>1973</v>
      </c>
      <c r="B679" s="8" t="s">
        <v>1283</v>
      </c>
      <c r="C679" s="8" t="s">
        <v>1284</v>
      </c>
      <c r="D679" s="8" t="s">
        <v>60</v>
      </c>
      <c r="E679" s="8" t="s">
        <v>40</v>
      </c>
    </row>
    <row r="680" spans="1:5">
      <c r="A680" s="8">
        <v>1977</v>
      </c>
      <c r="B680" s="8" t="s">
        <v>1285</v>
      </c>
      <c r="C680" s="8" t="s">
        <v>1286</v>
      </c>
      <c r="D680" s="8" t="s">
        <v>208</v>
      </c>
      <c r="E680" s="8" t="s">
        <v>40</v>
      </c>
    </row>
    <row r="681" spans="1:5">
      <c r="A681" s="8">
        <v>1982</v>
      </c>
      <c r="B681" s="8" t="s">
        <v>543</v>
      </c>
      <c r="C681" s="8" t="s">
        <v>1217</v>
      </c>
      <c r="D681" s="8" t="s">
        <v>696</v>
      </c>
      <c r="E681" s="8" t="s">
        <v>40</v>
      </c>
    </row>
    <row r="682" spans="1:5">
      <c r="A682" s="8">
        <v>1983</v>
      </c>
      <c r="B682" s="8" t="s">
        <v>1287</v>
      </c>
      <c r="C682" s="8" t="s">
        <v>458</v>
      </c>
      <c r="D682" s="8" t="s">
        <v>264</v>
      </c>
      <c r="E682" s="8" t="s">
        <v>40</v>
      </c>
    </row>
    <row r="683" spans="1:5">
      <c r="A683" s="8">
        <v>1984</v>
      </c>
      <c r="B683" s="8" t="s">
        <v>1288</v>
      </c>
      <c r="C683" s="8" t="s">
        <v>1189</v>
      </c>
      <c r="D683" s="8" t="s">
        <v>696</v>
      </c>
      <c r="E683" s="8" t="s">
        <v>40</v>
      </c>
    </row>
    <row r="684" spans="1:5">
      <c r="A684" s="8">
        <v>1985</v>
      </c>
      <c r="B684" s="8" t="s">
        <v>1289</v>
      </c>
      <c r="C684" s="8" t="s">
        <v>1290</v>
      </c>
      <c r="D684" s="8" t="s">
        <v>691</v>
      </c>
      <c r="E684" s="8" t="s">
        <v>40</v>
      </c>
    </row>
    <row r="685" spans="1:5">
      <c r="A685" s="8">
        <v>1986</v>
      </c>
      <c r="B685" s="8" t="s">
        <v>1291</v>
      </c>
      <c r="C685" s="8" t="s">
        <v>1144</v>
      </c>
      <c r="D685" s="8" t="s">
        <v>691</v>
      </c>
      <c r="E685" s="8" t="s">
        <v>40</v>
      </c>
    </row>
    <row r="686" spans="1:5">
      <c r="A686" s="8">
        <v>1987</v>
      </c>
      <c r="B686" s="8" t="s">
        <v>1292</v>
      </c>
      <c r="C686" s="8" t="s">
        <v>1144</v>
      </c>
      <c r="D686" s="8" t="s">
        <v>691</v>
      </c>
      <c r="E686" s="8" t="s">
        <v>40</v>
      </c>
    </row>
    <row r="687" spans="1:5">
      <c r="A687" s="8">
        <v>1989</v>
      </c>
      <c r="B687" s="8" t="s">
        <v>512</v>
      </c>
      <c r="C687" s="8" t="s">
        <v>1293</v>
      </c>
      <c r="D687" s="8" t="s">
        <v>48</v>
      </c>
      <c r="E687" s="8" t="s">
        <v>40</v>
      </c>
    </row>
    <row r="688" spans="1:5">
      <c r="A688" s="8">
        <v>1991</v>
      </c>
      <c r="B688" s="8" t="s">
        <v>830</v>
      </c>
      <c r="C688" s="8" t="s">
        <v>235</v>
      </c>
      <c r="D688" s="8" t="s">
        <v>201</v>
      </c>
      <c r="E688" s="8" t="s">
        <v>40</v>
      </c>
    </row>
    <row r="689" spans="1:5">
      <c r="A689" s="8">
        <v>1994</v>
      </c>
      <c r="B689" s="8" t="s">
        <v>1294</v>
      </c>
      <c r="C689" s="8" t="s">
        <v>1179</v>
      </c>
      <c r="D689" s="8" t="s">
        <v>696</v>
      </c>
      <c r="E689" s="8" t="s">
        <v>40</v>
      </c>
    </row>
    <row r="690" spans="1:5">
      <c r="A690" s="8">
        <v>1997</v>
      </c>
      <c r="B690" s="8" t="s">
        <v>1295</v>
      </c>
      <c r="C690" s="8" t="s">
        <v>1296</v>
      </c>
      <c r="D690" s="8" t="s">
        <v>696</v>
      </c>
      <c r="E690" s="8" t="s">
        <v>40</v>
      </c>
    </row>
    <row r="691" spans="1:5">
      <c r="A691" s="8">
        <v>2001</v>
      </c>
      <c r="B691" s="8" t="s">
        <v>1297</v>
      </c>
      <c r="C691" s="8" t="s">
        <v>1179</v>
      </c>
      <c r="D691" s="8" t="s">
        <v>691</v>
      </c>
      <c r="E691" s="8" t="s">
        <v>40</v>
      </c>
    </row>
    <row r="692" spans="1:5">
      <c r="A692" s="8">
        <v>2010</v>
      </c>
      <c r="B692" s="8" t="s">
        <v>1298</v>
      </c>
      <c r="C692" s="8" t="s">
        <v>76</v>
      </c>
      <c r="D692" s="8" t="s">
        <v>81</v>
      </c>
      <c r="E692" s="8" t="s">
        <v>40</v>
      </c>
    </row>
    <row r="693" spans="1:5">
      <c r="A693" s="8">
        <v>2013</v>
      </c>
      <c r="B693" s="8" t="s">
        <v>1299</v>
      </c>
      <c r="C693" s="8" t="s">
        <v>1300</v>
      </c>
      <c r="D693" s="8" t="s">
        <v>238</v>
      </c>
      <c r="E693" s="8" t="s">
        <v>239</v>
      </c>
    </row>
    <row r="694" spans="1:5">
      <c r="A694" s="8">
        <v>2016</v>
      </c>
      <c r="B694" s="8" t="s">
        <v>1301</v>
      </c>
      <c r="C694" s="8" t="s">
        <v>1302</v>
      </c>
      <c r="D694" s="8" t="s">
        <v>48</v>
      </c>
      <c r="E694" s="8" t="s">
        <v>40</v>
      </c>
    </row>
    <row r="695" spans="1:5">
      <c r="A695" s="8">
        <v>2022</v>
      </c>
      <c r="B695" s="8" t="s">
        <v>484</v>
      </c>
      <c r="C695" s="8" t="s">
        <v>1303</v>
      </c>
      <c r="D695" s="8" t="s">
        <v>121</v>
      </c>
      <c r="E695" s="8" t="s">
        <v>40</v>
      </c>
    </row>
    <row r="696" spans="1:5">
      <c r="A696" s="8">
        <v>2027</v>
      </c>
      <c r="B696" s="8" t="s">
        <v>1304</v>
      </c>
      <c r="C696" s="8" t="s">
        <v>1305</v>
      </c>
      <c r="D696" s="8" t="s">
        <v>54</v>
      </c>
      <c r="E696" s="8" t="s">
        <v>40</v>
      </c>
    </row>
    <row r="697" spans="1:5">
      <c r="A697" s="8">
        <v>2028</v>
      </c>
      <c r="B697" s="8" t="s">
        <v>1306</v>
      </c>
      <c r="C697" s="8" t="s">
        <v>170</v>
      </c>
      <c r="D697" s="8" t="s">
        <v>159</v>
      </c>
      <c r="E697" s="8" t="s">
        <v>40</v>
      </c>
    </row>
    <row r="698" spans="1:5">
      <c r="A698" s="8">
        <v>2035</v>
      </c>
      <c r="B698" s="8" t="s">
        <v>1307</v>
      </c>
      <c r="C698" s="8" t="s">
        <v>661</v>
      </c>
      <c r="D698" s="8" t="s">
        <v>43</v>
      </c>
      <c r="E698" s="8" t="s">
        <v>40</v>
      </c>
    </row>
    <row r="699" spans="1:5">
      <c r="A699" s="8">
        <v>2036</v>
      </c>
      <c r="B699" s="8" t="s">
        <v>1308</v>
      </c>
      <c r="C699" s="8" t="s">
        <v>802</v>
      </c>
      <c r="D699" s="8" t="s">
        <v>208</v>
      </c>
      <c r="E699" s="8" t="s">
        <v>40</v>
      </c>
    </row>
    <row r="700" spans="1:5">
      <c r="A700" s="8">
        <v>2039</v>
      </c>
      <c r="B700" s="8" t="s">
        <v>1309</v>
      </c>
      <c r="C700" s="8" t="s">
        <v>1310</v>
      </c>
      <c r="D700" s="8" t="s">
        <v>121</v>
      </c>
      <c r="E700" s="8" t="s">
        <v>40</v>
      </c>
    </row>
    <row r="701" spans="1:5">
      <c r="A701" s="8">
        <v>2040</v>
      </c>
      <c r="B701" s="8" t="s">
        <v>1311</v>
      </c>
      <c r="C701" s="8" t="s">
        <v>1312</v>
      </c>
      <c r="D701" s="8" t="s">
        <v>121</v>
      </c>
      <c r="E701" s="8" t="s">
        <v>40</v>
      </c>
    </row>
    <row r="702" spans="1:5">
      <c r="A702" s="8">
        <v>2046</v>
      </c>
      <c r="B702" s="8" t="s">
        <v>1313</v>
      </c>
      <c r="C702" s="8" t="s">
        <v>1314</v>
      </c>
      <c r="D702" s="8" t="s">
        <v>264</v>
      </c>
      <c r="E702" s="8" t="s">
        <v>40</v>
      </c>
    </row>
    <row r="703" spans="1:5">
      <c r="A703" s="8">
        <v>2048</v>
      </c>
      <c r="B703" s="8" t="s">
        <v>1315</v>
      </c>
      <c r="C703" s="8" t="s">
        <v>1114</v>
      </c>
      <c r="D703" s="8" t="s">
        <v>39</v>
      </c>
      <c r="E703" s="8" t="s">
        <v>40</v>
      </c>
    </row>
    <row r="704" spans="1:5">
      <c r="A704" s="8">
        <v>2051</v>
      </c>
      <c r="B704" s="8" t="s">
        <v>1316</v>
      </c>
      <c r="C704" s="8" t="s">
        <v>1317</v>
      </c>
      <c r="D704" s="8" t="s">
        <v>97</v>
      </c>
      <c r="E704" s="8" t="s">
        <v>40</v>
      </c>
    </row>
    <row r="705" spans="1:5">
      <c r="A705" s="8">
        <v>2052</v>
      </c>
      <c r="B705" s="8" t="s">
        <v>1318</v>
      </c>
      <c r="C705" s="8" t="s">
        <v>1319</v>
      </c>
      <c r="D705" s="8" t="s">
        <v>1221</v>
      </c>
      <c r="E705" s="8" t="s">
        <v>40</v>
      </c>
    </row>
    <row r="706" spans="1:5">
      <c r="A706" s="8">
        <v>2053</v>
      </c>
      <c r="B706" s="8" t="s">
        <v>1320</v>
      </c>
      <c r="C706" s="8" t="s">
        <v>1321</v>
      </c>
      <c r="D706" s="8" t="s">
        <v>54</v>
      </c>
      <c r="E706" s="8" t="s">
        <v>40</v>
      </c>
    </row>
    <row r="707" spans="1:5">
      <c r="A707" s="8">
        <v>2054</v>
      </c>
      <c r="B707" s="8" t="s">
        <v>1322</v>
      </c>
      <c r="C707" s="8" t="s">
        <v>1323</v>
      </c>
      <c r="D707" s="8" t="s">
        <v>39</v>
      </c>
      <c r="E707" s="8" t="s">
        <v>40</v>
      </c>
    </row>
    <row r="708" spans="1:5">
      <c r="A708" s="8">
        <v>2056</v>
      </c>
      <c r="B708" s="8" t="s">
        <v>1324</v>
      </c>
      <c r="C708" s="8" t="s">
        <v>1325</v>
      </c>
      <c r="D708" s="8" t="s">
        <v>238</v>
      </c>
      <c r="E708" s="8" t="s">
        <v>239</v>
      </c>
    </row>
    <row r="709" spans="1:5">
      <c r="A709" s="8">
        <v>2059</v>
      </c>
      <c r="B709" s="8" t="s">
        <v>1326</v>
      </c>
      <c r="C709" s="8" t="s">
        <v>1327</v>
      </c>
      <c r="D709" s="8" t="s">
        <v>429</v>
      </c>
      <c r="E709" s="8" t="s">
        <v>40</v>
      </c>
    </row>
    <row r="710" spans="1:5">
      <c r="A710" s="8">
        <v>2062</v>
      </c>
      <c r="B710" s="8" t="s">
        <v>1328</v>
      </c>
      <c r="C710" s="8" t="s">
        <v>1329</v>
      </c>
      <c r="D710" s="8" t="s">
        <v>132</v>
      </c>
      <c r="E710" s="8" t="s">
        <v>40</v>
      </c>
    </row>
    <row r="711" spans="1:5">
      <c r="A711" s="8">
        <v>2064</v>
      </c>
      <c r="B711" s="8" t="s">
        <v>1330</v>
      </c>
      <c r="C711" s="8" t="s">
        <v>1331</v>
      </c>
      <c r="D711" s="8" t="s">
        <v>201</v>
      </c>
      <c r="E711" s="8" t="s">
        <v>40</v>
      </c>
    </row>
    <row r="712" spans="1:5">
      <c r="A712" s="8">
        <v>2067</v>
      </c>
      <c r="B712" s="8" t="s">
        <v>1332</v>
      </c>
      <c r="C712" s="8" t="s">
        <v>1333</v>
      </c>
      <c r="D712" s="8" t="s">
        <v>201</v>
      </c>
      <c r="E712" s="8" t="s">
        <v>40</v>
      </c>
    </row>
    <row r="713" spans="1:5">
      <c r="A713" s="8">
        <v>2068</v>
      </c>
      <c r="B713" s="8" t="s">
        <v>1334</v>
      </c>
      <c r="C713" s="8" t="s">
        <v>1249</v>
      </c>
      <c r="D713" s="8" t="s">
        <v>159</v>
      </c>
      <c r="E713" s="8" t="s">
        <v>40</v>
      </c>
    </row>
    <row r="714" spans="1:5">
      <c r="A714" s="8">
        <v>2070</v>
      </c>
      <c r="B714" s="8" t="s">
        <v>462</v>
      </c>
      <c r="C714" s="8" t="s">
        <v>1335</v>
      </c>
      <c r="D714" s="8" t="s">
        <v>48</v>
      </c>
      <c r="E714" s="8" t="s">
        <v>40</v>
      </c>
    </row>
    <row r="715" spans="1:5">
      <c r="A715" s="8">
        <v>2073</v>
      </c>
      <c r="B715" s="8" t="s">
        <v>1336</v>
      </c>
      <c r="C715" s="8" t="s">
        <v>1337</v>
      </c>
      <c r="D715" s="8" t="s">
        <v>43</v>
      </c>
      <c r="E715" s="8" t="s">
        <v>40</v>
      </c>
    </row>
    <row r="716" spans="1:5">
      <c r="A716" s="8">
        <v>2075</v>
      </c>
      <c r="B716" s="8" t="s">
        <v>1338</v>
      </c>
      <c r="C716" s="8" t="s">
        <v>681</v>
      </c>
      <c r="D716" s="8" t="s">
        <v>39</v>
      </c>
      <c r="E716" s="8" t="s">
        <v>40</v>
      </c>
    </row>
    <row r="717" spans="1:5">
      <c r="A717" s="8">
        <v>2077</v>
      </c>
      <c r="B717" s="8" t="s">
        <v>1339</v>
      </c>
      <c r="C717" s="8" t="s">
        <v>1340</v>
      </c>
      <c r="D717" s="8" t="s">
        <v>132</v>
      </c>
      <c r="E717" s="8" t="s">
        <v>40</v>
      </c>
    </row>
    <row r="718" spans="1:5">
      <c r="A718" s="8">
        <v>2078</v>
      </c>
      <c r="B718" s="8" t="s">
        <v>1341</v>
      </c>
      <c r="C718" s="8" t="s">
        <v>1342</v>
      </c>
      <c r="D718" s="8" t="s">
        <v>1226</v>
      </c>
      <c r="E718" s="8" t="s">
        <v>40</v>
      </c>
    </row>
    <row r="719" spans="1:5">
      <c r="A719" s="8">
        <v>2079</v>
      </c>
      <c r="B719" s="8" t="s">
        <v>1343</v>
      </c>
      <c r="C719" s="8" t="s">
        <v>1344</v>
      </c>
      <c r="D719" s="8" t="s">
        <v>60</v>
      </c>
      <c r="E719" s="8" t="s">
        <v>40</v>
      </c>
    </row>
    <row r="720" spans="1:5">
      <c r="A720" s="8">
        <v>2080</v>
      </c>
      <c r="B720" s="8" t="s">
        <v>1345</v>
      </c>
      <c r="C720" s="8" t="s">
        <v>109</v>
      </c>
      <c r="D720" s="8" t="s">
        <v>1226</v>
      </c>
      <c r="E720" s="8" t="s">
        <v>40</v>
      </c>
    </row>
    <row r="721" spans="1:5">
      <c r="A721" s="8">
        <v>2081</v>
      </c>
      <c r="B721" s="8" t="s">
        <v>1346</v>
      </c>
      <c r="C721" s="8" t="s">
        <v>1150</v>
      </c>
      <c r="D721" s="8" t="s">
        <v>121</v>
      </c>
      <c r="E721" s="8" t="s">
        <v>40</v>
      </c>
    </row>
    <row r="722" spans="1:5">
      <c r="A722" s="8">
        <v>2083</v>
      </c>
      <c r="B722" s="8" t="s">
        <v>1347</v>
      </c>
      <c r="C722" s="8" t="s">
        <v>1348</v>
      </c>
      <c r="D722" s="8" t="s">
        <v>208</v>
      </c>
      <c r="E722" s="8" t="s">
        <v>40</v>
      </c>
    </row>
    <row r="723" spans="1:5">
      <c r="A723" s="8">
        <v>2084</v>
      </c>
      <c r="B723" s="8" t="s">
        <v>1349</v>
      </c>
      <c r="C723" s="8" t="s">
        <v>180</v>
      </c>
      <c r="D723" s="8" t="s">
        <v>60</v>
      </c>
      <c r="E723" s="8" t="s">
        <v>40</v>
      </c>
    </row>
    <row r="724" spans="1:5">
      <c r="A724" s="8">
        <v>2085</v>
      </c>
      <c r="B724" s="8" t="s">
        <v>1350</v>
      </c>
      <c r="C724" s="8" t="s">
        <v>1351</v>
      </c>
      <c r="D724" s="8" t="s">
        <v>43</v>
      </c>
      <c r="E724" s="8" t="s">
        <v>40</v>
      </c>
    </row>
    <row r="725" spans="1:5">
      <c r="A725" s="8">
        <v>2090</v>
      </c>
      <c r="B725" s="8" t="s">
        <v>1352</v>
      </c>
      <c r="C725" s="8" t="s">
        <v>398</v>
      </c>
      <c r="D725" s="8" t="s">
        <v>388</v>
      </c>
      <c r="E725" s="8" t="s">
        <v>40</v>
      </c>
    </row>
    <row r="726" spans="1:5">
      <c r="A726" s="8">
        <v>2095</v>
      </c>
      <c r="B726" s="8" t="s">
        <v>1353</v>
      </c>
      <c r="C726" s="8" t="s">
        <v>1354</v>
      </c>
      <c r="D726" s="8" t="s">
        <v>97</v>
      </c>
      <c r="E726" s="8" t="s">
        <v>40</v>
      </c>
    </row>
    <row r="727" spans="1:5">
      <c r="A727" s="8">
        <v>2096</v>
      </c>
      <c r="B727" s="8" t="s">
        <v>1355</v>
      </c>
      <c r="C727" s="8" t="s">
        <v>1356</v>
      </c>
      <c r="D727" s="8" t="s">
        <v>1037</v>
      </c>
      <c r="E727" s="8" t="s">
        <v>1026</v>
      </c>
    </row>
    <row r="728" spans="1:5">
      <c r="A728" s="8">
        <v>2102</v>
      </c>
      <c r="B728" s="8" t="s">
        <v>1357</v>
      </c>
      <c r="C728" s="8" t="s">
        <v>1358</v>
      </c>
      <c r="D728" s="8" t="s">
        <v>43</v>
      </c>
      <c r="E728" s="8" t="s">
        <v>40</v>
      </c>
    </row>
    <row r="729" spans="1:5">
      <c r="A729" s="8">
        <v>2106</v>
      </c>
      <c r="B729" s="8" t="s">
        <v>1359</v>
      </c>
      <c r="C729" s="8" t="s">
        <v>1360</v>
      </c>
      <c r="D729" s="8" t="s">
        <v>159</v>
      </c>
      <c r="E729" s="8" t="s">
        <v>40</v>
      </c>
    </row>
    <row r="730" spans="1:5">
      <c r="A730" s="8">
        <v>2122</v>
      </c>
      <c r="B730" s="8" t="s">
        <v>1361</v>
      </c>
      <c r="C730" s="8" t="s">
        <v>1362</v>
      </c>
      <c r="D730" s="8" t="s">
        <v>1018</v>
      </c>
      <c r="E730" s="8" t="s">
        <v>40</v>
      </c>
    </row>
    <row r="731" spans="1:5">
      <c r="A731" s="8">
        <v>2129</v>
      </c>
      <c r="B731" s="8" t="s">
        <v>1363</v>
      </c>
      <c r="C731" s="8" t="s">
        <v>1364</v>
      </c>
      <c r="D731" s="8" t="s">
        <v>1221</v>
      </c>
      <c r="E731" s="8" t="s">
        <v>40</v>
      </c>
    </row>
    <row r="732" spans="1:5">
      <c r="A732" s="8">
        <v>2130</v>
      </c>
      <c r="B732" s="8" t="s">
        <v>1365</v>
      </c>
      <c r="C732" s="8" t="s">
        <v>1366</v>
      </c>
      <c r="D732" s="8" t="s">
        <v>1018</v>
      </c>
      <c r="E732" s="8" t="s">
        <v>40</v>
      </c>
    </row>
    <row r="733" spans="1:5">
      <c r="A733" s="8">
        <v>2135</v>
      </c>
      <c r="B733" s="8" t="s">
        <v>1367</v>
      </c>
      <c r="C733" s="8" t="s">
        <v>304</v>
      </c>
      <c r="D733" s="8" t="s">
        <v>43</v>
      </c>
      <c r="E733" s="8" t="s">
        <v>40</v>
      </c>
    </row>
    <row r="734" spans="1:5">
      <c r="A734" s="8">
        <v>2136</v>
      </c>
      <c r="B734" s="8" t="s">
        <v>1368</v>
      </c>
      <c r="C734" s="8" t="s">
        <v>143</v>
      </c>
      <c r="D734" s="8" t="s">
        <v>121</v>
      </c>
      <c r="E734" s="8" t="s">
        <v>40</v>
      </c>
    </row>
    <row r="735" spans="1:5">
      <c r="A735" s="8">
        <v>2137</v>
      </c>
      <c r="B735" s="8" t="s">
        <v>1369</v>
      </c>
      <c r="C735" s="8" t="s">
        <v>1370</v>
      </c>
      <c r="D735" s="8" t="s">
        <v>39</v>
      </c>
      <c r="E735" s="8" t="s">
        <v>40</v>
      </c>
    </row>
    <row r="736" spans="1:5">
      <c r="A736" s="8">
        <v>2141</v>
      </c>
      <c r="B736" s="8" t="s">
        <v>1371</v>
      </c>
      <c r="C736" s="8" t="s">
        <v>981</v>
      </c>
      <c r="D736" s="8" t="s">
        <v>43</v>
      </c>
      <c r="E736" s="8" t="s">
        <v>40</v>
      </c>
    </row>
    <row r="737" spans="1:5">
      <c r="A737" s="8">
        <v>2143</v>
      </c>
      <c r="B737" s="8" t="s">
        <v>1372</v>
      </c>
      <c r="C737" s="8" t="s">
        <v>1373</v>
      </c>
      <c r="D737" s="8" t="s">
        <v>132</v>
      </c>
      <c r="E737" s="8" t="s">
        <v>40</v>
      </c>
    </row>
    <row r="738" spans="1:5">
      <c r="A738" s="8">
        <v>2144</v>
      </c>
      <c r="B738" s="8" t="s">
        <v>1374</v>
      </c>
      <c r="C738" s="8" t="s">
        <v>605</v>
      </c>
      <c r="D738" s="8" t="s">
        <v>43</v>
      </c>
      <c r="E738" s="8" t="s">
        <v>40</v>
      </c>
    </row>
    <row r="739" spans="1:5">
      <c r="A739" s="8">
        <v>2145</v>
      </c>
      <c r="B739" s="8" t="s">
        <v>1375</v>
      </c>
      <c r="C739" s="8" t="s">
        <v>1376</v>
      </c>
      <c r="D739" s="8" t="s">
        <v>39</v>
      </c>
      <c r="E739" s="8" t="s">
        <v>40</v>
      </c>
    </row>
    <row r="740" spans="1:5">
      <c r="A740" s="8">
        <v>2147</v>
      </c>
      <c r="B740" s="8" t="s">
        <v>1377</v>
      </c>
      <c r="C740" s="8" t="s">
        <v>1049</v>
      </c>
      <c r="D740" s="8" t="s">
        <v>264</v>
      </c>
      <c r="E740" s="8" t="s">
        <v>40</v>
      </c>
    </row>
    <row r="741" spans="1:5">
      <c r="A741" s="8">
        <v>2148</v>
      </c>
      <c r="B741" s="8" t="s">
        <v>1378</v>
      </c>
      <c r="C741" s="8" t="s">
        <v>1049</v>
      </c>
      <c r="D741" s="8" t="s">
        <v>264</v>
      </c>
      <c r="E741" s="8" t="s">
        <v>40</v>
      </c>
    </row>
    <row r="742" spans="1:5">
      <c r="A742" s="8">
        <v>2151</v>
      </c>
      <c r="B742" s="8" t="s">
        <v>1379</v>
      </c>
      <c r="C742" s="8" t="s">
        <v>1380</v>
      </c>
      <c r="D742" s="8" t="s">
        <v>121</v>
      </c>
      <c r="E742" s="8" t="s">
        <v>40</v>
      </c>
    </row>
    <row r="743" spans="1:5">
      <c r="A743" s="8">
        <v>2152</v>
      </c>
      <c r="B743" s="8" t="s">
        <v>1381</v>
      </c>
      <c r="C743" s="8" t="s">
        <v>1382</v>
      </c>
      <c r="D743" s="8" t="s">
        <v>57</v>
      </c>
      <c r="E743" s="8" t="s">
        <v>40</v>
      </c>
    </row>
    <row r="744" spans="1:5">
      <c r="A744" s="8">
        <v>2158</v>
      </c>
      <c r="B744" s="8" t="s">
        <v>1383</v>
      </c>
      <c r="C744" s="8" t="s">
        <v>420</v>
      </c>
      <c r="D744" s="8" t="s">
        <v>164</v>
      </c>
      <c r="E744" s="8" t="s">
        <v>40</v>
      </c>
    </row>
    <row r="745" spans="1:5">
      <c r="A745" s="8">
        <v>2161</v>
      </c>
      <c r="B745" s="8" t="s">
        <v>1110</v>
      </c>
      <c r="C745" s="8" t="s">
        <v>1384</v>
      </c>
      <c r="D745" s="8" t="s">
        <v>54</v>
      </c>
      <c r="E745" s="8" t="s">
        <v>40</v>
      </c>
    </row>
    <row r="746" spans="1:5">
      <c r="A746" s="8">
        <v>2164</v>
      </c>
      <c r="B746" s="8" t="s">
        <v>1385</v>
      </c>
      <c r="C746" s="8" t="s">
        <v>1386</v>
      </c>
      <c r="D746" s="8" t="s">
        <v>691</v>
      </c>
      <c r="E746" s="8" t="s">
        <v>40</v>
      </c>
    </row>
    <row r="747" spans="1:5">
      <c r="A747" s="8">
        <v>2165</v>
      </c>
      <c r="B747" s="8" t="s">
        <v>1387</v>
      </c>
      <c r="C747" s="8" t="s">
        <v>1388</v>
      </c>
      <c r="D747" s="8" t="s">
        <v>69</v>
      </c>
      <c r="E747" s="8" t="s">
        <v>40</v>
      </c>
    </row>
    <row r="748" spans="1:5">
      <c r="A748" s="8">
        <v>2167</v>
      </c>
      <c r="B748" s="8" t="s">
        <v>1389</v>
      </c>
      <c r="C748" s="8" t="s">
        <v>1390</v>
      </c>
      <c r="D748" s="8" t="s">
        <v>691</v>
      </c>
      <c r="E748" s="8" t="s">
        <v>40</v>
      </c>
    </row>
    <row r="749" spans="1:5">
      <c r="A749" s="8">
        <v>2168</v>
      </c>
      <c r="B749" s="8" t="s">
        <v>1391</v>
      </c>
      <c r="C749" s="8" t="s">
        <v>860</v>
      </c>
      <c r="D749" s="8" t="s">
        <v>201</v>
      </c>
      <c r="E749" s="8" t="s">
        <v>40</v>
      </c>
    </row>
    <row r="750" spans="1:5">
      <c r="A750" s="8">
        <v>2169</v>
      </c>
      <c r="B750" s="8" t="s">
        <v>1392</v>
      </c>
      <c r="C750" s="8" t="s">
        <v>1393</v>
      </c>
      <c r="D750" s="8" t="s">
        <v>1221</v>
      </c>
      <c r="E750" s="8" t="s">
        <v>40</v>
      </c>
    </row>
    <row r="751" spans="1:5">
      <c r="A751" s="8">
        <v>2170</v>
      </c>
      <c r="B751" s="8" t="s">
        <v>1394</v>
      </c>
      <c r="C751" s="8" t="s">
        <v>1395</v>
      </c>
      <c r="D751" s="8" t="s">
        <v>201</v>
      </c>
      <c r="E751" s="8" t="s">
        <v>40</v>
      </c>
    </row>
    <row r="752" spans="1:5">
      <c r="A752" s="8">
        <v>2171</v>
      </c>
      <c r="B752" s="8" t="s">
        <v>1350</v>
      </c>
      <c r="C752" s="8" t="s">
        <v>1396</v>
      </c>
      <c r="D752" s="8" t="s">
        <v>79</v>
      </c>
      <c r="E752" s="8" t="s">
        <v>40</v>
      </c>
    </row>
    <row r="753" spans="1:5">
      <c r="A753" s="8">
        <v>2172</v>
      </c>
      <c r="B753" s="8" t="s">
        <v>1397</v>
      </c>
      <c r="C753" s="8" t="s">
        <v>1398</v>
      </c>
      <c r="D753" s="8" t="s">
        <v>81</v>
      </c>
      <c r="E753" s="8" t="s">
        <v>40</v>
      </c>
    </row>
    <row r="754" spans="1:5">
      <c r="A754" s="8">
        <v>2175</v>
      </c>
      <c r="B754" s="8" t="s">
        <v>1399</v>
      </c>
      <c r="C754" s="8" t="s">
        <v>1319</v>
      </c>
      <c r="D754" s="8" t="s">
        <v>1221</v>
      </c>
      <c r="E754" s="8" t="s">
        <v>40</v>
      </c>
    </row>
    <row r="755" spans="1:5">
      <c r="A755" s="8">
        <v>2177</v>
      </c>
      <c r="B755" s="8" t="s">
        <v>1400</v>
      </c>
      <c r="C755" s="8" t="s">
        <v>1401</v>
      </c>
      <c r="D755" s="8" t="s">
        <v>1221</v>
      </c>
      <c r="E755" s="8" t="s">
        <v>40</v>
      </c>
    </row>
    <row r="756" spans="1:5">
      <c r="A756" s="8">
        <v>2180</v>
      </c>
      <c r="B756" s="8" t="s">
        <v>1402</v>
      </c>
      <c r="C756" s="8" t="s">
        <v>1403</v>
      </c>
      <c r="D756" s="8" t="s">
        <v>48</v>
      </c>
      <c r="E756" s="8" t="s">
        <v>40</v>
      </c>
    </row>
    <row r="757" spans="1:5">
      <c r="A757" s="8">
        <v>2181</v>
      </c>
      <c r="B757" s="8" t="s">
        <v>1404</v>
      </c>
      <c r="C757" s="8" t="s">
        <v>1405</v>
      </c>
      <c r="D757" s="8" t="s">
        <v>1221</v>
      </c>
      <c r="E757" s="8" t="s">
        <v>40</v>
      </c>
    </row>
    <row r="758" spans="1:5">
      <c r="A758" s="8">
        <v>2183</v>
      </c>
      <c r="B758" s="8" t="s">
        <v>1406</v>
      </c>
      <c r="C758" s="8" t="s">
        <v>1407</v>
      </c>
      <c r="D758" s="8" t="s">
        <v>1226</v>
      </c>
      <c r="E758" s="8" t="s">
        <v>40</v>
      </c>
    </row>
    <row r="759" spans="1:5">
      <c r="A759" s="8">
        <v>2186</v>
      </c>
      <c r="B759" s="8" t="s">
        <v>1408</v>
      </c>
      <c r="C759" s="8" t="s">
        <v>535</v>
      </c>
      <c r="D759" s="8" t="s">
        <v>159</v>
      </c>
      <c r="E759" s="8" t="s">
        <v>40</v>
      </c>
    </row>
    <row r="760" spans="1:5">
      <c r="A760" s="8">
        <v>2187</v>
      </c>
      <c r="B760" s="8" t="s">
        <v>1409</v>
      </c>
      <c r="C760" s="8" t="s">
        <v>1410</v>
      </c>
      <c r="D760" s="8" t="s">
        <v>319</v>
      </c>
      <c r="E760" s="8" t="s">
        <v>40</v>
      </c>
    </row>
    <row r="761" spans="1:5">
      <c r="A761" s="8">
        <v>2190</v>
      </c>
      <c r="B761" s="8" t="s">
        <v>1411</v>
      </c>
      <c r="C761" s="8" t="s">
        <v>1412</v>
      </c>
      <c r="D761" s="8" t="s">
        <v>393</v>
      </c>
      <c r="E761" s="8" t="s">
        <v>40</v>
      </c>
    </row>
    <row r="762" spans="1:5">
      <c r="A762" s="8">
        <v>2191</v>
      </c>
      <c r="B762" s="8" t="s">
        <v>1413</v>
      </c>
      <c r="C762" s="8" t="s">
        <v>1403</v>
      </c>
      <c r="D762" s="8" t="s">
        <v>48</v>
      </c>
      <c r="E762" s="8" t="s">
        <v>40</v>
      </c>
    </row>
    <row r="763" spans="1:5">
      <c r="A763" s="8">
        <v>2194</v>
      </c>
      <c r="B763" s="8" t="s">
        <v>1414</v>
      </c>
      <c r="C763" s="8" t="s">
        <v>1415</v>
      </c>
      <c r="D763" s="8" t="s">
        <v>132</v>
      </c>
      <c r="E763" s="8" t="s">
        <v>40</v>
      </c>
    </row>
    <row r="764" spans="1:5">
      <c r="A764" s="8">
        <v>2197</v>
      </c>
      <c r="B764" s="8" t="s">
        <v>1416</v>
      </c>
      <c r="C764" s="8" t="s">
        <v>1417</v>
      </c>
      <c r="D764" s="8" t="s">
        <v>79</v>
      </c>
      <c r="E764" s="8" t="s">
        <v>40</v>
      </c>
    </row>
    <row r="765" spans="1:5">
      <c r="A765" s="8">
        <v>2199</v>
      </c>
      <c r="B765" s="8" t="s">
        <v>1418</v>
      </c>
      <c r="C765" s="8" t="s">
        <v>1419</v>
      </c>
      <c r="D765" s="8" t="s">
        <v>438</v>
      </c>
      <c r="E765" s="8" t="s">
        <v>40</v>
      </c>
    </row>
    <row r="766" spans="1:5">
      <c r="A766" s="8">
        <v>2200</v>
      </c>
      <c r="B766" s="8" t="s">
        <v>1420</v>
      </c>
      <c r="C766" s="8" t="s">
        <v>1421</v>
      </c>
      <c r="D766" s="8" t="s">
        <v>238</v>
      </c>
      <c r="E766" s="8" t="s">
        <v>239</v>
      </c>
    </row>
    <row r="767" spans="1:5">
      <c r="A767" s="8">
        <v>2202</v>
      </c>
      <c r="B767" s="8" t="s">
        <v>1422</v>
      </c>
      <c r="C767" s="8" t="s">
        <v>774</v>
      </c>
      <c r="D767" s="8" t="s">
        <v>132</v>
      </c>
      <c r="E767" s="8" t="s">
        <v>40</v>
      </c>
    </row>
    <row r="768" spans="1:5">
      <c r="A768" s="8">
        <v>2204</v>
      </c>
      <c r="B768" s="8" t="s">
        <v>505</v>
      </c>
      <c r="C768" s="8" t="s">
        <v>1423</v>
      </c>
      <c r="D768" s="8" t="s">
        <v>43</v>
      </c>
      <c r="E768" s="8" t="s">
        <v>40</v>
      </c>
    </row>
    <row r="769" spans="1:5">
      <c r="A769" s="8">
        <v>2207</v>
      </c>
      <c r="B769" s="8" t="s">
        <v>1424</v>
      </c>
      <c r="C769" s="8" t="s">
        <v>1425</v>
      </c>
      <c r="D769" s="8" t="s">
        <v>1221</v>
      </c>
      <c r="E769" s="8" t="s">
        <v>40</v>
      </c>
    </row>
    <row r="770" spans="1:5">
      <c r="A770" s="8">
        <v>2212</v>
      </c>
      <c r="B770" s="8" t="s">
        <v>1426</v>
      </c>
      <c r="C770" s="8" t="s">
        <v>1427</v>
      </c>
      <c r="D770" s="8" t="s">
        <v>1034</v>
      </c>
      <c r="E770" s="8" t="s">
        <v>1026</v>
      </c>
    </row>
    <row r="771" spans="1:5">
      <c r="A771" s="8">
        <v>2220</v>
      </c>
      <c r="B771" s="8" t="s">
        <v>1428</v>
      </c>
      <c r="C771" s="8" t="s">
        <v>1429</v>
      </c>
      <c r="D771" s="8" t="s">
        <v>1221</v>
      </c>
      <c r="E771" s="8" t="s">
        <v>40</v>
      </c>
    </row>
    <row r="772" spans="1:5">
      <c r="A772" s="8">
        <v>2221</v>
      </c>
      <c r="B772" s="8" t="s">
        <v>1430</v>
      </c>
      <c r="C772" s="8" t="s">
        <v>1431</v>
      </c>
      <c r="D772" s="8" t="s">
        <v>1226</v>
      </c>
      <c r="E772" s="8" t="s">
        <v>40</v>
      </c>
    </row>
    <row r="773" spans="1:5">
      <c r="A773" s="8">
        <v>2224</v>
      </c>
      <c r="B773" s="8" t="s">
        <v>1432</v>
      </c>
      <c r="C773" s="8" t="s">
        <v>1114</v>
      </c>
      <c r="D773" s="8" t="s">
        <v>39</v>
      </c>
      <c r="E773" s="8" t="s">
        <v>40</v>
      </c>
    </row>
    <row r="774" spans="1:5">
      <c r="A774" s="8">
        <v>2225</v>
      </c>
      <c r="B774" s="8" t="s">
        <v>1433</v>
      </c>
      <c r="C774" s="8" t="s">
        <v>1434</v>
      </c>
      <c r="D774" s="8" t="s">
        <v>1221</v>
      </c>
      <c r="E774" s="8" t="s">
        <v>40</v>
      </c>
    </row>
    <row r="775" spans="1:5">
      <c r="A775" s="8">
        <v>2227</v>
      </c>
      <c r="B775" s="8" t="s">
        <v>1435</v>
      </c>
      <c r="C775" s="8" t="s">
        <v>1436</v>
      </c>
      <c r="D775" s="8" t="s">
        <v>1221</v>
      </c>
      <c r="E775" s="8" t="s">
        <v>40</v>
      </c>
    </row>
    <row r="776" spans="1:5">
      <c r="A776" s="8">
        <v>2228</v>
      </c>
      <c r="B776" s="8" t="s">
        <v>1437</v>
      </c>
      <c r="C776" s="8" t="s">
        <v>1438</v>
      </c>
      <c r="D776" s="8" t="s">
        <v>54</v>
      </c>
      <c r="E776" s="8" t="s">
        <v>40</v>
      </c>
    </row>
    <row r="777" spans="1:5">
      <c r="A777" s="8">
        <v>2230</v>
      </c>
      <c r="B777" s="8" t="s">
        <v>1439</v>
      </c>
      <c r="C777" s="8" t="s">
        <v>1440</v>
      </c>
      <c r="D777" s="8" t="s">
        <v>1034</v>
      </c>
      <c r="E777" s="8" t="s">
        <v>1026</v>
      </c>
    </row>
    <row r="778" spans="1:5">
      <c r="A778" s="8">
        <v>2231</v>
      </c>
      <c r="B778" s="8" t="s">
        <v>1441</v>
      </c>
      <c r="C778" s="8" t="s">
        <v>1442</v>
      </c>
      <c r="D778" s="8" t="s">
        <v>1034</v>
      </c>
      <c r="E778" s="8" t="s">
        <v>1026</v>
      </c>
    </row>
    <row r="779" spans="1:5">
      <c r="A779" s="8">
        <v>2232</v>
      </c>
      <c r="B779" s="8" t="s">
        <v>1443</v>
      </c>
      <c r="C779" s="8" t="s">
        <v>1444</v>
      </c>
      <c r="D779" s="8" t="s">
        <v>1221</v>
      </c>
      <c r="E779" s="8" t="s">
        <v>40</v>
      </c>
    </row>
    <row r="780" spans="1:5">
      <c r="A780" s="8">
        <v>2234</v>
      </c>
      <c r="B780" s="8" t="s">
        <v>1445</v>
      </c>
      <c r="C780" s="8" t="s">
        <v>1354</v>
      </c>
      <c r="D780" s="8" t="s">
        <v>97</v>
      </c>
      <c r="E780" s="8" t="s">
        <v>40</v>
      </c>
    </row>
    <row r="781" spans="1:5">
      <c r="A781" s="8">
        <v>2239</v>
      </c>
      <c r="B781" s="8" t="s">
        <v>1446</v>
      </c>
      <c r="C781" s="8" t="s">
        <v>1323</v>
      </c>
      <c r="D781" s="8" t="s">
        <v>1221</v>
      </c>
      <c r="E781" s="8" t="s">
        <v>40</v>
      </c>
    </row>
    <row r="782" spans="1:5">
      <c r="A782" s="8">
        <v>2240</v>
      </c>
      <c r="B782" s="8" t="s">
        <v>1447</v>
      </c>
      <c r="C782" s="8" t="s">
        <v>905</v>
      </c>
      <c r="D782" s="8" t="s">
        <v>208</v>
      </c>
      <c r="E782" s="8" t="s">
        <v>40</v>
      </c>
    </row>
    <row r="783" spans="1:5">
      <c r="A783" s="8">
        <v>2246</v>
      </c>
      <c r="B783" s="8" t="s">
        <v>1448</v>
      </c>
      <c r="C783" s="8" t="s">
        <v>1449</v>
      </c>
      <c r="D783" s="8" t="s">
        <v>39</v>
      </c>
      <c r="E783" s="8" t="s">
        <v>40</v>
      </c>
    </row>
    <row r="784" spans="1:5">
      <c r="A784" s="8">
        <v>2252</v>
      </c>
      <c r="B784" s="8" t="s">
        <v>1450</v>
      </c>
      <c r="C784" s="8" t="s">
        <v>1451</v>
      </c>
      <c r="D784" s="8" t="s">
        <v>81</v>
      </c>
      <c r="E784" s="8" t="s">
        <v>40</v>
      </c>
    </row>
    <row r="785" spans="1:5">
      <c r="A785" s="8">
        <v>2259</v>
      </c>
      <c r="B785" s="8" t="s">
        <v>1452</v>
      </c>
      <c r="C785" s="8" t="s">
        <v>905</v>
      </c>
      <c r="D785" s="8" t="s">
        <v>208</v>
      </c>
      <c r="E785" s="8" t="s">
        <v>40</v>
      </c>
    </row>
    <row r="786" spans="1:5">
      <c r="A786" s="8">
        <v>2261</v>
      </c>
      <c r="B786" s="8" t="s">
        <v>1453</v>
      </c>
      <c r="C786" s="8" t="s">
        <v>1060</v>
      </c>
      <c r="D786" s="8" t="s">
        <v>208</v>
      </c>
      <c r="E786" s="8" t="s">
        <v>40</v>
      </c>
    </row>
    <row r="787" spans="1:5">
      <c r="A787" s="8">
        <v>2262</v>
      </c>
      <c r="B787" s="8" t="s">
        <v>1454</v>
      </c>
      <c r="C787" s="8" t="s">
        <v>1455</v>
      </c>
      <c r="D787" s="8" t="s">
        <v>60</v>
      </c>
      <c r="E787" s="8" t="s">
        <v>40</v>
      </c>
    </row>
    <row r="788" spans="1:5">
      <c r="A788" s="8">
        <v>2264</v>
      </c>
      <c r="B788" s="8" t="s">
        <v>1456</v>
      </c>
      <c r="C788" s="8" t="s">
        <v>59</v>
      </c>
      <c r="D788" s="8" t="s">
        <v>1221</v>
      </c>
      <c r="E788" s="8" t="s">
        <v>40</v>
      </c>
    </row>
    <row r="789" spans="1:5">
      <c r="A789" s="8">
        <v>2265</v>
      </c>
      <c r="B789" s="8" t="s">
        <v>1457</v>
      </c>
      <c r="C789" s="8" t="s">
        <v>414</v>
      </c>
      <c r="D789" s="8" t="s">
        <v>54</v>
      </c>
      <c r="E789" s="8" t="s">
        <v>40</v>
      </c>
    </row>
    <row r="790" spans="1:5">
      <c r="A790" s="8">
        <v>2283</v>
      </c>
      <c r="B790" s="8" t="s">
        <v>1458</v>
      </c>
      <c r="C790" s="8" t="s">
        <v>1459</v>
      </c>
      <c r="D790" s="8" t="s">
        <v>1460</v>
      </c>
      <c r="E790" s="8" t="s">
        <v>1461</v>
      </c>
    </row>
    <row r="791" spans="1:5">
      <c r="A791" s="8">
        <v>2333</v>
      </c>
      <c r="B791" s="8" t="s">
        <v>1462</v>
      </c>
      <c r="C791" s="8" t="s">
        <v>1463</v>
      </c>
      <c r="D791" s="8" t="s">
        <v>69</v>
      </c>
      <c r="E791" s="8" t="s">
        <v>40</v>
      </c>
    </row>
    <row r="792" spans="1:5">
      <c r="A792" s="8">
        <v>2335</v>
      </c>
      <c r="B792" s="8" t="s">
        <v>1464</v>
      </c>
      <c r="C792" s="8" t="s">
        <v>1465</v>
      </c>
      <c r="D792" s="8" t="s">
        <v>696</v>
      </c>
      <c r="E792" s="8" t="s">
        <v>40</v>
      </c>
    </row>
    <row r="793" spans="1:5">
      <c r="A793" s="8">
        <v>2337</v>
      </c>
      <c r="B793" s="8" t="s">
        <v>1466</v>
      </c>
      <c r="C793" s="8" t="s">
        <v>1467</v>
      </c>
      <c r="D793" s="8" t="s">
        <v>39</v>
      </c>
      <c r="E793" s="8" t="s">
        <v>40</v>
      </c>
    </row>
    <row r="794" spans="1:5">
      <c r="A794" s="8">
        <v>2338</v>
      </c>
      <c r="B794" s="8" t="s">
        <v>1468</v>
      </c>
      <c r="C794" s="8" t="s">
        <v>1469</v>
      </c>
      <c r="D794" s="8" t="s">
        <v>121</v>
      </c>
      <c r="E794" s="8" t="s">
        <v>40</v>
      </c>
    </row>
    <row r="795" spans="1:5">
      <c r="A795" s="8">
        <v>2339</v>
      </c>
      <c r="B795" s="8" t="s">
        <v>1470</v>
      </c>
      <c r="C795" s="8" t="s">
        <v>416</v>
      </c>
      <c r="D795" s="8" t="s">
        <v>43</v>
      </c>
      <c r="E795" s="8" t="s">
        <v>40</v>
      </c>
    </row>
    <row r="796" spans="1:5">
      <c r="A796" s="8">
        <v>2340</v>
      </c>
      <c r="B796" s="8" t="s">
        <v>1471</v>
      </c>
      <c r="C796" s="8" t="s">
        <v>243</v>
      </c>
      <c r="D796" s="8" t="s">
        <v>54</v>
      </c>
      <c r="E796" s="8" t="s">
        <v>40</v>
      </c>
    </row>
    <row r="797" spans="1:5">
      <c r="A797" s="8">
        <v>2341</v>
      </c>
      <c r="B797" s="8" t="s">
        <v>760</v>
      </c>
      <c r="C797" s="8" t="s">
        <v>1217</v>
      </c>
      <c r="D797" s="8" t="s">
        <v>69</v>
      </c>
      <c r="E797" s="8" t="s">
        <v>40</v>
      </c>
    </row>
    <row r="798" spans="1:5">
      <c r="A798" s="8">
        <v>2342</v>
      </c>
      <c r="B798" s="8" t="s">
        <v>582</v>
      </c>
      <c r="C798" s="8" t="s">
        <v>198</v>
      </c>
      <c r="D798" s="8" t="s">
        <v>181</v>
      </c>
      <c r="E798" s="8" t="s">
        <v>40</v>
      </c>
    </row>
    <row r="799" spans="1:5">
      <c r="A799" s="8">
        <v>2344</v>
      </c>
      <c r="B799" s="8" t="s">
        <v>1472</v>
      </c>
      <c r="C799" s="8" t="s">
        <v>1473</v>
      </c>
      <c r="D799" s="8" t="s">
        <v>54</v>
      </c>
      <c r="E799" s="8" t="s">
        <v>40</v>
      </c>
    </row>
    <row r="800" spans="1:5">
      <c r="A800" s="8">
        <v>2345</v>
      </c>
      <c r="B800" s="8" t="s">
        <v>1474</v>
      </c>
      <c r="C800" s="8" t="s">
        <v>1475</v>
      </c>
      <c r="D800" s="8" t="s">
        <v>691</v>
      </c>
      <c r="E800" s="8" t="s">
        <v>40</v>
      </c>
    </row>
    <row r="801" spans="1:5">
      <c r="A801" s="8">
        <v>2347</v>
      </c>
      <c r="B801" s="8" t="s">
        <v>1476</v>
      </c>
      <c r="C801" s="8" t="s">
        <v>1477</v>
      </c>
      <c r="D801" s="8" t="s">
        <v>54</v>
      </c>
      <c r="E801" s="8" t="s">
        <v>40</v>
      </c>
    </row>
    <row r="802" spans="1:5">
      <c r="A802" s="8">
        <v>2352</v>
      </c>
      <c r="B802" s="8" t="s">
        <v>1478</v>
      </c>
      <c r="C802" s="8" t="s">
        <v>1479</v>
      </c>
      <c r="D802" s="8" t="s">
        <v>69</v>
      </c>
      <c r="E802" s="8" t="s">
        <v>40</v>
      </c>
    </row>
    <row r="803" spans="1:5">
      <c r="A803" s="8">
        <v>2353</v>
      </c>
      <c r="B803" s="8" t="s">
        <v>1480</v>
      </c>
      <c r="C803" s="8" t="s">
        <v>1179</v>
      </c>
      <c r="D803" s="8" t="s">
        <v>691</v>
      </c>
      <c r="E803" s="8" t="s">
        <v>40</v>
      </c>
    </row>
    <row r="804" spans="1:5">
      <c r="A804" s="8">
        <v>2354</v>
      </c>
      <c r="B804" s="8" t="s">
        <v>1481</v>
      </c>
      <c r="C804" s="8" t="s">
        <v>1482</v>
      </c>
      <c r="D804" s="8" t="s">
        <v>69</v>
      </c>
      <c r="E804" s="8" t="s">
        <v>40</v>
      </c>
    </row>
    <row r="805" spans="1:5">
      <c r="A805" s="8">
        <v>2357</v>
      </c>
      <c r="B805" s="8" t="s">
        <v>1483</v>
      </c>
      <c r="C805" s="8" t="s">
        <v>1484</v>
      </c>
      <c r="D805" s="8" t="s">
        <v>691</v>
      </c>
      <c r="E805" s="8" t="s">
        <v>40</v>
      </c>
    </row>
    <row r="806" spans="1:5">
      <c r="A806" s="8">
        <v>2358</v>
      </c>
      <c r="B806" s="8" t="s">
        <v>1485</v>
      </c>
      <c r="C806" s="8" t="s">
        <v>1486</v>
      </c>
      <c r="D806" s="8" t="s">
        <v>121</v>
      </c>
      <c r="E806" s="8" t="s">
        <v>40</v>
      </c>
    </row>
    <row r="807" spans="1:5">
      <c r="A807" s="8">
        <v>2359</v>
      </c>
      <c r="B807" s="8" t="s">
        <v>1487</v>
      </c>
      <c r="C807" s="8" t="s">
        <v>1488</v>
      </c>
      <c r="D807" s="8" t="s">
        <v>69</v>
      </c>
      <c r="E807" s="8" t="s">
        <v>40</v>
      </c>
    </row>
    <row r="808" spans="1:5">
      <c r="A808" s="8">
        <v>2363</v>
      </c>
      <c r="B808" s="8" t="s">
        <v>1489</v>
      </c>
      <c r="C808" s="8" t="s">
        <v>1490</v>
      </c>
      <c r="D808" s="8" t="s">
        <v>159</v>
      </c>
      <c r="E808" s="8" t="s">
        <v>40</v>
      </c>
    </row>
    <row r="809" spans="1:5">
      <c r="A809" s="8">
        <v>2367</v>
      </c>
      <c r="B809" s="8" t="s">
        <v>1491</v>
      </c>
      <c r="C809" s="8" t="s">
        <v>713</v>
      </c>
      <c r="D809" s="8" t="s">
        <v>43</v>
      </c>
      <c r="E809" s="8" t="s">
        <v>40</v>
      </c>
    </row>
    <row r="810" spans="1:5">
      <c r="A810" s="8">
        <v>2370</v>
      </c>
      <c r="B810" s="8" t="s">
        <v>1492</v>
      </c>
      <c r="C810" s="8" t="s">
        <v>1493</v>
      </c>
      <c r="D810" s="8" t="s">
        <v>137</v>
      </c>
      <c r="E810" s="8" t="s">
        <v>40</v>
      </c>
    </row>
    <row r="811" spans="1:5">
      <c r="A811" s="8">
        <v>2373</v>
      </c>
      <c r="B811" s="8" t="s">
        <v>1494</v>
      </c>
      <c r="C811" s="8" t="s">
        <v>1495</v>
      </c>
      <c r="D811" s="8" t="s">
        <v>69</v>
      </c>
      <c r="E811" s="8" t="s">
        <v>40</v>
      </c>
    </row>
    <row r="812" spans="1:5">
      <c r="A812" s="8">
        <v>2374</v>
      </c>
      <c r="B812" s="8" t="s">
        <v>1496</v>
      </c>
      <c r="C812" s="8" t="s">
        <v>944</v>
      </c>
      <c r="D812" s="8" t="s">
        <v>603</v>
      </c>
      <c r="E812" s="8" t="s">
        <v>40</v>
      </c>
    </row>
    <row r="813" spans="1:5">
      <c r="A813" s="8">
        <v>2375</v>
      </c>
      <c r="B813" s="8" t="s">
        <v>1497</v>
      </c>
      <c r="C813" s="8" t="s">
        <v>641</v>
      </c>
      <c r="D813" s="8" t="s">
        <v>92</v>
      </c>
      <c r="E813" s="8" t="s">
        <v>40</v>
      </c>
    </row>
    <row r="814" spans="1:5">
      <c r="A814" s="8">
        <v>2377</v>
      </c>
      <c r="B814" s="8" t="s">
        <v>1498</v>
      </c>
      <c r="C814" s="8" t="s">
        <v>282</v>
      </c>
      <c r="D814" s="8" t="s">
        <v>438</v>
      </c>
      <c r="E814" s="8" t="s">
        <v>40</v>
      </c>
    </row>
    <row r="815" spans="1:5">
      <c r="A815" s="8">
        <v>2383</v>
      </c>
      <c r="B815" s="8" t="s">
        <v>1499</v>
      </c>
      <c r="C815" s="8" t="s">
        <v>150</v>
      </c>
      <c r="D815" s="8" t="s">
        <v>57</v>
      </c>
      <c r="E815" s="8" t="s">
        <v>40</v>
      </c>
    </row>
    <row r="816" spans="1:5">
      <c r="A816" s="8">
        <v>2386</v>
      </c>
      <c r="B816" s="8" t="s">
        <v>1500</v>
      </c>
      <c r="C816" s="8" t="s">
        <v>1421</v>
      </c>
      <c r="D816" s="8" t="s">
        <v>238</v>
      </c>
      <c r="E816" s="8" t="s">
        <v>239</v>
      </c>
    </row>
    <row r="817" spans="1:5">
      <c r="A817" s="8">
        <v>2393</v>
      </c>
      <c r="B817" s="8" t="s">
        <v>1501</v>
      </c>
      <c r="C817" s="8" t="s">
        <v>954</v>
      </c>
      <c r="D817" s="8" t="s">
        <v>490</v>
      </c>
      <c r="E817" s="8" t="s">
        <v>40</v>
      </c>
    </row>
    <row r="818" spans="1:5">
      <c r="A818" s="8">
        <v>2395</v>
      </c>
      <c r="B818" s="8" t="s">
        <v>1502</v>
      </c>
      <c r="C818" s="8" t="s">
        <v>1015</v>
      </c>
      <c r="D818" s="8" t="s">
        <v>69</v>
      </c>
      <c r="E818" s="8" t="s">
        <v>40</v>
      </c>
    </row>
    <row r="819" spans="1:5">
      <c r="A819" s="8">
        <v>2398</v>
      </c>
      <c r="B819" s="8" t="s">
        <v>1503</v>
      </c>
      <c r="C819" s="8" t="s">
        <v>1504</v>
      </c>
      <c r="D819" s="8" t="s">
        <v>69</v>
      </c>
      <c r="E819" s="8" t="s">
        <v>40</v>
      </c>
    </row>
    <row r="820" spans="1:5">
      <c r="A820" s="8">
        <v>2399</v>
      </c>
      <c r="B820" s="8" t="s">
        <v>1505</v>
      </c>
      <c r="C820" s="8" t="s">
        <v>1506</v>
      </c>
      <c r="D820" s="8" t="s">
        <v>81</v>
      </c>
      <c r="E820" s="8" t="s">
        <v>40</v>
      </c>
    </row>
    <row r="821" spans="1:5">
      <c r="A821" s="8">
        <v>2403</v>
      </c>
      <c r="B821" s="8" t="s">
        <v>1507</v>
      </c>
      <c r="C821" s="8" t="s">
        <v>1508</v>
      </c>
      <c r="D821" s="8" t="s">
        <v>92</v>
      </c>
      <c r="E821" s="8" t="s">
        <v>40</v>
      </c>
    </row>
    <row r="822" spans="1:5">
      <c r="A822" s="8">
        <v>2404</v>
      </c>
      <c r="B822" s="8" t="s">
        <v>1509</v>
      </c>
      <c r="C822" s="8" t="s">
        <v>1510</v>
      </c>
      <c r="D822" s="8" t="s">
        <v>43</v>
      </c>
      <c r="E822" s="8" t="s">
        <v>40</v>
      </c>
    </row>
    <row r="823" spans="1:5">
      <c r="A823" s="8">
        <v>2405</v>
      </c>
      <c r="B823" s="8" t="s">
        <v>1511</v>
      </c>
      <c r="C823" s="8" t="s">
        <v>1512</v>
      </c>
      <c r="D823" s="8" t="s">
        <v>39</v>
      </c>
      <c r="E823" s="8" t="s">
        <v>40</v>
      </c>
    </row>
    <row r="824" spans="1:5">
      <c r="A824" s="8">
        <v>2408</v>
      </c>
      <c r="B824" s="8" t="s">
        <v>1513</v>
      </c>
      <c r="C824" s="8" t="s">
        <v>1514</v>
      </c>
      <c r="D824" s="8" t="s">
        <v>691</v>
      </c>
      <c r="E824" s="8" t="s">
        <v>40</v>
      </c>
    </row>
    <row r="825" spans="1:5">
      <c r="A825" s="8">
        <v>2410</v>
      </c>
      <c r="B825" s="8" t="s">
        <v>1515</v>
      </c>
      <c r="C825" s="8" t="s">
        <v>1189</v>
      </c>
      <c r="D825" s="8" t="s">
        <v>696</v>
      </c>
      <c r="E825" s="8" t="s">
        <v>40</v>
      </c>
    </row>
    <row r="826" spans="1:5">
      <c r="A826" s="8">
        <v>2411</v>
      </c>
      <c r="B826" s="8" t="s">
        <v>1516</v>
      </c>
      <c r="C826" s="8" t="s">
        <v>944</v>
      </c>
      <c r="D826" s="8" t="s">
        <v>603</v>
      </c>
      <c r="E826" s="8" t="s">
        <v>40</v>
      </c>
    </row>
    <row r="827" spans="1:5">
      <c r="A827" s="8">
        <v>2412</v>
      </c>
      <c r="B827" s="8" t="s">
        <v>1517</v>
      </c>
      <c r="C827" s="8" t="s">
        <v>460</v>
      </c>
      <c r="D827" s="8" t="s">
        <v>264</v>
      </c>
      <c r="E827" s="8" t="s">
        <v>40</v>
      </c>
    </row>
    <row r="828" spans="1:5">
      <c r="A828" s="8">
        <v>2415</v>
      </c>
      <c r="B828" s="8" t="s">
        <v>1518</v>
      </c>
      <c r="C828" s="8" t="s">
        <v>934</v>
      </c>
      <c r="D828" s="8" t="s">
        <v>630</v>
      </c>
      <c r="E828" s="8" t="s">
        <v>40</v>
      </c>
    </row>
    <row r="829" spans="1:5">
      <c r="A829" s="8">
        <v>2421</v>
      </c>
      <c r="B829" s="8" t="s">
        <v>1519</v>
      </c>
      <c r="C829" s="8" t="s">
        <v>1520</v>
      </c>
      <c r="D829" s="8" t="s">
        <v>159</v>
      </c>
      <c r="E829" s="8" t="s">
        <v>40</v>
      </c>
    </row>
    <row r="830" spans="1:5">
      <c r="A830" s="8">
        <v>2423</v>
      </c>
      <c r="B830" s="8" t="s">
        <v>1521</v>
      </c>
      <c r="C830" s="8" t="s">
        <v>290</v>
      </c>
      <c r="D830" s="8" t="s">
        <v>60</v>
      </c>
      <c r="E830" s="8" t="s">
        <v>40</v>
      </c>
    </row>
    <row r="831" spans="1:5">
      <c r="A831" s="8">
        <v>2424</v>
      </c>
      <c r="B831" s="8" t="s">
        <v>1522</v>
      </c>
      <c r="C831" s="8" t="s">
        <v>1523</v>
      </c>
      <c r="D831" s="8" t="s">
        <v>69</v>
      </c>
      <c r="E831" s="8" t="s">
        <v>40</v>
      </c>
    </row>
    <row r="832" spans="1:5">
      <c r="A832" s="8">
        <v>2425</v>
      </c>
      <c r="B832" s="8" t="s">
        <v>1524</v>
      </c>
      <c r="C832" s="8" t="s">
        <v>913</v>
      </c>
      <c r="D832" s="8" t="s">
        <v>57</v>
      </c>
      <c r="E832" s="8" t="s">
        <v>40</v>
      </c>
    </row>
    <row r="833" spans="1:5">
      <c r="A833" s="8">
        <v>2429</v>
      </c>
      <c r="B833" s="8" t="s">
        <v>1525</v>
      </c>
      <c r="C833" s="8" t="s">
        <v>1526</v>
      </c>
      <c r="D833" s="8" t="s">
        <v>43</v>
      </c>
      <c r="E833" s="8" t="s">
        <v>40</v>
      </c>
    </row>
    <row r="834" spans="1:5">
      <c r="A834" s="8">
        <v>2437</v>
      </c>
      <c r="B834" s="8" t="s">
        <v>1491</v>
      </c>
      <c r="C834" s="8" t="s">
        <v>398</v>
      </c>
      <c r="D834" s="8" t="s">
        <v>388</v>
      </c>
      <c r="E834" s="8" t="s">
        <v>40</v>
      </c>
    </row>
    <row r="835" spans="1:5">
      <c r="A835" s="8">
        <v>2438</v>
      </c>
      <c r="B835" s="8" t="s">
        <v>1527</v>
      </c>
      <c r="C835" s="8" t="s">
        <v>398</v>
      </c>
      <c r="D835" s="8" t="s">
        <v>388</v>
      </c>
      <c r="E835" s="8" t="s">
        <v>40</v>
      </c>
    </row>
    <row r="836" spans="1:5">
      <c r="A836" s="8">
        <v>2439</v>
      </c>
      <c r="B836" s="8" t="s">
        <v>1485</v>
      </c>
      <c r="C836" s="8" t="s">
        <v>1528</v>
      </c>
      <c r="D836" s="8" t="s">
        <v>388</v>
      </c>
      <c r="E836" s="8" t="s">
        <v>40</v>
      </c>
    </row>
    <row r="837" spans="1:5">
      <c r="A837" s="8">
        <v>2441</v>
      </c>
      <c r="B837" s="8" t="s">
        <v>1529</v>
      </c>
      <c r="C837" s="8" t="s">
        <v>398</v>
      </c>
      <c r="D837" s="8" t="s">
        <v>388</v>
      </c>
      <c r="E837" s="8" t="s">
        <v>40</v>
      </c>
    </row>
    <row r="838" spans="1:5">
      <c r="A838" s="8">
        <v>2443</v>
      </c>
      <c r="B838" s="8" t="s">
        <v>1530</v>
      </c>
      <c r="C838" s="8" t="s">
        <v>1531</v>
      </c>
      <c r="D838" s="8" t="s">
        <v>388</v>
      </c>
      <c r="E838" s="8" t="s">
        <v>40</v>
      </c>
    </row>
    <row r="839" spans="1:5">
      <c r="A839" s="8">
        <v>2444</v>
      </c>
      <c r="B839" s="8" t="s">
        <v>1532</v>
      </c>
      <c r="C839" s="8" t="s">
        <v>398</v>
      </c>
      <c r="D839" s="8" t="s">
        <v>388</v>
      </c>
      <c r="E839" s="8" t="s">
        <v>40</v>
      </c>
    </row>
    <row r="840" spans="1:5">
      <c r="A840" s="8">
        <v>2445</v>
      </c>
      <c r="B840" s="8" t="s">
        <v>1533</v>
      </c>
      <c r="C840" s="8" t="s">
        <v>1534</v>
      </c>
      <c r="D840" s="8" t="s">
        <v>388</v>
      </c>
      <c r="E840" s="8" t="s">
        <v>40</v>
      </c>
    </row>
    <row r="841" spans="1:5">
      <c r="A841" s="8">
        <v>2449</v>
      </c>
      <c r="B841" s="8" t="s">
        <v>1535</v>
      </c>
      <c r="C841" s="8" t="s">
        <v>577</v>
      </c>
      <c r="D841" s="8" t="s">
        <v>92</v>
      </c>
      <c r="E841" s="8" t="s">
        <v>40</v>
      </c>
    </row>
    <row r="842" spans="1:5">
      <c r="A842" s="8">
        <v>2450</v>
      </c>
      <c r="B842" s="8" t="s">
        <v>1536</v>
      </c>
      <c r="C842" s="8" t="s">
        <v>1537</v>
      </c>
      <c r="D842" s="8" t="s">
        <v>1221</v>
      </c>
      <c r="E842" s="8" t="s">
        <v>40</v>
      </c>
    </row>
    <row r="843" spans="1:5">
      <c r="A843" s="8">
        <v>2451</v>
      </c>
      <c r="B843" s="8" t="s">
        <v>1538</v>
      </c>
      <c r="C843" s="8" t="s">
        <v>867</v>
      </c>
      <c r="D843" s="8" t="s">
        <v>121</v>
      </c>
      <c r="E843" s="8" t="s">
        <v>40</v>
      </c>
    </row>
    <row r="844" spans="1:5">
      <c r="A844" s="8">
        <v>2457</v>
      </c>
      <c r="B844" s="8" t="s">
        <v>1539</v>
      </c>
      <c r="C844" s="8" t="s">
        <v>1540</v>
      </c>
      <c r="D844" s="8" t="s">
        <v>691</v>
      </c>
      <c r="E844" s="8" t="s">
        <v>40</v>
      </c>
    </row>
    <row r="845" spans="1:5">
      <c r="A845" s="8">
        <v>2458</v>
      </c>
      <c r="B845" s="8" t="s">
        <v>937</v>
      </c>
      <c r="C845" s="8" t="s">
        <v>1541</v>
      </c>
      <c r="D845" s="8" t="s">
        <v>48</v>
      </c>
      <c r="E845" s="8" t="s">
        <v>40</v>
      </c>
    </row>
    <row r="846" spans="1:5">
      <c r="A846" s="8">
        <v>2461</v>
      </c>
      <c r="B846" s="8" t="s">
        <v>1542</v>
      </c>
      <c r="C846" s="8" t="s">
        <v>1015</v>
      </c>
      <c r="D846" s="8" t="s">
        <v>69</v>
      </c>
      <c r="E846" s="8" t="s">
        <v>40</v>
      </c>
    </row>
    <row r="847" spans="1:5">
      <c r="A847" s="8">
        <v>2465</v>
      </c>
      <c r="B847" s="8" t="s">
        <v>1543</v>
      </c>
      <c r="C847" s="8" t="s">
        <v>1544</v>
      </c>
      <c r="D847" s="8" t="s">
        <v>388</v>
      </c>
      <c r="E847" s="8" t="s">
        <v>40</v>
      </c>
    </row>
    <row r="848" spans="1:5">
      <c r="A848" s="8">
        <v>2468</v>
      </c>
      <c r="B848" s="8" t="s">
        <v>1545</v>
      </c>
      <c r="C848" s="8" t="s">
        <v>420</v>
      </c>
      <c r="D848" s="8" t="s">
        <v>164</v>
      </c>
      <c r="E848" s="8" t="s">
        <v>40</v>
      </c>
    </row>
    <row r="849" spans="1:5">
      <c r="A849" s="8">
        <v>2470</v>
      </c>
      <c r="B849" s="8" t="s">
        <v>1546</v>
      </c>
      <c r="C849" s="8" t="s">
        <v>1547</v>
      </c>
      <c r="D849" s="8" t="s">
        <v>1221</v>
      </c>
      <c r="E849" s="8" t="s">
        <v>40</v>
      </c>
    </row>
    <row r="850" spans="1:5">
      <c r="A850" s="8">
        <v>2471</v>
      </c>
      <c r="B850" s="8" t="s">
        <v>1548</v>
      </c>
      <c r="C850" s="8" t="s">
        <v>1549</v>
      </c>
      <c r="D850" s="8" t="s">
        <v>264</v>
      </c>
      <c r="E850" s="8" t="s">
        <v>40</v>
      </c>
    </row>
    <row r="851" spans="1:5">
      <c r="A851" s="8">
        <v>2472</v>
      </c>
      <c r="B851" s="8" t="s">
        <v>1550</v>
      </c>
      <c r="C851" s="8" t="s">
        <v>1551</v>
      </c>
      <c r="D851" s="8" t="s">
        <v>1221</v>
      </c>
      <c r="E851" s="8" t="s">
        <v>40</v>
      </c>
    </row>
    <row r="852" spans="1:5">
      <c r="A852" s="8">
        <v>2473</v>
      </c>
      <c r="B852" s="8" t="s">
        <v>1552</v>
      </c>
      <c r="C852" s="8" t="s">
        <v>156</v>
      </c>
      <c r="D852" s="8" t="s">
        <v>43</v>
      </c>
      <c r="E852" s="8" t="s">
        <v>40</v>
      </c>
    </row>
    <row r="853" spans="1:5">
      <c r="A853" s="8">
        <v>2474</v>
      </c>
      <c r="B853" s="8" t="s">
        <v>1553</v>
      </c>
      <c r="C853" s="8" t="s">
        <v>1554</v>
      </c>
      <c r="D853" s="8" t="s">
        <v>39</v>
      </c>
      <c r="E853" s="8" t="s">
        <v>40</v>
      </c>
    </row>
    <row r="854" spans="1:5">
      <c r="A854" s="8">
        <v>2477</v>
      </c>
      <c r="B854" s="8" t="s">
        <v>1555</v>
      </c>
      <c r="C854" s="8" t="s">
        <v>1556</v>
      </c>
      <c r="D854" s="8" t="s">
        <v>388</v>
      </c>
      <c r="E854" s="8" t="s">
        <v>40</v>
      </c>
    </row>
    <row r="855" spans="1:5">
      <c r="A855" s="8">
        <v>2478</v>
      </c>
      <c r="B855" s="8" t="s">
        <v>1557</v>
      </c>
      <c r="C855" s="8" t="s">
        <v>1508</v>
      </c>
      <c r="D855" s="8" t="s">
        <v>92</v>
      </c>
      <c r="E855" s="8" t="s">
        <v>40</v>
      </c>
    </row>
    <row r="856" spans="1:5">
      <c r="A856" s="8">
        <v>2480</v>
      </c>
      <c r="B856" s="8" t="s">
        <v>1558</v>
      </c>
      <c r="C856" s="8" t="s">
        <v>1364</v>
      </c>
      <c r="D856" s="8" t="s">
        <v>1221</v>
      </c>
      <c r="E856" s="8" t="s">
        <v>40</v>
      </c>
    </row>
    <row r="857" spans="1:5">
      <c r="A857" s="8">
        <v>2481</v>
      </c>
      <c r="B857" s="8" t="s">
        <v>1559</v>
      </c>
      <c r="C857" s="8" t="s">
        <v>1560</v>
      </c>
      <c r="D857" s="8" t="s">
        <v>121</v>
      </c>
      <c r="E857" s="8" t="s">
        <v>40</v>
      </c>
    </row>
    <row r="858" spans="1:5">
      <c r="A858" s="8">
        <v>2484</v>
      </c>
      <c r="B858" s="8" t="s">
        <v>1561</v>
      </c>
      <c r="C858" s="8" t="s">
        <v>1562</v>
      </c>
      <c r="D858" s="8" t="s">
        <v>1563</v>
      </c>
      <c r="E858" s="8" t="s">
        <v>40</v>
      </c>
    </row>
    <row r="859" spans="1:5">
      <c r="A859" s="8">
        <v>2485</v>
      </c>
      <c r="B859" s="8" t="s">
        <v>1564</v>
      </c>
      <c r="C859" s="8" t="s">
        <v>858</v>
      </c>
      <c r="D859" s="8" t="s">
        <v>43</v>
      </c>
      <c r="E859" s="8" t="s">
        <v>40</v>
      </c>
    </row>
    <row r="860" spans="1:5">
      <c r="A860" s="8">
        <v>2486</v>
      </c>
      <c r="B860" s="8" t="s">
        <v>1565</v>
      </c>
      <c r="C860" s="8" t="s">
        <v>1566</v>
      </c>
      <c r="D860" s="8" t="s">
        <v>92</v>
      </c>
      <c r="E860" s="8" t="s">
        <v>40</v>
      </c>
    </row>
    <row r="861" spans="1:5">
      <c r="A861" s="8">
        <v>2487</v>
      </c>
      <c r="B861" s="8" t="s">
        <v>1567</v>
      </c>
      <c r="C861" s="8" t="s">
        <v>1568</v>
      </c>
      <c r="D861" s="8" t="s">
        <v>54</v>
      </c>
      <c r="E861" s="8" t="s">
        <v>40</v>
      </c>
    </row>
    <row r="862" spans="1:5">
      <c r="A862" s="8">
        <v>2489</v>
      </c>
      <c r="B862" s="8" t="s">
        <v>1569</v>
      </c>
      <c r="C862" s="8" t="s">
        <v>1259</v>
      </c>
      <c r="D862" s="8" t="s">
        <v>43</v>
      </c>
      <c r="E862" s="8" t="s">
        <v>40</v>
      </c>
    </row>
    <row r="863" spans="1:5">
      <c r="A863" s="8">
        <v>2491</v>
      </c>
      <c r="B863" s="8" t="s">
        <v>1570</v>
      </c>
      <c r="C863" s="8" t="s">
        <v>1319</v>
      </c>
      <c r="D863" s="8" t="s">
        <v>1221</v>
      </c>
      <c r="E863" s="8" t="s">
        <v>40</v>
      </c>
    </row>
    <row r="864" spans="1:5">
      <c r="A864" s="8">
        <v>2493</v>
      </c>
      <c r="B864" s="8" t="s">
        <v>1571</v>
      </c>
      <c r="C864" s="8" t="s">
        <v>1572</v>
      </c>
      <c r="D864" s="8" t="s">
        <v>43</v>
      </c>
      <c r="E864" s="8" t="s">
        <v>40</v>
      </c>
    </row>
    <row r="865" spans="1:5">
      <c r="A865" s="8">
        <v>2495</v>
      </c>
      <c r="B865" s="8" t="s">
        <v>1573</v>
      </c>
      <c r="C865" s="8" t="s">
        <v>1403</v>
      </c>
      <c r="D865" s="8" t="s">
        <v>48</v>
      </c>
      <c r="E865" s="8" t="s">
        <v>40</v>
      </c>
    </row>
    <row r="866" spans="1:5">
      <c r="A866" s="8">
        <v>2496</v>
      </c>
      <c r="B866" s="8" t="s">
        <v>1574</v>
      </c>
      <c r="C866" s="8" t="s">
        <v>1575</v>
      </c>
      <c r="D866" s="8" t="s">
        <v>43</v>
      </c>
      <c r="E866" s="8" t="s">
        <v>40</v>
      </c>
    </row>
    <row r="867" spans="1:5">
      <c r="A867" s="8">
        <v>2498</v>
      </c>
      <c r="B867" s="8" t="s">
        <v>1576</v>
      </c>
      <c r="C867" s="8" t="s">
        <v>1364</v>
      </c>
      <c r="D867" s="8" t="s">
        <v>1221</v>
      </c>
      <c r="E867" s="8" t="s">
        <v>40</v>
      </c>
    </row>
    <row r="868" spans="1:5">
      <c r="A868" s="8">
        <v>2499</v>
      </c>
      <c r="B868" s="8" t="s">
        <v>1577</v>
      </c>
      <c r="C868" s="8" t="s">
        <v>1578</v>
      </c>
      <c r="D868" s="8" t="s">
        <v>1221</v>
      </c>
      <c r="E868" s="8" t="s">
        <v>40</v>
      </c>
    </row>
    <row r="869" spans="1:5">
      <c r="A869" s="8">
        <v>2500</v>
      </c>
      <c r="B869" s="8" t="s">
        <v>1579</v>
      </c>
      <c r="C869" s="8" t="s">
        <v>1364</v>
      </c>
      <c r="D869" s="8" t="s">
        <v>1221</v>
      </c>
      <c r="E869" s="8" t="s">
        <v>40</v>
      </c>
    </row>
    <row r="870" spans="1:5">
      <c r="A870" s="8">
        <v>2501</v>
      </c>
      <c r="B870" s="8" t="s">
        <v>1580</v>
      </c>
      <c r="C870" s="8" t="s">
        <v>1581</v>
      </c>
      <c r="D870" s="8" t="s">
        <v>1221</v>
      </c>
      <c r="E870" s="8" t="s">
        <v>40</v>
      </c>
    </row>
    <row r="871" spans="1:5">
      <c r="A871" s="8">
        <v>2502</v>
      </c>
      <c r="B871" s="8" t="s">
        <v>1582</v>
      </c>
      <c r="C871" s="8" t="s">
        <v>1583</v>
      </c>
      <c r="D871" s="8" t="s">
        <v>1221</v>
      </c>
      <c r="E871" s="8" t="s">
        <v>40</v>
      </c>
    </row>
    <row r="872" spans="1:5">
      <c r="A872" s="8">
        <v>2503</v>
      </c>
      <c r="B872" s="8" t="s">
        <v>1584</v>
      </c>
      <c r="C872" s="8" t="s">
        <v>1585</v>
      </c>
      <c r="D872" s="8" t="s">
        <v>1221</v>
      </c>
      <c r="E872" s="8" t="s">
        <v>40</v>
      </c>
    </row>
    <row r="873" spans="1:5">
      <c r="A873" s="8">
        <v>2506</v>
      </c>
      <c r="B873" s="8" t="s">
        <v>1586</v>
      </c>
      <c r="C873" s="8" t="s">
        <v>1058</v>
      </c>
      <c r="D873" s="8" t="s">
        <v>132</v>
      </c>
      <c r="E873" s="8" t="s">
        <v>40</v>
      </c>
    </row>
    <row r="874" spans="1:5">
      <c r="A874" s="8">
        <v>2508</v>
      </c>
      <c r="B874" s="8" t="s">
        <v>1129</v>
      </c>
      <c r="C874" s="8" t="s">
        <v>1166</v>
      </c>
      <c r="D874" s="8" t="s">
        <v>1221</v>
      </c>
      <c r="E874" s="8" t="s">
        <v>40</v>
      </c>
    </row>
    <row r="875" spans="1:5">
      <c r="A875" s="8">
        <v>2509</v>
      </c>
      <c r="B875" s="8" t="s">
        <v>1406</v>
      </c>
      <c r="C875" s="8" t="s">
        <v>1587</v>
      </c>
      <c r="D875" s="8" t="s">
        <v>1221</v>
      </c>
      <c r="E875" s="8" t="s">
        <v>40</v>
      </c>
    </row>
    <row r="876" spans="1:5">
      <c r="A876" s="8">
        <v>2511</v>
      </c>
      <c r="B876" s="8" t="s">
        <v>1588</v>
      </c>
      <c r="C876" s="8" t="s">
        <v>1589</v>
      </c>
      <c r="D876" s="8" t="s">
        <v>1221</v>
      </c>
      <c r="E876" s="8" t="s">
        <v>40</v>
      </c>
    </row>
    <row r="877" spans="1:5">
      <c r="A877" s="8">
        <v>2512</v>
      </c>
      <c r="B877" s="8" t="s">
        <v>1590</v>
      </c>
      <c r="C877" s="8" t="s">
        <v>1591</v>
      </c>
      <c r="D877" s="8" t="s">
        <v>1221</v>
      </c>
      <c r="E877" s="8" t="s">
        <v>40</v>
      </c>
    </row>
    <row r="878" spans="1:5">
      <c r="A878" s="8">
        <v>2513</v>
      </c>
      <c r="B878" s="8" t="s">
        <v>1592</v>
      </c>
      <c r="C878" s="8" t="s">
        <v>1364</v>
      </c>
      <c r="D878" s="8" t="s">
        <v>1221</v>
      </c>
      <c r="E878" s="8" t="s">
        <v>40</v>
      </c>
    </row>
    <row r="879" spans="1:5">
      <c r="A879" s="8">
        <v>2515</v>
      </c>
      <c r="B879" s="8" t="s">
        <v>1593</v>
      </c>
      <c r="C879" s="8" t="s">
        <v>1146</v>
      </c>
      <c r="D879" s="8" t="s">
        <v>1221</v>
      </c>
      <c r="E879" s="8" t="s">
        <v>40</v>
      </c>
    </row>
    <row r="880" spans="1:5">
      <c r="A880" s="8">
        <v>2518</v>
      </c>
      <c r="B880" s="8" t="s">
        <v>712</v>
      </c>
      <c r="C880" s="8" t="s">
        <v>1594</v>
      </c>
      <c r="D880" s="8" t="s">
        <v>1221</v>
      </c>
      <c r="E880" s="8" t="s">
        <v>40</v>
      </c>
    </row>
    <row r="881" spans="1:5">
      <c r="A881" s="8">
        <v>2521</v>
      </c>
      <c r="B881" s="8" t="s">
        <v>1595</v>
      </c>
      <c r="C881" s="8" t="s">
        <v>1596</v>
      </c>
      <c r="D881" s="8" t="s">
        <v>603</v>
      </c>
      <c r="E881" s="8" t="s">
        <v>40</v>
      </c>
    </row>
    <row r="882" spans="1:5">
      <c r="A882" s="8">
        <v>2522</v>
      </c>
      <c r="B882" s="8" t="s">
        <v>1597</v>
      </c>
      <c r="C882" s="8" t="s">
        <v>1598</v>
      </c>
      <c r="D882" s="8" t="s">
        <v>264</v>
      </c>
      <c r="E882" s="8" t="s">
        <v>40</v>
      </c>
    </row>
    <row r="883" spans="1:5">
      <c r="A883" s="8">
        <v>2523</v>
      </c>
      <c r="B883" s="8" t="s">
        <v>1599</v>
      </c>
      <c r="C883" s="8" t="s">
        <v>1600</v>
      </c>
      <c r="D883" s="8" t="s">
        <v>137</v>
      </c>
      <c r="E883" s="8" t="s">
        <v>40</v>
      </c>
    </row>
    <row r="884" spans="1:5">
      <c r="A884" s="8">
        <v>2525</v>
      </c>
      <c r="B884" s="8" t="s">
        <v>1601</v>
      </c>
      <c r="C884" s="8" t="s">
        <v>1364</v>
      </c>
      <c r="D884" s="8" t="s">
        <v>1221</v>
      </c>
      <c r="E884" s="8" t="s">
        <v>40</v>
      </c>
    </row>
    <row r="885" spans="1:5">
      <c r="A885" s="8">
        <v>2526</v>
      </c>
      <c r="B885" s="8" t="s">
        <v>1602</v>
      </c>
      <c r="C885" s="8" t="s">
        <v>1603</v>
      </c>
      <c r="D885" s="8" t="s">
        <v>1221</v>
      </c>
      <c r="E885" s="8" t="s">
        <v>40</v>
      </c>
    </row>
    <row r="886" spans="1:5">
      <c r="A886" s="8">
        <v>2529</v>
      </c>
      <c r="B886" s="8" t="s">
        <v>1604</v>
      </c>
      <c r="C886" s="8" t="s">
        <v>1319</v>
      </c>
      <c r="D886" s="8" t="s">
        <v>1221</v>
      </c>
      <c r="E886" s="8" t="s">
        <v>40</v>
      </c>
    </row>
    <row r="887" spans="1:5">
      <c r="A887" s="8">
        <v>2530</v>
      </c>
      <c r="B887" s="8" t="s">
        <v>1605</v>
      </c>
      <c r="C887" s="8" t="s">
        <v>243</v>
      </c>
      <c r="D887" s="8" t="s">
        <v>1221</v>
      </c>
      <c r="E887" s="8" t="s">
        <v>40</v>
      </c>
    </row>
    <row r="888" spans="1:5">
      <c r="A888" s="8">
        <v>2531</v>
      </c>
      <c r="B888" s="8" t="s">
        <v>375</v>
      </c>
      <c r="C888" s="8" t="s">
        <v>1606</v>
      </c>
      <c r="D888" s="8" t="s">
        <v>1221</v>
      </c>
      <c r="E888" s="8" t="s">
        <v>40</v>
      </c>
    </row>
    <row r="889" spans="1:5">
      <c r="A889" s="8">
        <v>2532</v>
      </c>
      <c r="B889" s="8" t="s">
        <v>1607</v>
      </c>
      <c r="C889" s="8" t="s">
        <v>1608</v>
      </c>
      <c r="D889" s="8" t="s">
        <v>1221</v>
      </c>
      <c r="E889" s="8" t="s">
        <v>40</v>
      </c>
    </row>
    <row r="890" spans="1:5">
      <c r="A890" s="8">
        <v>2534</v>
      </c>
      <c r="B890" s="8" t="s">
        <v>1609</v>
      </c>
      <c r="C890" s="8" t="s">
        <v>1610</v>
      </c>
      <c r="D890" s="8" t="s">
        <v>438</v>
      </c>
      <c r="E890" s="8" t="s">
        <v>40</v>
      </c>
    </row>
    <row r="891" spans="1:5">
      <c r="A891" s="8">
        <v>2537</v>
      </c>
      <c r="B891" s="8" t="s">
        <v>1611</v>
      </c>
      <c r="C891" s="8" t="s">
        <v>871</v>
      </c>
      <c r="D891" s="8" t="s">
        <v>438</v>
      </c>
      <c r="E891" s="8" t="s">
        <v>40</v>
      </c>
    </row>
    <row r="892" spans="1:5">
      <c r="A892" s="8">
        <v>2538</v>
      </c>
      <c r="B892" s="8" t="s">
        <v>1612</v>
      </c>
      <c r="C892" s="8" t="s">
        <v>1613</v>
      </c>
      <c r="D892" s="8" t="s">
        <v>1221</v>
      </c>
      <c r="E892" s="8" t="s">
        <v>40</v>
      </c>
    </row>
    <row r="893" spans="1:5">
      <c r="A893" s="8">
        <v>2539</v>
      </c>
      <c r="B893" s="8" t="s">
        <v>1614</v>
      </c>
      <c r="C893" s="8" t="s">
        <v>985</v>
      </c>
      <c r="D893" s="8" t="s">
        <v>97</v>
      </c>
      <c r="E893" s="8" t="s">
        <v>40</v>
      </c>
    </row>
    <row r="894" spans="1:5">
      <c r="A894" s="8">
        <v>2543</v>
      </c>
      <c r="B894" s="8" t="s">
        <v>1615</v>
      </c>
      <c r="C894" s="8" t="s">
        <v>1616</v>
      </c>
      <c r="D894" s="8" t="s">
        <v>43</v>
      </c>
      <c r="E894" s="8" t="s">
        <v>40</v>
      </c>
    </row>
    <row r="895" spans="1:5">
      <c r="A895" s="8">
        <v>2544</v>
      </c>
      <c r="B895" s="8" t="s">
        <v>1617</v>
      </c>
      <c r="C895" s="8" t="s">
        <v>1618</v>
      </c>
      <c r="D895" s="8" t="s">
        <v>97</v>
      </c>
      <c r="E895" s="8" t="s">
        <v>40</v>
      </c>
    </row>
    <row r="896" spans="1:5">
      <c r="A896" s="8">
        <v>2545</v>
      </c>
      <c r="B896" s="8" t="s">
        <v>1619</v>
      </c>
      <c r="C896" s="8" t="s">
        <v>1364</v>
      </c>
      <c r="D896" s="8" t="s">
        <v>1221</v>
      </c>
      <c r="E896" s="8" t="s">
        <v>40</v>
      </c>
    </row>
    <row r="897" spans="1:5">
      <c r="A897" s="8">
        <v>2549</v>
      </c>
      <c r="B897" s="8" t="s">
        <v>1620</v>
      </c>
      <c r="C897" s="8" t="s">
        <v>1364</v>
      </c>
      <c r="D897" s="8" t="s">
        <v>1221</v>
      </c>
      <c r="E897" s="8" t="s">
        <v>40</v>
      </c>
    </row>
    <row r="898" spans="1:5">
      <c r="A898" s="8">
        <v>2550</v>
      </c>
      <c r="B898" s="8" t="s">
        <v>1621</v>
      </c>
      <c r="C898" s="8" t="s">
        <v>1622</v>
      </c>
      <c r="D898" s="8" t="s">
        <v>603</v>
      </c>
      <c r="E898" s="8" t="s">
        <v>40</v>
      </c>
    </row>
    <row r="899" spans="1:5">
      <c r="A899" s="8">
        <v>2551</v>
      </c>
      <c r="B899" s="8" t="s">
        <v>1623</v>
      </c>
      <c r="C899" s="8" t="s">
        <v>1624</v>
      </c>
      <c r="D899" s="8" t="s">
        <v>43</v>
      </c>
      <c r="E899" s="8" t="s">
        <v>40</v>
      </c>
    </row>
    <row r="900" spans="1:5">
      <c r="A900" s="8">
        <v>2554</v>
      </c>
      <c r="B900" s="8" t="s">
        <v>1625</v>
      </c>
      <c r="C900" s="8" t="s">
        <v>1626</v>
      </c>
      <c r="D900" s="8" t="s">
        <v>48</v>
      </c>
      <c r="E900" s="8" t="s">
        <v>40</v>
      </c>
    </row>
    <row r="901" spans="1:5">
      <c r="A901" s="8">
        <v>2555</v>
      </c>
      <c r="B901" s="8" t="s">
        <v>1627</v>
      </c>
      <c r="C901" s="8" t="s">
        <v>390</v>
      </c>
      <c r="D901" s="8" t="s">
        <v>264</v>
      </c>
      <c r="E901" s="8" t="s">
        <v>40</v>
      </c>
    </row>
    <row r="902" spans="1:5">
      <c r="A902" s="8">
        <v>2556</v>
      </c>
      <c r="B902" s="8" t="s">
        <v>1628</v>
      </c>
      <c r="C902" s="8" t="s">
        <v>1629</v>
      </c>
      <c r="D902" s="8" t="s">
        <v>57</v>
      </c>
      <c r="E902" s="8" t="s">
        <v>40</v>
      </c>
    </row>
    <row r="903" spans="1:5">
      <c r="A903" s="8">
        <v>2557</v>
      </c>
      <c r="B903" s="8" t="s">
        <v>1630</v>
      </c>
      <c r="C903" s="8" t="s">
        <v>390</v>
      </c>
      <c r="D903" s="8" t="s">
        <v>264</v>
      </c>
      <c r="E903" s="8" t="s">
        <v>40</v>
      </c>
    </row>
    <row r="904" spans="1:5">
      <c r="A904" s="8">
        <v>2559</v>
      </c>
      <c r="B904" s="8" t="s">
        <v>1631</v>
      </c>
      <c r="C904" s="8" t="s">
        <v>1632</v>
      </c>
      <c r="D904" s="8" t="s">
        <v>97</v>
      </c>
      <c r="E904" s="8" t="s">
        <v>40</v>
      </c>
    </row>
    <row r="905" spans="1:5">
      <c r="A905" s="8">
        <v>2560</v>
      </c>
      <c r="B905" s="8" t="s">
        <v>1633</v>
      </c>
      <c r="C905" s="8" t="s">
        <v>1634</v>
      </c>
      <c r="D905" s="8" t="s">
        <v>691</v>
      </c>
      <c r="E905" s="8" t="s">
        <v>40</v>
      </c>
    </row>
    <row r="906" spans="1:5">
      <c r="A906" s="8">
        <v>2574</v>
      </c>
      <c r="B906" s="8" t="s">
        <v>1635</v>
      </c>
      <c r="C906" s="8" t="s">
        <v>1636</v>
      </c>
      <c r="D906" s="8" t="s">
        <v>1221</v>
      </c>
      <c r="E906" s="8" t="s">
        <v>40</v>
      </c>
    </row>
    <row r="907" spans="1:5">
      <c r="A907" s="8">
        <v>2576</v>
      </c>
      <c r="B907" s="8" t="s">
        <v>1637</v>
      </c>
      <c r="C907" s="8" t="s">
        <v>1638</v>
      </c>
      <c r="D907" s="8" t="s">
        <v>1639</v>
      </c>
      <c r="E907" s="8" t="s">
        <v>1640</v>
      </c>
    </row>
    <row r="908" spans="1:5">
      <c r="A908" s="8">
        <v>2577</v>
      </c>
      <c r="B908" s="8" t="s">
        <v>1641</v>
      </c>
      <c r="C908" s="8" t="s">
        <v>1642</v>
      </c>
      <c r="D908" s="8" t="s">
        <v>48</v>
      </c>
      <c r="E908" s="8" t="s">
        <v>40</v>
      </c>
    </row>
    <row r="909" spans="1:5">
      <c r="A909" s="8">
        <v>2579</v>
      </c>
      <c r="B909" s="8" t="s">
        <v>1643</v>
      </c>
      <c r="C909" s="8" t="s">
        <v>1644</v>
      </c>
      <c r="D909" s="8" t="s">
        <v>54</v>
      </c>
      <c r="E909" s="8" t="s">
        <v>40</v>
      </c>
    </row>
    <row r="910" spans="1:5">
      <c r="A910" s="8">
        <v>2582</v>
      </c>
      <c r="B910" s="8" t="s">
        <v>1645</v>
      </c>
      <c r="C910" s="8" t="s">
        <v>1646</v>
      </c>
      <c r="D910" s="8" t="s">
        <v>164</v>
      </c>
      <c r="E910" s="8" t="s">
        <v>40</v>
      </c>
    </row>
    <row r="911" spans="1:5">
      <c r="A911" s="8">
        <v>2583</v>
      </c>
      <c r="B911" s="8" t="s">
        <v>75</v>
      </c>
      <c r="C911" s="8" t="s">
        <v>420</v>
      </c>
      <c r="D911" s="8" t="s">
        <v>164</v>
      </c>
      <c r="E911" s="8" t="s">
        <v>40</v>
      </c>
    </row>
    <row r="912" spans="1:5">
      <c r="A912" s="8">
        <v>2584</v>
      </c>
      <c r="B912" s="8" t="s">
        <v>1647</v>
      </c>
      <c r="C912" s="8" t="s">
        <v>1648</v>
      </c>
      <c r="D912" s="8" t="s">
        <v>43</v>
      </c>
      <c r="E912" s="8" t="s">
        <v>40</v>
      </c>
    </row>
    <row r="913" spans="1:5">
      <c r="A913" s="8">
        <v>2585</v>
      </c>
      <c r="B913" s="8" t="s">
        <v>1649</v>
      </c>
      <c r="C913" s="8" t="s">
        <v>1650</v>
      </c>
      <c r="D913" s="8" t="s">
        <v>164</v>
      </c>
      <c r="E913" s="8" t="s">
        <v>40</v>
      </c>
    </row>
    <row r="914" spans="1:5">
      <c r="A914" s="8">
        <v>2586</v>
      </c>
      <c r="B914" s="8" t="s">
        <v>1651</v>
      </c>
      <c r="C914" s="8" t="s">
        <v>1652</v>
      </c>
      <c r="D914" s="8" t="s">
        <v>39</v>
      </c>
      <c r="E914" s="8" t="s">
        <v>40</v>
      </c>
    </row>
    <row r="915" spans="1:5">
      <c r="A915" s="8">
        <v>2587</v>
      </c>
      <c r="B915" s="8" t="s">
        <v>1653</v>
      </c>
      <c r="C915" s="8" t="s">
        <v>431</v>
      </c>
      <c r="D915" s="8" t="s">
        <v>164</v>
      </c>
      <c r="E915" s="8" t="s">
        <v>40</v>
      </c>
    </row>
    <row r="916" spans="1:5">
      <c r="A916" s="8">
        <v>2590</v>
      </c>
      <c r="B916" s="8" t="s">
        <v>1654</v>
      </c>
      <c r="C916" s="8" t="s">
        <v>1655</v>
      </c>
      <c r="D916" s="8" t="s">
        <v>48</v>
      </c>
      <c r="E916" s="8" t="s">
        <v>40</v>
      </c>
    </row>
    <row r="917" spans="1:5">
      <c r="A917" s="8">
        <v>2591</v>
      </c>
      <c r="B917" s="8" t="s">
        <v>1656</v>
      </c>
      <c r="C917" s="8" t="s">
        <v>1114</v>
      </c>
      <c r="D917" s="8" t="s">
        <v>39</v>
      </c>
      <c r="E917" s="8" t="s">
        <v>40</v>
      </c>
    </row>
    <row r="918" spans="1:5">
      <c r="A918" s="8">
        <v>2594</v>
      </c>
      <c r="B918" s="8" t="s">
        <v>1657</v>
      </c>
      <c r="C918" s="8" t="s">
        <v>1658</v>
      </c>
      <c r="D918" s="8" t="s">
        <v>1018</v>
      </c>
      <c r="E918" s="8" t="s">
        <v>40</v>
      </c>
    </row>
    <row r="919" spans="1:5">
      <c r="A919" s="8">
        <v>2600</v>
      </c>
      <c r="B919" s="8" t="s">
        <v>1659</v>
      </c>
      <c r="C919" s="8" t="s">
        <v>1660</v>
      </c>
      <c r="D919" s="8" t="s">
        <v>48</v>
      </c>
      <c r="E919" s="8" t="s">
        <v>40</v>
      </c>
    </row>
    <row r="920" spans="1:5">
      <c r="A920" s="8">
        <v>2601</v>
      </c>
      <c r="B920" s="8" t="s">
        <v>1661</v>
      </c>
      <c r="C920" s="8" t="s">
        <v>1662</v>
      </c>
      <c r="D920" s="8" t="s">
        <v>54</v>
      </c>
      <c r="E920" s="8" t="s">
        <v>40</v>
      </c>
    </row>
    <row r="921" spans="1:5">
      <c r="A921" s="8">
        <v>2603</v>
      </c>
      <c r="B921" s="8" t="s">
        <v>1663</v>
      </c>
      <c r="C921" s="8" t="s">
        <v>1664</v>
      </c>
      <c r="D921" s="8" t="s">
        <v>81</v>
      </c>
      <c r="E921" s="8" t="s">
        <v>40</v>
      </c>
    </row>
    <row r="922" spans="1:5">
      <c r="A922" s="8">
        <v>2604</v>
      </c>
      <c r="B922" s="8" t="s">
        <v>1665</v>
      </c>
      <c r="C922" s="8" t="s">
        <v>1666</v>
      </c>
      <c r="D922" s="8" t="s">
        <v>39</v>
      </c>
      <c r="E922" s="8" t="s">
        <v>40</v>
      </c>
    </row>
    <row r="923" spans="1:5">
      <c r="A923" s="8">
        <v>2605</v>
      </c>
      <c r="B923" s="8" t="s">
        <v>1667</v>
      </c>
      <c r="C923" s="8" t="s">
        <v>1344</v>
      </c>
      <c r="D923" s="8" t="s">
        <v>264</v>
      </c>
      <c r="E923" s="8" t="s">
        <v>40</v>
      </c>
    </row>
    <row r="924" spans="1:5">
      <c r="A924" s="8">
        <v>2606</v>
      </c>
      <c r="B924" s="8" t="s">
        <v>1668</v>
      </c>
      <c r="C924" s="8" t="s">
        <v>1669</v>
      </c>
      <c r="D924" s="8" t="s">
        <v>1221</v>
      </c>
      <c r="E924" s="8" t="s">
        <v>40</v>
      </c>
    </row>
    <row r="925" spans="1:5">
      <c r="A925" s="8">
        <v>2607</v>
      </c>
      <c r="B925" s="8" t="s">
        <v>1670</v>
      </c>
      <c r="C925" s="8" t="s">
        <v>1671</v>
      </c>
      <c r="D925" s="8" t="s">
        <v>97</v>
      </c>
      <c r="E925" s="8" t="s">
        <v>40</v>
      </c>
    </row>
    <row r="926" spans="1:5">
      <c r="A926" s="8">
        <v>2609</v>
      </c>
      <c r="B926" s="8" t="s">
        <v>1672</v>
      </c>
      <c r="C926" s="8" t="s">
        <v>1673</v>
      </c>
      <c r="D926" s="8" t="s">
        <v>238</v>
      </c>
      <c r="E926" s="8" t="s">
        <v>239</v>
      </c>
    </row>
    <row r="927" spans="1:5">
      <c r="A927" s="8">
        <v>2611</v>
      </c>
      <c r="B927" s="8" t="s">
        <v>1674</v>
      </c>
      <c r="C927" s="8" t="s">
        <v>1675</v>
      </c>
      <c r="D927" s="8" t="s">
        <v>39</v>
      </c>
      <c r="E927" s="8" t="s">
        <v>40</v>
      </c>
    </row>
    <row r="928" spans="1:5">
      <c r="A928" s="8">
        <v>2612</v>
      </c>
      <c r="B928" s="8" t="s">
        <v>1676</v>
      </c>
      <c r="C928" s="8" t="s">
        <v>1677</v>
      </c>
      <c r="D928" s="8" t="s">
        <v>39</v>
      </c>
      <c r="E928" s="8" t="s">
        <v>40</v>
      </c>
    </row>
    <row r="929" spans="1:5">
      <c r="A929" s="8">
        <v>2613</v>
      </c>
      <c r="B929" s="8" t="s">
        <v>1678</v>
      </c>
      <c r="C929" s="8" t="s">
        <v>1679</v>
      </c>
      <c r="D929" s="8" t="s">
        <v>164</v>
      </c>
      <c r="E929" s="8" t="s">
        <v>40</v>
      </c>
    </row>
    <row r="930" spans="1:5">
      <c r="A930" s="8">
        <v>2614</v>
      </c>
      <c r="B930" s="8" t="s">
        <v>1680</v>
      </c>
      <c r="C930" s="8" t="s">
        <v>1681</v>
      </c>
      <c r="D930" s="8" t="s">
        <v>364</v>
      </c>
      <c r="E930" s="8" t="s">
        <v>40</v>
      </c>
    </row>
    <row r="931" spans="1:5">
      <c r="A931" s="8">
        <v>2619</v>
      </c>
      <c r="B931" s="8" t="s">
        <v>1682</v>
      </c>
      <c r="C931" s="8" t="s">
        <v>1683</v>
      </c>
      <c r="D931" s="8" t="s">
        <v>39</v>
      </c>
      <c r="E931" s="8" t="s">
        <v>40</v>
      </c>
    </row>
    <row r="932" spans="1:5">
      <c r="A932" s="8">
        <v>2620</v>
      </c>
      <c r="B932" s="8" t="s">
        <v>1684</v>
      </c>
      <c r="C932" s="8" t="s">
        <v>1685</v>
      </c>
      <c r="D932" s="8" t="s">
        <v>39</v>
      </c>
      <c r="E932" s="8" t="s">
        <v>40</v>
      </c>
    </row>
    <row r="933" spans="1:5">
      <c r="A933" s="8">
        <v>2626</v>
      </c>
      <c r="B933" s="8" t="s">
        <v>1686</v>
      </c>
      <c r="C933" s="8" t="s">
        <v>1687</v>
      </c>
      <c r="D933" s="8" t="s">
        <v>335</v>
      </c>
      <c r="E933" s="8" t="s">
        <v>239</v>
      </c>
    </row>
    <row r="934" spans="1:5">
      <c r="A934" s="8">
        <v>2630</v>
      </c>
      <c r="B934" s="8" t="s">
        <v>1688</v>
      </c>
      <c r="C934" s="8" t="s">
        <v>1689</v>
      </c>
      <c r="D934" s="8" t="s">
        <v>1034</v>
      </c>
      <c r="E934" s="8" t="s">
        <v>1026</v>
      </c>
    </row>
    <row r="935" spans="1:5">
      <c r="A935" s="8">
        <v>2634</v>
      </c>
      <c r="B935" s="8" t="s">
        <v>1690</v>
      </c>
      <c r="C935" s="8" t="s">
        <v>531</v>
      </c>
      <c r="D935" s="8" t="s">
        <v>238</v>
      </c>
      <c r="E935" s="8" t="s">
        <v>239</v>
      </c>
    </row>
    <row r="936" spans="1:5">
      <c r="A936" s="8">
        <v>2635</v>
      </c>
      <c r="B936" s="8" t="s">
        <v>1691</v>
      </c>
      <c r="C936" s="8" t="s">
        <v>1692</v>
      </c>
      <c r="D936" s="8" t="s">
        <v>603</v>
      </c>
      <c r="E936" s="8" t="s">
        <v>40</v>
      </c>
    </row>
    <row r="937" spans="1:5">
      <c r="A937" s="8">
        <v>2637</v>
      </c>
      <c r="B937" s="8" t="s">
        <v>1693</v>
      </c>
      <c r="C937" s="8" t="s">
        <v>1694</v>
      </c>
      <c r="D937" s="8" t="s">
        <v>43</v>
      </c>
      <c r="E937" s="8" t="s">
        <v>40</v>
      </c>
    </row>
    <row r="938" spans="1:5">
      <c r="A938" s="8">
        <v>2638</v>
      </c>
      <c r="B938" s="8" t="s">
        <v>1695</v>
      </c>
      <c r="C938" s="8" t="s">
        <v>1696</v>
      </c>
      <c r="D938" s="8" t="s">
        <v>54</v>
      </c>
      <c r="E938" s="8" t="s">
        <v>40</v>
      </c>
    </row>
    <row r="939" spans="1:5">
      <c r="A939" s="8">
        <v>2640</v>
      </c>
      <c r="B939" s="8" t="s">
        <v>1697</v>
      </c>
      <c r="C939" s="8" t="s">
        <v>1698</v>
      </c>
      <c r="D939" s="8" t="s">
        <v>429</v>
      </c>
      <c r="E939" s="8" t="s">
        <v>40</v>
      </c>
    </row>
    <row r="940" spans="1:5">
      <c r="A940" s="8">
        <v>2641</v>
      </c>
      <c r="B940" s="8" t="s">
        <v>1699</v>
      </c>
      <c r="C940" s="8" t="s">
        <v>161</v>
      </c>
      <c r="D940" s="8" t="s">
        <v>97</v>
      </c>
      <c r="E940" s="8" t="s">
        <v>40</v>
      </c>
    </row>
    <row r="941" spans="1:5">
      <c r="A941" s="8">
        <v>2642</v>
      </c>
      <c r="B941" s="8" t="s">
        <v>1700</v>
      </c>
      <c r="C941" s="8" t="s">
        <v>196</v>
      </c>
      <c r="D941" s="8" t="s">
        <v>429</v>
      </c>
      <c r="E941" s="8" t="s">
        <v>40</v>
      </c>
    </row>
    <row r="942" spans="1:5">
      <c r="A942" s="8">
        <v>2643</v>
      </c>
      <c r="B942" s="8" t="s">
        <v>1701</v>
      </c>
      <c r="C942" s="8" t="s">
        <v>304</v>
      </c>
      <c r="D942" s="8" t="s">
        <v>43</v>
      </c>
      <c r="E942" s="8" t="s">
        <v>40</v>
      </c>
    </row>
    <row r="943" spans="1:5">
      <c r="A943" s="8">
        <v>2647</v>
      </c>
      <c r="B943" s="8" t="s">
        <v>1702</v>
      </c>
      <c r="C943" s="8" t="s">
        <v>641</v>
      </c>
      <c r="D943" s="8" t="s">
        <v>92</v>
      </c>
      <c r="E943" s="8" t="s">
        <v>40</v>
      </c>
    </row>
    <row r="944" spans="1:5">
      <c r="A944" s="8">
        <v>2648</v>
      </c>
      <c r="B944" s="8" t="s">
        <v>1703</v>
      </c>
      <c r="C944" s="8" t="s">
        <v>1704</v>
      </c>
      <c r="D944" s="8" t="s">
        <v>87</v>
      </c>
      <c r="E944" s="8" t="s">
        <v>40</v>
      </c>
    </row>
    <row r="945" spans="1:5">
      <c r="A945" s="8">
        <v>2654</v>
      </c>
      <c r="B945" s="8" t="s">
        <v>1705</v>
      </c>
      <c r="C945" s="8" t="s">
        <v>1706</v>
      </c>
      <c r="D945" s="8" t="s">
        <v>1221</v>
      </c>
      <c r="E945" s="8" t="s">
        <v>40</v>
      </c>
    </row>
    <row r="946" spans="1:5">
      <c r="A946" s="8">
        <v>2655</v>
      </c>
      <c r="B946" s="8" t="s">
        <v>1707</v>
      </c>
      <c r="C946" s="8" t="s">
        <v>1708</v>
      </c>
      <c r="D946" s="8" t="s">
        <v>429</v>
      </c>
      <c r="E946" s="8" t="s">
        <v>40</v>
      </c>
    </row>
    <row r="947" spans="1:5">
      <c r="A947" s="8">
        <v>2656</v>
      </c>
      <c r="B947" s="8" t="s">
        <v>1709</v>
      </c>
      <c r="C947" s="8" t="s">
        <v>1710</v>
      </c>
      <c r="D947" s="8" t="s">
        <v>97</v>
      </c>
      <c r="E947" s="8" t="s">
        <v>40</v>
      </c>
    </row>
    <row r="948" spans="1:5">
      <c r="A948" s="8">
        <v>2657</v>
      </c>
      <c r="B948" s="8" t="s">
        <v>1711</v>
      </c>
      <c r="C948" s="8" t="s">
        <v>1712</v>
      </c>
      <c r="D948" s="8" t="s">
        <v>809</v>
      </c>
      <c r="E948" s="8" t="s">
        <v>40</v>
      </c>
    </row>
    <row r="949" spans="1:5">
      <c r="A949" s="8">
        <v>2658</v>
      </c>
      <c r="B949" s="8" t="s">
        <v>1713</v>
      </c>
      <c r="C949" s="8" t="s">
        <v>858</v>
      </c>
      <c r="D949" s="8" t="s">
        <v>43</v>
      </c>
      <c r="E949" s="8" t="s">
        <v>40</v>
      </c>
    </row>
    <row r="950" spans="1:5">
      <c r="A950" s="8">
        <v>2659</v>
      </c>
      <c r="B950" s="8" t="s">
        <v>75</v>
      </c>
      <c r="C950" s="8" t="s">
        <v>1714</v>
      </c>
      <c r="D950" s="8" t="s">
        <v>43</v>
      </c>
      <c r="E950" s="8" t="s">
        <v>40</v>
      </c>
    </row>
    <row r="951" spans="1:5">
      <c r="A951" s="8">
        <v>2662</v>
      </c>
      <c r="B951" s="8" t="s">
        <v>1715</v>
      </c>
      <c r="C951" s="8" t="s">
        <v>1716</v>
      </c>
      <c r="D951" s="8" t="s">
        <v>92</v>
      </c>
      <c r="E951" s="8" t="s">
        <v>40</v>
      </c>
    </row>
    <row r="952" spans="1:5">
      <c r="A952" s="8">
        <v>2667</v>
      </c>
      <c r="B952" s="8" t="s">
        <v>1717</v>
      </c>
      <c r="C952" s="8" t="s">
        <v>1718</v>
      </c>
      <c r="D952" s="8" t="s">
        <v>1221</v>
      </c>
      <c r="E952" s="8" t="s">
        <v>40</v>
      </c>
    </row>
    <row r="953" spans="1:5">
      <c r="A953" s="8">
        <v>2673</v>
      </c>
      <c r="B953" s="8" t="s">
        <v>1719</v>
      </c>
      <c r="C953" s="8" t="s">
        <v>1114</v>
      </c>
      <c r="D953" s="8" t="s">
        <v>39</v>
      </c>
      <c r="E953" s="8" t="s">
        <v>40</v>
      </c>
    </row>
    <row r="954" spans="1:5">
      <c r="A954" s="8">
        <v>2676</v>
      </c>
      <c r="B954" s="8" t="s">
        <v>1720</v>
      </c>
      <c r="C954" s="8" t="s">
        <v>1721</v>
      </c>
      <c r="D954" s="8" t="s">
        <v>39</v>
      </c>
      <c r="E954" s="8" t="s">
        <v>40</v>
      </c>
    </row>
    <row r="955" spans="1:5">
      <c r="A955" s="8">
        <v>2679</v>
      </c>
      <c r="B955" s="8" t="s">
        <v>1722</v>
      </c>
      <c r="C955" s="8" t="s">
        <v>1723</v>
      </c>
      <c r="D955" s="8" t="s">
        <v>1724</v>
      </c>
      <c r="E955" s="8" t="s">
        <v>1026</v>
      </c>
    </row>
    <row r="956" spans="1:5">
      <c r="A956" s="8">
        <v>2682</v>
      </c>
      <c r="B956" s="8" t="s">
        <v>1725</v>
      </c>
      <c r="C956" s="8" t="s">
        <v>1726</v>
      </c>
      <c r="D956" s="8" t="s">
        <v>429</v>
      </c>
      <c r="E956" s="8" t="s">
        <v>40</v>
      </c>
    </row>
    <row r="957" spans="1:5">
      <c r="A957" s="8">
        <v>2702</v>
      </c>
      <c r="B957" s="8" t="s">
        <v>1695</v>
      </c>
      <c r="C957" s="8" t="s">
        <v>1727</v>
      </c>
      <c r="D957" s="8" t="s">
        <v>238</v>
      </c>
      <c r="E957" s="8" t="s">
        <v>239</v>
      </c>
    </row>
    <row r="958" spans="1:5">
      <c r="A958" s="8">
        <v>2704</v>
      </c>
      <c r="B958" s="8" t="s">
        <v>1728</v>
      </c>
      <c r="C958" s="8" t="s">
        <v>1729</v>
      </c>
      <c r="D958" s="8" t="s">
        <v>121</v>
      </c>
      <c r="E958" s="8" t="s">
        <v>40</v>
      </c>
    </row>
    <row r="959" spans="1:5">
      <c r="A959" s="8">
        <v>2706</v>
      </c>
      <c r="B959" s="8" t="s">
        <v>1730</v>
      </c>
      <c r="C959" s="8" t="s">
        <v>1731</v>
      </c>
      <c r="D959" s="8" t="s">
        <v>238</v>
      </c>
      <c r="E959" s="8" t="s">
        <v>239</v>
      </c>
    </row>
    <row r="960" spans="1:5">
      <c r="A960" s="8">
        <v>2707</v>
      </c>
      <c r="B960" s="8" t="s">
        <v>1732</v>
      </c>
      <c r="C960" s="8" t="s">
        <v>690</v>
      </c>
      <c r="D960" s="8" t="s">
        <v>691</v>
      </c>
      <c r="E960" s="8" t="s">
        <v>40</v>
      </c>
    </row>
    <row r="961" spans="1:5">
      <c r="A961" s="8">
        <v>2708</v>
      </c>
      <c r="B961" s="8" t="s">
        <v>1733</v>
      </c>
      <c r="C961" s="8" t="s">
        <v>1734</v>
      </c>
      <c r="D961" s="8" t="s">
        <v>238</v>
      </c>
      <c r="E961" s="8" t="s">
        <v>239</v>
      </c>
    </row>
    <row r="962" spans="1:5">
      <c r="A962" s="8">
        <v>2709</v>
      </c>
      <c r="B962" s="8" t="s">
        <v>1735</v>
      </c>
      <c r="C962" s="8" t="s">
        <v>143</v>
      </c>
      <c r="D962" s="8" t="s">
        <v>121</v>
      </c>
      <c r="E962" s="8" t="s">
        <v>40</v>
      </c>
    </row>
    <row r="963" spans="1:5">
      <c r="A963" s="8">
        <v>2710</v>
      </c>
      <c r="B963" s="8" t="s">
        <v>1736</v>
      </c>
      <c r="C963" s="8" t="s">
        <v>1737</v>
      </c>
      <c r="D963" s="8" t="s">
        <v>43</v>
      </c>
      <c r="E963" s="8" t="s">
        <v>40</v>
      </c>
    </row>
    <row r="964" spans="1:5">
      <c r="A964" s="8">
        <v>2713</v>
      </c>
      <c r="B964" s="8" t="s">
        <v>1738</v>
      </c>
      <c r="C964" s="8" t="s">
        <v>1739</v>
      </c>
      <c r="D964" s="8" t="s">
        <v>60</v>
      </c>
      <c r="E964" s="8" t="s">
        <v>40</v>
      </c>
    </row>
    <row r="965" spans="1:5">
      <c r="A965" s="8">
        <v>2721</v>
      </c>
      <c r="B965" s="8" t="s">
        <v>1740</v>
      </c>
      <c r="C965" s="8" t="s">
        <v>1741</v>
      </c>
      <c r="D965" s="8" t="s">
        <v>164</v>
      </c>
      <c r="E965" s="8" t="s">
        <v>40</v>
      </c>
    </row>
    <row r="966" spans="1:5">
      <c r="A966" s="8">
        <v>2723</v>
      </c>
      <c r="B966" s="8" t="s">
        <v>1742</v>
      </c>
      <c r="C966" s="8" t="s">
        <v>1015</v>
      </c>
      <c r="D966" s="8" t="s">
        <v>69</v>
      </c>
      <c r="E966" s="8" t="s">
        <v>40</v>
      </c>
    </row>
    <row r="967" spans="1:5">
      <c r="A967" s="8">
        <v>2725</v>
      </c>
      <c r="B967" s="8" t="s">
        <v>1743</v>
      </c>
      <c r="C967" s="8" t="s">
        <v>143</v>
      </c>
      <c r="D967" s="8" t="s">
        <v>121</v>
      </c>
      <c r="E967" s="8" t="s">
        <v>40</v>
      </c>
    </row>
    <row r="968" spans="1:5">
      <c r="A968" s="8">
        <v>2729</v>
      </c>
      <c r="B968" s="8" t="s">
        <v>1744</v>
      </c>
      <c r="C968" s="8" t="s">
        <v>1745</v>
      </c>
      <c r="D968" s="8" t="s">
        <v>48</v>
      </c>
      <c r="E968" s="8" t="s">
        <v>40</v>
      </c>
    </row>
    <row r="969" spans="1:5">
      <c r="A969" s="8">
        <v>2733</v>
      </c>
      <c r="B969" s="8" t="s">
        <v>1746</v>
      </c>
      <c r="C969" s="8" t="s">
        <v>944</v>
      </c>
      <c r="D969" s="8" t="s">
        <v>603</v>
      </c>
      <c r="E969" s="8" t="s">
        <v>40</v>
      </c>
    </row>
    <row r="970" spans="1:5">
      <c r="A970" s="8">
        <v>2765</v>
      </c>
      <c r="B970" s="8" t="s">
        <v>1747</v>
      </c>
      <c r="C970" s="8" t="s">
        <v>1748</v>
      </c>
      <c r="D970" s="8" t="s">
        <v>69</v>
      </c>
      <c r="E970" s="8" t="s">
        <v>40</v>
      </c>
    </row>
    <row r="971" spans="1:5">
      <c r="A971" s="8">
        <v>2767</v>
      </c>
      <c r="B971" s="8" t="s">
        <v>1749</v>
      </c>
      <c r="C971" s="8" t="s">
        <v>1101</v>
      </c>
      <c r="D971" s="8" t="s">
        <v>39</v>
      </c>
      <c r="E971" s="8" t="s">
        <v>40</v>
      </c>
    </row>
    <row r="972" spans="1:5">
      <c r="A972" s="8">
        <v>2771</v>
      </c>
      <c r="B972" s="8" t="s">
        <v>1750</v>
      </c>
      <c r="C972" s="8" t="s">
        <v>260</v>
      </c>
      <c r="D972" s="8" t="s">
        <v>39</v>
      </c>
      <c r="E972" s="8" t="s">
        <v>40</v>
      </c>
    </row>
    <row r="973" spans="1:5">
      <c r="A973" s="8">
        <v>2773</v>
      </c>
      <c r="B973" s="8" t="s">
        <v>1751</v>
      </c>
      <c r="C973" s="8" t="s">
        <v>1488</v>
      </c>
      <c r="D973" s="8" t="s">
        <v>69</v>
      </c>
      <c r="E973" s="8" t="s">
        <v>40</v>
      </c>
    </row>
    <row r="974" spans="1:5">
      <c r="A974" s="8">
        <v>2783</v>
      </c>
      <c r="B974" s="8" t="s">
        <v>1752</v>
      </c>
      <c r="C974" s="8" t="s">
        <v>1753</v>
      </c>
      <c r="D974" s="8" t="s">
        <v>495</v>
      </c>
      <c r="E974" s="8" t="s">
        <v>40</v>
      </c>
    </row>
    <row r="975" spans="1:5">
      <c r="A975" s="8">
        <v>2785</v>
      </c>
      <c r="B975" s="8" t="s">
        <v>1754</v>
      </c>
      <c r="C975" s="8" t="s">
        <v>1755</v>
      </c>
      <c r="D975" s="8" t="s">
        <v>201</v>
      </c>
      <c r="E975" s="8" t="s">
        <v>40</v>
      </c>
    </row>
    <row r="976" spans="1:5">
      <c r="A976" s="8">
        <v>2789</v>
      </c>
      <c r="B976" s="8" t="s">
        <v>1756</v>
      </c>
      <c r="C976" s="8" t="s">
        <v>1757</v>
      </c>
      <c r="D976" s="8" t="s">
        <v>164</v>
      </c>
      <c r="E976" s="8" t="s">
        <v>40</v>
      </c>
    </row>
    <row r="977" spans="1:5">
      <c r="A977" s="8">
        <v>2791</v>
      </c>
      <c r="B977" s="8" t="s">
        <v>1758</v>
      </c>
      <c r="C977" s="8" t="s">
        <v>1759</v>
      </c>
      <c r="D977" s="8" t="s">
        <v>54</v>
      </c>
      <c r="E977" s="8" t="s">
        <v>40</v>
      </c>
    </row>
    <row r="978" spans="1:5">
      <c r="A978" s="8">
        <v>2795</v>
      </c>
      <c r="B978" s="8" t="s">
        <v>1760</v>
      </c>
      <c r="C978" s="8" t="s">
        <v>1761</v>
      </c>
      <c r="D978" s="8" t="s">
        <v>69</v>
      </c>
      <c r="E978" s="8" t="s">
        <v>40</v>
      </c>
    </row>
    <row r="979" spans="1:5">
      <c r="A979" s="8">
        <v>2797</v>
      </c>
      <c r="B979" s="8" t="s">
        <v>1762</v>
      </c>
      <c r="C979" s="8" t="s">
        <v>1763</v>
      </c>
      <c r="D979" s="8" t="s">
        <v>57</v>
      </c>
      <c r="E979" s="8" t="s">
        <v>40</v>
      </c>
    </row>
    <row r="980" spans="1:5">
      <c r="A980" s="8">
        <v>2805</v>
      </c>
      <c r="B980" s="8" t="s">
        <v>1764</v>
      </c>
      <c r="C980" s="8" t="s">
        <v>1765</v>
      </c>
      <c r="D980" s="8" t="s">
        <v>164</v>
      </c>
      <c r="E980" s="8" t="s">
        <v>40</v>
      </c>
    </row>
    <row r="981" spans="1:5">
      <c r="A981" s="8">
        <v>2811</v>
      </c>
      <c r="B981" s="8" t="s">
        <v>1766</v>
      </c>
      <c r="C981" s="8" t="s">
        <v>1767</v>
      </c>
      <c r="D981" s="8" t="s">
        <v>264</v>
      </c>
      <c r="E981" s="8" t="s">
        <v>40</v>
      </c>
    </row>
    <row r="982" spans="1:5">
      <c r="A982" s="8">
        <v>2813</v>
      </c>
      <c r="B982" s="8" t="s">
        <v>1768</v>
      </c>
      <c r="C982" s="8" t="s">
        <v>555</v>
      </c>
      <c r="D982" s="8" t="s">
        <v>43</v>
      </c>
      <c r="E982" s="8" t="s">
        <v>40</v>
      </c>
    </row>
    <row r="983" spans="1:5">
      <c r="A983" s="8">
        <v>2815</v>
      </c>
      <c r="B983" s="8" t="s">
        <v>1769</v>
      </c>
      <c r="C983" s="8" t="s">
        <v>871</v>
      </c>
      <c r="D983" s="8" t="s">
        <v>319</v>
      </c>
      <c r="E983" s="8" t="s">
        <v>40</v>
      </c>
    </row>
    <row r="984" spans="1:5">
      <c r="A984" s="8">
        <v>2819</v>
      </c>
      <c r="B984" s="8" t="s">
        <v>1770</v>
      </c>
      <c r="C984" s="8" t="s">
        <v>1771</v>
      </c>
      <c r="D984" s="8" t="s">
        <v>438</v>
      </c>
      <c r="E984" s="8" t="s">
        <v>40</v>
      </c>
    </row>
    <row r="985" spans="1:5">
      <c r="A985" s="8">
        <v>2823</v>
      </c>
      <c r="B985" s="8" t="s">
        <v>1772</v>
      </c>
      <c r="C985" s="8" t="s">
        <v>1319</v>
      </c>
      <c r="D985" s="8" t="s">
        <v>1221</v>
      </c>
      <c r="E985" s="8" t="s">
        <v>40</v>
      </c>
    </row>
    <row r="986" spans="1:5">
      <c r="A986" s="8">
        <v>2825</v>
      </c>
      <c r="B986" s="8" t="s">
        <v>1773</v>
      </c>
      <c r="C986" s="8" t="s">
        <v>1319</v>
      </c>
      <c r="D986" s="8" t="s">
        <v>1221</v>
      </c>
      <c r="E986" s="8" t="s">
        <v>40</v>
      </c>
    </row>
    <row r="987" spans="1:5">
      <c r="A987" s="8">
        <v>2826</v>
      </c>
      <c r="B987" s="8" t="s">
        <v>1774</v>
      </c>
      <c r="C987" s="8" t="s">
        <v>1775</v>
      </c>
      <c r="D987" s="8" t="s">
        <v>132</v>
      </c>
      <c r="E987" s="8" t="s">
        <v>40</v>
      </c>
    </row>
    <row r="988" spans="1:5">
      <c r="A988" s="8">
        <v>2827</v>
      </c>
      <c r="B988" s="8" t="s">
        <v>1776</v>
      </c>
      <c r="C988" s="8" t="s">
        <v>1777</v>
      </c>
      <c r="D988" s="8" t="s">
        <v>43</v>
      </c>
      <c r="E988" s="8" t="s">
        <v>40</v>
      </c>
    </row>
    <row r="989" spans="1:5">
      <c r="A989" s="8">
        <v>2830</v>
      </c>
      <c r="B989" s="8" t="s">
        <v>1778</v>
      </c>
      <c r="C989" s="8" t="s">
        <v>1097</v>
      </c>
      <c r="D989" s="8" t="s">
        <v>132</v>
      </c>
      <c r="E989" s="8" t="s">
        <v>40</v>
      </c>
    </row>
    <row r="990" spans="1:5">
      <c r="A990" s="8">
        <v>2832</v>
      </c>
      <c r="B990" s="8" t="s">
        <v>1779</v>
      </c>
      <c r="C990" s="8" t="s">
        <v>1780</v>
      </c>
      <c r="D990" s="8" t="s">
        <v>39</v>
      </c>
      <c r="E990" s="8" t="s">
        <v>40</v>
      </c>
    </row>
    <row r="991" spans="1:5">
      <c r="A991" s="8">
        <v>2834</v>
      </c>
      <c r="B991" s="8" t="s">
        <v>1781</v>
      </c>
      <c r="C991" s="8" t="s">
        <v>452</v>
      </c>
      <c r="D991" s="8" t="s">
        <v>39</v>
      </c>
      <c r="E991" s="8" t="s">
        <v>40</v>
      </c>
    </row>
    <row r="992" spans="1:5">
      <c r="A992" s="8">
        <v>2836</v>
      </c>
      <c r="B992" s="8" t="s">
        <v>1782</v>
      </c>
      <c r="C992" s="8" t="s">
        <v>1783</v>
      </c>
      <c r="D992" s="8" t="s">
        <v>201</v>
      </c>
      <c r="E992" s="8" t="s">
        <v>40</v>
      </c>
    </row>
    <row r="993" spans="1:5">
      <c r="A993" s="8">
        <v>2839</v>
      </c>
      <c r="B993" s="8" t="s">
        <v>1784</v>
      </c>
      <c r="C993" s="8" t="s">
        <v>1785</v>
      </c>
      <c r="D993" s="8" t="s">
        <v>43</v>
      </c>
      <c r="E993" s="8" t="s">
        <v>40</v>
      </c>
    </row>
    <row r="994" spans="1:5">
      <c r="A994" s="8">
        <v>2840</v>
      </c>
      <c r="B994" s="8" t="s">
        <v>1786</v>
      </c>
      <c r="C994" s="8" t="s">
        <v>1787</v>
      </c>
      <c r="D994" s="8" t="s">
        <v>92</v>
      </c>
      <c r="E994" s="8" t="s">
        <v>40</v>
      </c>
    </row>
    <row r="995" spans="1:5">
      <c r="A995" s="8">
        <v>2844</v>
      </c>
      <c r="B995" s="8" t="s">
        <v>1788</v>
      </c>
      <c r="C995" s="8" t="s">
        <v>1789</v>
      </c>
      <c r="D995" s="8" t="s">
        <v>92</v>
      </c>
      <c r="E995" s="8" t="s">
        <v>40</v>
      </c>
    </row>
    <row r="996" spans="1:5">
      <c r="A996" s="8">
        <v>2846</v>
      </c>
      <c r="B996" s="8" t="s">
        <v>1790</v>
      </c>
      <c r="C996" s="8" t="s">
        <v>1319</v>
      </c>
      <c r="D996" s="8" t="s">
        <v>1221</v>
      </c>
      <c r="E996" s="8" t="s">
        <v>40</v>
      </c>
    </row>
    <row r="997" spans="1:5">
      <c r="A997" s="8">
        <v>2847</v>
      </c>
      <c r="B997" s="8" t="s">
        <v>1791</v>
      </c>
      <c r="C997" s="8" t="s">
        <v>1792</v>
      </c>
      <c r="D997" s="8" t="s">
        <v>1221</v>
      </c>
      <c r="E997" s="8" t="s">
        <v>40</v>
      </c>
    </row>
    <row r="998" spans="1:5">
      <c r="A998" s="8">
        <v>2848</v>
      </c>
      <c r="B998" s="8" t="s">
        <v>1793</v>
      </c>
      <c r="C998" s="8" t="s">
        <v>1794</v>
      </c>
      <c r="D998" s="8" t="s">
        <v>164</v>
      </c>
      <c r="E998" s="8" t="s">
        <v>40</v>
      </c>
    </row>
    <row r="999" spans="1:5">
      <c r="A999" s="8">
        <v>2849</v>
      </c>
      <c r="B999" s="8" t="s">
        <v>1795</v>
      </c>
      <c r="C999" s="8" t="s">
        <v>871</v>
      </c>
      <c r="D999" s="8" t="s">
        <v>438</v>
      </c>
      <c r="E999" s="8" t="s">
        <v>40</v>
      </c>
    </row>
    <row r="1000" spans="1:5">
      <c r="A1000" s="8">
        <v>2851</v>
      </c>
      <c r="B1000" s="8" t="s">
        <v>1796</v>
      </c>
      <c r="C1000" s="8" t="s">
        <v>262</v>
      </c>
      <c r="D1000" s="8" t="s">
        <v>39</v>
      </c>
      <c r="E1000" s="8" t="s">
        <v>40</v>
      </c>
    </row>
    <row r="1001" spans="1:5">
      <c r="A1001" s="8">
        <v>2852</v>
      </c>
      <c r="B1001" s="8" t="s">
        <v>1797</v>
      </c>
      <c r="C1001" s="8" t="s">
        <v>784</v>
      </c>
      <c r="D1001" s="8" t="s">
        <v>238</v>
      </c>
      <c r="E1001" s="8" t="s">
        <v>239</v>
      </c>
    </row>
    <row r="1002" spans="1:5">
      <c r="A1002" s="8">
        <v>2853</v>
      </c>
      <c r="B1002" s="8" t="s">
        <v>1798</v>
      </c>
      <c r="C1002" s="8" t="s">
        <v>1799</v>
      </c>
      <c r="D1002" s="8" t="s">
        <v>388</v>
      </c>
      <c r="E1002" s="8" t="s">
        <v>40</v>
      </c>
    </row>
    <row r="1003" spans="1:5">
      <c r="A1003" s="8">
        <v>2854</v>
      </c>
      <c r="B1003" s="8" t="s">
        <v>1800</v>
      </c>
      <c r="C1003" s="8" t="s">
        <v>304</v>
      </c>
      <c r="D1003" s="8" t="s">
        <v>43</v>
      </c>
      <c r="E1003" s="8" t="s">
        <v>40</v>
      </c>
    </row>
    <row r="1004" spans="1:5">
      <c r="A1004" s="8">
        <v>2855</v>
      </c>
      <c r="B1004" s="8" t="s">
        <v>1801</v>
      </c>
      <c r="C1004" s="8" t="s">
        <v>1319</v>
      </c>
      <c r="D1004" s="8" t="s">
        <v>1221</v>
      </c>
      <c r="E1004" s="8" t="s">
        <v>40</v>
      </c>
    </row>
    <row r="1005" spans="1:5">
      <c r="A1005" s="8">
        <v>2856</v>
      </c>
      <c r="B1005" s="8" t="s">
        <v>1802</v>
      </c>
      <c r="C1005" s="8" t="s">
        <v>1803</v>
      </c>
      <c r="D1005" s="8" t="s">
        <v>495</v>
      </c>
      <c r="E1005" s="8" t="s">
        <v>40</v>
      </c>
    </row>
    <row r="1006" spans="1:5">
      <c r="A1006" s="8">
        <v>2861</v>
      </c>
      <c r="B1006" s="8" t="s">
        <v>1804</v>
      </c>
      <c r="C1006" s="8" t="s">
        <v>1805</v>
      </c>
      <c r="D1006" s="8" t="s">
        <v>1221</v>
      </c>
      <c r="E1006" s="8" t="s">
        <v>40</v>
      </c>
    </row>
    <row r="1007" spans="1:5">
      <c r="A1007" s="8">
        <v>2867</v>
      </c>
      <c r="B1007" s="8" t="s">
        <v>1806</v>
      </c>
      <c r="C1007" s="8" t="s">
        <v>1009</v>
      </c>
      <c r="D1007" s="8" t="s">
        <v>79</v>
      </c>
      <c r="E1007" s="8" t="s">
        <v>40</v>
      </c>
    </row>
    <row r="1008" spans="1:5">
      <c r="A1008" s="8">
        <v>2869</v>
      </c>
      <c r="B1008" s="8" t="s">
        <v>1807</v>
      </c>
      <c r="C1008" s="8" t="s">
        <v>1808</v>
      </c>
      <c r="D1008" s="8" t="s">
        <v>54</v>
      </c>
      <c r="E1008" s="8" t="s">
        <v>40</v>
      </c>
    </row>
    <row r="1009" spans="1:5">
      <c r="A1009" s="8">
        <v>2872</v>
      </c>
      <c r="B1009" s="8" t="s">
        <v>1809</v>
      </c>
      <c r="C1009" s="8" t="s">
        <v>1305</v>
      </c>
      <c r="D1009" s="8" t="s">
        <v>54</v>
      </c>
      <c r="E1009" s="8" t="s">
        <v>40</v>
      </c>
    </row>
    <row r="1010" spans="1:5">
      <c r="A1010" s="8">
        <v>2874</v>
      </c>
      <c r="B1010" s="8" t="s">
        <v>1810</v>
      </c>
      <c r="C1010" s="8" t="s">
        <v>1811</v>
      </c>
      <c r="D1010" s="8" t="s">
        <v>691</v>
      </c>
      <c r="E1010" s="8" t="s">
        <v>40</v>
      </c>
    </row>
    <row r="1011" spans="1:5">
      <c r="A1011" s="8">
        <v>2875</v>
      </c>
      <c r="B1011" s="8" t="s">
        <v>1812</v>
      </c>
      <c r="C1011" s="8" t="s">
        <v>1813</v>
      </c>
      <c r="D1011" s="8" t="s">
        <v>54</v>
      </c>
      <c r="E1011" s="8" t="s">
        <v>40</v>
      </c>
    </row>
    <row r="1012" spans="1:5">
      <c r="A1012" s="8">
        <v>2876</v>
      </c>
      <c r="B1012" s="8" t="s">
        <v>1814</v>
      </c>
      <c r="C1012" s="8" t="s">
        <v>1421</v>
      </c>
      <c r="D1012" s="8" t="s">
        <v>60</v>
      </c>
      <c r="E1012" s="8" t="s">
        <v>40</v>
      </c>
    </row>
    <row r="1013" spans="1:5">
      <c r="A1013" s="8">
        <v>2877</v>
      </c>
      <c r="B1013" s="8" t="s">
        <v>1815</v>
      </c>
      <c r="C1013" s="8" t="s">
        <v>695</v>
      </c>
      <c r="D1013" s="8" t="s">
        <v>60</v>
      </c>
      <c r="E1013" s="8" t="s">
        <v>40</v>
      </c>
    </row>
    <row r="1014" spans="1:5">
      <c r="A1014" s="8">
        <v>2879</v>
      </c>
      <c r="B1014" s="8" t="s">
        <v>1816</v>
      </c>
      <c r="C1014" s="8" t="s">
        <v>1817</v>
      </c>
      <c r="D1014" s="8" t="s">
        <v>1221</v>
      </c>
      <c r="E1014" s="8" t="s">
        <v>40</v>
      </c>
    </row>
    <row r="1015" spans="1:5">
      <c r="A1015" s="8">
        <v>2881</v>
      </c>
      <c r="B1015" s="8" t="s">
        <v>1818</v>
      </c>
      <c r="C1015" s="8" t="s">
        <v>420</v>
      </c>
      <c r="D1015" s="8" t="s">
        <v>164</v>
      </c>
      <c r="E1015" s="8" t="s">
        <v>40</v>
      </c>
    </row>
    <row r="1016" spans="1:5">
      <c r="A1016" s="8">
        <v>2882</v>
      </c>
      <c r="B1016" s="8" t="s">
        <v>1819</v>
      </c>
      <c r="C1016" s="8" t="s">
        <v>545</v>
      </c>
      <c r="D1016" s="8" t="s">
        <v>164</v>
      </c>
      <c r="E1016" s="8" t="s">
        <v>40</v>
      </c>
    </row>
    <row r="1017" spans="1:5">
      <c r="A1017" s="8">
        <v>2883</v>
      </c>
      <c r="B1017" s="8" t="s">
        <v>1820</v>
      </c>
      <c r="C1017" s="8" t="s">
        <v>1821</v>
      </c>
      <c r="D1017" s="8" t="s">
        <v>1221</v>
      </c>
      <c r="E1017" s="8" t="s">
        <v>40</v>
      </c>
    </row>
    <row r="1018" spans="1:5">
      <c r="A1018" s="8">
        <v>2890</v>
      </c>
      <c r="B1018" s="8" t="s">
        <v>1822</v>
      </c>
      <c r="C1018" s="8" t="s">
        <v>1823</v>
      </c>
      <c r="D1018" s="8" t="s">
        <v>159</v>
      </c>
      <c r="E1018" s="8" t="s">
        <v>40</v>
      </c>
    </row>
    <row r="1019" spans="1:5">
      <c r="A1019" s="8">
        <v>2895</v>
      </c>
      <c r="B1019" s="8" t="s">
        <v>1824</v>
      </c>
      <c r="C1019" s="8" t="s">
        <v>1825</v>
      </c>
      <c r="D1019" s="8" t="s">
        <v>54</v>
      </c>
      <c r="E1019" s="8" t="s">
        <v>40</v>
      </c>
    </row>
    <row r="1020" spans="1:5">
      <c r="A1020" s="8">
        <v>2896</v>
      </c>
      <c r="B1020" s="8" t="s">
        <v>1826</v>
      </c>
      <c r="C1020" s="8" t="s">
        <v>398</v>
      </c>
      <c r="D1020" s="8" t="s">
        <v>388</v>
      </c>
      <c r="E1020" s="8" t="s">
        <v>40</v>
      </c>
    </row>
    <row r="1021" spans="1:5">
      <c r="A1021" s="8">
        <v>2897</v>
      </c>
      <c r="B1021" s="8" t="s">
        <v>1827</v>
      </c>
      <c r="C1021" s="8" t="s">
        <v>1828</v>
      </c>
      <c r="D1021" s="8" t="s">
        <v>164</v>
      </c>
      <c r="E1021" s="8" t="s">
        <v>40</v>
      </c>
    </row>
    <row r="1022" spans="1:5">
      <c r="A1022" s="8">
        <v>2898</v>
      </c>
      <c r="B1022" s="8" t="s">
        <v>1829</v>
      </c>
      <c r="C1022" s="8" t="s">
        <v>978</v>
      </c>
      <c r="D1022" s="8" t="s">
        <v>603</v>
      </c>
      <c r="E1022" s="8" t="s">
        <v>40</v>
      </c>
    </row>
    <row r="1023" spans="1:5">
      <c r="A1023" s="8">
        <v>2900</v>
      </c>
      <c r="B1023" s="8" t="s">
        <v>1830</v>
      </c>
      <c r="C1023" s="8" t="s">
        <v>264</v>
      </c>
      <c r="D1023" s="8" t="s">
        <v>947</v>
      </c>
      <c r="E1023" s="8" t="s">
        <v>40</v>
      </c>
    </row>
    <row r="1024" spans="1:5">
      <c r="A1024" s="8">
        <v>2903</v>
      </c>
      <c r="B1024" s="8" t="s">
        <v>1831</v>
      </c>
      <c r="C1024" s="8" t="s">
        <v>1832</v>
      </c>
      <c r="D1024" s="8" t="s">
        <v>264</v>
      </c>
      <c r="E1024" s="8" t="s">
        <v>40</v>
      </c>
    </row>
    <row r="1025" spans="1:5">
      <c r="A1025" s="8">
        <v>2905</v>
      </c>
      <c r="B1025" s="8" t="s">
        <v>1833</v>
      </c>
      <c r="C1025" s="8" t="s">
        <v>1834</v>
      </c>
      <c r="D1025" s="8" t="s">
        <v>1834</v>
      </c>
      <c r="E1025" s="8" t="s">
        <v>1835</v>
      </c>
    </row>
    <row r="1026" spans="1:5">
      <c r="A1026" s="8">
        <v>2906</v>
      </c>
      <c r="B1026" s="8" t="s">
        <v>1836</v>
      </c>
      <c r="C1026" s="8" t="s">
        <v>1837</v>
      </c>
      <c r="D1026" s="8" t="s">
        <v>264</v>
      </c>
      <c r="E1026" s="8" t="s">
        <v>40</v>
      </c>
    </row>
    <row r="1027" spans="1:5">
      <c r="A1027" s="8">
        <v>2907</v>
      </c>
      <c r="B1027" s="8" t="s">
        <v>1838</v>
      </c>
      <c r="C1027" s="8" t="s">
        <v>1839</v>
      </c>
      <c r="D1027" s="8" t="s">
        <v>264</v>
      </c>
      <c r="E1027" s="8" t="s">
        <v>40</v>
      </c>
    </row>
    <row r="1028" spans="1:5">
      <c r="A1028" s="8">
        <v>2910</v>
      </c>
      <c r="B1028" s="8" t="s">
        <v>1840</v>
      </c>
      <c r="C1028" s="8" t="s">
        <v>1841</v>
      </c>
      <c r="D1028" s="8" t="s">
        <v>264</v>
      </c>
      <c r="E1028" s="8" t="s">
        <v>40</v>
      </c>
    </row>
    <row r="1029" spans="1:5">
      <c r="A1029" s="8">
        <v>2912</v>
      </c>
      <c r="B1029" s="8" t="s">
        <v>779</v>
      </c>
      <c r="C1029" s="8" t="s">
        <v>264</v>
      </c>
      <c r="D1029" s="8" t="s">
        <v>947</v>
      </c>
      <c r="E1029" s="8" t="s">
        <v>40</v>
      </c>
    </row>
    <row r="1030" spans="1:5">
      <c r="A1030" s="8">
        <v>2914</v>
      </c>
      <c r="B1030" s="8" t="s">
        <v>1842</v>
      </c>
      <c r="C1030" s="8" t="s">
        <v>264</v>
      </c>
      <c r="D1030" s="8" t="s">
        <v>947</v>
      </c>
      <c r="E1030" s="8" t="s">
        <v>40</v>
      </c>
    </row>
    <row r="1031" spans="1:5">
      <c r="A1031" s="8">
        <v>2915</v>
      </c>
      <c r="B1031" s="8" t="s">
        <v>1843</v>
      </c>
      <c r="C1031" s="8" t="s">
        <v>944</v>
      </c>
      <c r="D1031" s="8" t="s">
        <v>603</v>
      </c>
      <c r="E1031" s="8" t="s">
        <v>40</v>
      </c>
    </row>
    <row r="1032" spans="1:5">
      <c r="A1032" s="8">
        <v>2916</v>
      </c>
      <c r="B1032" s="8" t="s">
        <v>1844</v>
      </c>
      <c r="C1032" s="8" t="s">
        <v>1845</v>
      </c>
      <c r="D1032" s="8" t="s">
        <v>57</v>
      </c>
      <c r="E1032" s="8" t="s">
        <v>40</v>
      </c>
    </row>
    <row r="1033" spans="1:5">
      <c r="A1033" s="8">
        <v>2926</v>
      </c>
      <c r="B1033" s="8" t="s">
        <v>1846</v>
      </c>
      <c r="C1033" s="8" t="s">
        <v>1847</v>
      </c>
      <c r="D1033" s="8" t="s">
        <v>264</v>
      </c>
      <c r="E1033" s="8" t="s">
        <v>40</v>
      </c>
    </row>
    <row r="1034" spans="1:5">
      <c r="A1034" s="8">
        <v>2927</v>
      </c>
      <c r="B1034" s="8" t="s">
        <v>1848</v>
      </c>
      <c r="C1034" s="8" t="s">
        <v>1849</v>
      </c>
      <c r="D1034" s="8" t="s">
        <v>264</v>
      </c>
      <c r="E1034" s="8" t="s">
        <v>40</v>
      </c>
    </row>
    <row r="1035" spans="1:5">
      <c r="A1035" s="8">
        <v>2928</v>
      </c>
      <c r="B1035" s="8" t="s">
        <v>512</v>
      </c>
      <c r="C1035" s="8" t="s">
        <v>458</v>
      </c>
      <c r="D1035" s="8" t="s">
        <v>264</v>
      </c>
      <c r="E1035" s="8" t="s">
        <v>40</v>
      </c>
    </row>
    <row r="1036" spans="1:5">
      <c r="A1036" s="8">
        <v>2929</v>
      </c>
      <c r="B1036" s="8" t="s">
        <v>1850</v>
      </c>
      <c r="C1036" s="8" t="s">
        <v>1851</v>
      </c>
      <c r="D1036" s="8" t="s">
        <v>264</v>
      </c>
      <c r="E1036" s="8" t="s">
        <v>40</v>
      </c>
    </row>
    <row r="1037" spans="1:5">
      <c r="A1037" s="8">
        <v>2930</v>
      </c>
      <c r="B1037" s="8" t="s">
        <v>1852</v>
      </c>
      <c r="C1037" s="8" t="s">
        <v>1853</v>
      </c>
      <c r="D1037" s="8" t="s">
        <v>264</v>
      </c>
      <c r="E1037" s="8" t="s">
        <v>40</v>
      </c>
    </row>
    <row r="1038" spans="1:5">
      <c r="A1038" s="8">
        <v>2935</v>
      </c>
      <c r="B1038" s="8" t="s">
        <v>1854</v>
      </c>
      <c r="C1038" s="8" t="s">
        <v>650</v>
      </c>
      <c r="D1038" s="8" t="s">
        <v>238</v>
      </c>
      <c r="E1038" s="8" t="s">
        <v>239</v>
      </c>
    </row>
    <row r="1039" spans="1:5">
      <c r="A1039" s="8">
        <v>2942</v>
      </c>
      <c r="B1039" s="8" t="s">
        <v>1855</v>
      </c>
      <c r="C1039" s="8" t="s">
        <v>458</v>
      </c>
      <c r="D1039" s="8" t="s">
        <v>264</v>
      </c>
      <c r="E1039" s="8" t="s">
        <v>40</v>
      </c>
    </row>
    <row r="1040" spans="1:5">
      <c r="A1040" s="8">
        <v>2944</v>
      </c>
      <c r="B1040" s="8" t="s">
        <v>1856</v>
      </c>
      <c r="C1040" s="8" t="s">
        <v>1049</v>
      </c>
      <c r="D1040" s="8" t="s">
        <v>264</v>
      </c>
      <c r="E1040" s="8" t="s">
        <v>40</v>
      </c>
    </row>
    <row r="1041" spans="1:5">
      <c r="A1041" s="8">
        <v>2945</v>
      </c>
      <c r="B1041" s="8" t="s">
        <v>1857</v>
      </c>
      <c r="C1041" s="8" t="s">
        <v>1858</v>
      </c>
      <c r="D1041" s="8" t="s">
        <v>208</v>
      </c>
      <c r="E1041" s="8" t="s">
        <v>40</v>
      </c>
    </row>
    <row r="1042" spans="1:5">
      <c r="A1042" s="8">
        <v>2950</v>
      </c>
      <c r="B1042" s="8" t="s">
        <v>1859</v>
      </c>
      <c r="C1042" s="8" t="s">
        <v>1828</v>
      </c>
      <c r="D1042" s="8" t="s">
        <v>164</v>
      </c>
      <c r="E1042" s="8" t="s">
        <v>40</v>
      </c>
    </row>
    <row r="1043" spans="1:5">
      <c r="A1043" s="8">
        <v>2957</v>
      </c>
      <c r="B1043" s="8" t="s">
        <v>1860</v>
      </c>
      <c r="C1043" s="8" t="s">
        <v>1861</v>
      </c>
      <c r="D1043" s="8" t="s">
        <v>1221</v>
      </c>
      <c r="E1043" s="8" t="s">
        <v>40</v>
      </c>
    </row>
    <row r="1044" spans="1:5">
      <c r="A1044" s="8">
        <v>2959</v>
      </c>
      <c r="B1044" s="8" t="s">
        <v>1862</v>
      </c>
      <c r="C1044" s="8" t="s">
        <v>1863</v>
      </c>
      <c r="D1044" s="8" t="s">
        <v>39</v>
      </c>
      <c r="E1044" s="8" t="s">
        <v>40</v>
      </c>
    </row>
    <row r="1045" spans="1:5">
      <c r="A1045" s="8">
        <v>2960</v>
      </c>
      <c r="B1045" s="8" t="s">
        <v>1864</v>
      </c>
      <c r="C1045" s="8" t="s">
        <v>1865</v>
      </c>
      <c r="D1045" s="8" t="s">
        <v>39</v>
      </c>
      <c r="E1045" s="8" t="s">
        <v>40</v>
      </c>
    </row>
    <row r="1046" spans="1:5">
      <c r="A1046" s="8">
        <v>2961</v>
      </c>
      <c r="B1046" s="8" t="s">
        <v>1866</v>
      </c>
      <c r="C1046" s="8" t="s">
        <v>264</v>
      </c>
      <c r="D1046" s="8" t="s">
        <v>947</v>
      </c>
      <c r="E1046" s="8" t="s">
        <v>40</v>
      </c>
    </row>
    <row r="1047" spans="1:5">
      <c r="A1047" s="8">
        <v>2964</v>
      </c>
      <c r="B1047" s="8" t="s">
        <v>1867</v>
      </c>
      <c r="C1047" s="8" t="s">
        <v>264</v>
      </c>
      <c r="D1047" s="8" t="s">
        <v>947</v>
      </c>
      <c r="E1047" s="8" t="s">
        <v>40</v>
      </c>
    </row>
    <row r="1048" spans="1:5">
      <c r="A1048" s="8">
        <v>2966</v>
      </c>
      <c r="B1048" s="8" t="s">
        <v>1868</v>
      </c>
      <c r="C1048" s="8" t="s">
        <v>1869</v>
      </c>
      <c r="D1048" s="8" t="s">
        <v>164</v>
      </c>
      <c r="E1048" s="8" t="s">
        <v>40</v>
      </c>
    </row>
    <row r="1049" spans="1:5">
      <c r="A1049" s="8">
        <v>2969</v>
      </c>
      <c r="B1049" s="8" t="s">
        <v>1870</v>
      </c>
      <c r="C1049" s="8" t="s">
        <v>445</v>
      </c>
      <c r="D1049" s="8" t="s">
        <v>164</v>
      </c>
      <c r="E1049" s="8" t="s">
        <v>40</v>
      </c>
    </row>
    <row r="1050" spans="1:5">
      <c r="A1050" s="8">
        <v>2972</v>
      </c>
      <c r="B1050" s="8" t="s">
        <v>1871</v>
      </c>
      <c r="C1050" s="8" t="s">
        <v>1076</v>
      </c>
      <c r="D1050" s="8" t="s">
        <v>208</v>
      </c>
      <c r="E1050" s="8" t="s">
        <v>40</v>
      </c>
    </row>
    <row r="1051" spans="1:5">
      <c r="A1051" s="8">
        <v>2973</v>
      </c>
      <c r="B1051" s="8" t="s">
        <v>1872</v>
      </c>
      <c r="C1051" s="8" t="s">
        <v>881</v>
      </c>
      <c r="D1051" s="8" t="s">
        <v>74</v>
      </c>
      <c r="E1051" s="8" t="s">
        <v>40</v>
      </c>
    </row>
    <row r="1052" spans="1:5">
      <c r="A1052" s="8">
        <v>2974</v>
      </c>
      <c r="B1052" s="8" t="s">
        <v>1873</v>
      </c>
      <c r="C1052" s="8" t="s">
        <v>734</v>
      </c>
      <c r="D1052" s="8" t="s">
        <v>630</v>
      </c>
      <c r="E1052" s="8" t="s">
        <v>40</v>
      </c>
    </row>
    <row r="1053" spans="1:5">
      <c r="A1053" s="8">
        <v>2976</v>
      </c>
      <c r="B1053" s="8" t="s">
        <v>1874</v>
      </c>
      <c r="C1053" s="8" t="s">
        <v>873</v>
      </c>
      <c r="D1053" s="8" t="s">
        <v>264</v>
      </c>
      <c r="E1053" s="8" t="s">
        <v>40</v>
      </c>
    </row>
    <row r="1054" spans="1:5">
      <c r="A1054" s="8">
        <v>2977</v>
      </c>
      <c r="B1054" s="8" t="s">
        <v>1875</v>
      </c>
      <c r="C1054" s="8" t="s">
        <v>1876</v>
      </c>
      <c r="D1054" s="8" t="s">
        <v>1221</v>
      </c>
      <c r="E1054" s="8" t="s">
        <v>40</v>
      </c>
    </row>
    <row r="1055" spans="1:5">
      <c r="A1055" s="8">
        <v>2978</v>
      </c>
      <c r="B1055" s="8" t="s">
        <v>1877</v>
      </c>
      <c r="C1055" s="8" t="s">
        <v>690</v>
      </c>
      <c r="D1055" s="8" t="s">
        <v>691</v>
      </c>
      <c r="E1055" s="8" t="s">
        <v>40</v>
      </c>
    </row>
    <row r="1056" spans="1:5">
      <c r="A1056" s="8">
        <v>2980</v>
      </c>
      <c r="B1056" s="8" t="s">
        <v>1878</v>
      </c>
      <c r="C1056" s="8" t="s">
        <v>1879</v>
      </c>
      <c r="D1056" s="8" t="s">
        <v>264</v>
      </c>
      <c r="E1056" s="8" t="s">
        <v>40</v>
      </c>
    </row>
    <row r="1057" spans="1:5">
      <c r="A1057" s="8">
        <v>2984</v>
      </c>
      <c r="B1057" s="8" t="s">
        <v>1880</v>
      </c>
      <c r="C1057" s="8" t="s">
        <v>620</v>
      </c>
      <c r="D1057" s="8" t="s">
        <v>43</v>
      </c>
      <c r="E1057" s="8" t="s">
        <v>40</v>
      </c>
    </row>
    <row r="1058" spans="1:5">
      <c r="A1058" s="8">
        <v>2986</v>
      </c>
      <c r="B1058" s="8" t="s">
        <v>1881</v>
      </c>
      <c r="C1058" s="8" t="s">
        <v>1015</v>
      </c>
      <c r="D1058" s="8" t="s">
        <v>69</v>
      </c>
      <c r="E1058" s="8" t="s">
        <v>40</v>
      </c>
    </row>
    <row r="1059" spans="1:5">
      <c r="A1059" s="8">
        <v>2987</v>
      </c>
      <c r="B1059" s="8" t="s">
        <v>1882</v>
      </c>
      <c r="C1059" s="8" t="s">
        <v>229</v>
      </c>
      <c r="D1059" s="8" t="s">
        <v>1221</v>
      </c>
      <c r="E1059" s="8" t="s">
        <v>40</v>
      </c>
    </row>
    <row r="1060" spans="1:5">
      <c r="A1060" s="8">
        <v>2988</v>
      </c>
      <c r="B1060" s="8" t="s">
        <v>1883</v>
      </c>
      <c r="C1060" s="8" t="s">
        <v>1884</v>
      </c>
      <c r="D1060" s="8" t="s">
        <v>159</v>
      </c>
      <c r="E1060" s="8" t="s">
        <v>40</v>
      </c>
    </row>
    <row r="1061" spans="1:5">
      <c r="A1061" s="8">
        <v>2989</v>
      </c>
      <c r="B1061" s="8" t="s">
        <v>1885</v>
      </c>
      <c r="C1061" s="8" t="s">
        <v>1886</v>
      </c>
      <c r="D1061" s="8" t="s">
        <v>1221</v>
      </c>
      <c r="E1061" s="8" t="s">
        <v>40</v>
      </c>
    </row>
    <row r="1062" spans="1:5">
      <c r="A1062" s="8">
        <v>2990</v>
      </c>
      <c r="B1062" s="8" t="s">
        <v>1887</v>
      </c>
      <c r="C1062" s="8" t="s">
        <v>1888</v>
      </c>
      <c r="D1062" s="8" t="s">
        <v>603</v>
      </c>
      <c r="E1062" s="8" t="s">
        <v>40</v>
      </c>
    </row>
    <row r="1063" spans="1:5">
      <c r="A1063" s="8">
        <v>2992</v>
      </c>
      <c r="B1063" s="8" t="s">
        <v>1889</v>
      </c>
      <c r="C1063" s="8" t="s">
        <v>1431</v>
      </c>
      <c r="D1063" s="8" t="s">
        <v>1226</v>
      </c>
      <c r="E1063" s="8" t="s">
        <v>40</v>
      </c>
    </row>
    <row r="1064" spans="1:5">
      <c r="A1064" s="8">
        <v>2993</v>
      </c>
      <c r="B1064" s="8" t="s">
        <v>1890</v>
      </c>
      <c r="C1064" s="8" t="s">
        <v>363</v>
      </c>
      <c r="D1064" s="8" t="s">
        <v>1563</v>
      </c>
      <c r="E1064" s="8" t="s">
        <v>40</v>
      </c>
    </row>
    <row r="1065" spans="1:5">
      <c r="A1065" s="8">
        <v>2994</v>
      </c>
      <c r="B1065" s="8" t="s">
        <v>1891</v>
      </c>
      <c r="C1065" s="8" t="s">
        <v>1892</v>
      </c>
      <c r="D1065" s="8" t="s">
        <v>238</v>
      </c>
      <c r="E1065" s="8" t="s">
        <v>239</v>
      </c>
    </row>
    <row r="1066" spans="1:5">
      <c r="A1066" s="8">
        <v>2996</v>
      </c>
      <c r="B1066" s="8" t="s">
        <v>1893</v>
      </c>
      <c r="C1066" s="8" t="s">
        <v>1894</v>
      </c>
      <c r="D1066" s="8" t="s">
        <v>208</v>
      </c>
      <c r="E1066" s="8" t="s">
        <v>40</v>
      </c>
    </row>
    <row r="1067" spans="1:5">
      <c r="A1067" s="8">
        <v>2998</v>
      </c>
      <c r="B1067" s="8" t="s">
        <v>1895</v>
      </c>
      <c r="C1067" s="8" t="s">
        <v>422</v>
      </c>
      <c r="D1067" s="8" t="s">
        <v>159</v>
      </c>
      <c r="E1067" s="8" t="s">
        <v>40</v>
      </c>
    </row>
    <row r="1068" spans="1:5">
      <c r="A1068" s="8">
        <v>3000</v>
      </c>
      <c r="B1068" s="8" t="s">
        <v>1896</v>
      </c>
      <c r="C1068" s="8" t="s">
        <v>833</v>
      </c>
      <c r="D1068" s="8" t="s">
        <v>495</v>
      </c>
      <c r="E1068" s="8" t="s">
        <v>40</v>
      </c>
    </row>
    <row r="1069" spans="1:5">
      <c r="A1069" s="8">
        <v>3003</v>
      </c>
      <c r="B1069" s="8" t="s">
        <v>1897</v>
      </c>
      <c r="C1069" s="8" t="s">
        <v>1898</v>
      </c>
      <c r="D1069" s="8" t="s">
        <v>54</v>
      </c>
      <c r="E1069" s="8" t="s">
        <v>40</v>
      </c>
    </row>
    <row r="1070" spans="1:5">
      <c r="A1070" s="8">
        <v>3004</v>
      </c>
      <c r="B1070" s="8" t="s">
        <v>1899</v>
      </c>
      <c r="C1070" s="8" t="s">
        <v>414</v>
      </c>
      <c r="D1070" s="8" t="s">
        <v>54</v>
      </c>
      <c r="E1070" s="8" t="s">
        <v>40</v>
      </c>
    </row>
    <row r="1071" spans="1:5">
      <c r="A1071" s="8">
        <v>3005</v>
      </c>
      <c r="B1071" s="8" t="s">
        <v>1900</v>
      </c>
      <c r="C1071" s="8" t="s">
        <v>1794</v>
      </c>
      <c r="D1071" s="8" t="s">
        <v>164</v>
      </c>
      <c r="E1071" s="8" t="s">
        <v>40</v>
      </c>
    </row>
    <row r="1072" spans="1:5">
      <c r="A1072" s="8">
        <v>3006</v>
      </c>
      <c r="B1072" s="8" t="s">
        <v>1901</v>
      </c>
      <c r="C1072" s="8" t="s">
        <v>1902</v>
      </c>
      <c r="D1072" s="8" t="s">
        <v>1563</v>
      </c>
      <c r="E1072" s="8" t="s">
        <v>40</v>
      </c>
    </row>
    <row r="1073" spans="1:5">
      <c r="A1073" s="8">
        <v>3007</v>
      </c>
      <c r="B1073" s="8" t="s">
        <v>1903</v>
      </c>
      <c r="C1073" s="8" t="s">
        <v>1568</v>
      </c>
      <c r="D1073" s="8" t="s">
        <v>1221</v>
      </c>
      <c r="E1073" s="8" t="s">
        <v>40</v>
      </c>
    </row>
    <row r="1074" spans="1:5">
      <c r="A1074" s="8">
        <v>3008</v>
      </c>
      <c r="B1074" s="8" t="s">
        <v>1904</v>
      </c>
      <c r="C1074" s="8" t="s">
        <v>398</v>
      </c>
      <c r="D1074" s="8" t="s">
        <v>388</v>
      </c>
      <c r="E1074" s="8" t="s">
        <v>40</v>
      </c>
    </row>
    <row r="1075" spans="1:5">
      <c r="A1075" s="8">
        <v>3009</v>
      </c>
      <c r="B1075" s="8" t="s">
        <v>1905</v>
      </c>
      <c r="C1075" s="8" t="s">
        <v>1906</v>
      </c>
      <c r="D1075" s="8" t="s">
        <v>726</v>
      </c>
      <c r="E1075" s="8" t="s">
        <v>40</v>
      </c>
    </row>
    <row r="1076" spans="1:5">
      <c r="A1076" s="8">
        <v>3010</v>
      </c>
      <c r="B1076" s="8" t="s">
        <v>1907</v>
      </c>
      <c r="C1076" s="8" t="s">
        <v>1908</v>
      </c>
      <c r="D1076" s="8" t="s">
        <v>81</v>
      </c>
      <c r="E1076" s="8" t="s">
        <v>40</v>
      </c>
    </row>
    <row r="1077" spans="1:5">
      <c r="A1077" s="8">
        <v>3011</v>
      </c>
      <c r="B1077" s="8" t="s">
        <v>75</v>
      </c>
      <c r="C1077" s="8" t="s">
        <v>1909</v>
      </c>
      <c r="D1077" s="8" t="s">
        <v>1910</v>
      </c>
      <c r="E1077" s="8" t="s">
        <v>1911</v>
      </c>
    </row>
    <row r="1078" spans="1:5">
      <c r="A1078" s="8">
        <v>3013</v>
      </c>
      <c r="B1078" s="8" t="s">
        <v>1912</v>
      </c>
      <c r="C1078" s="8" t="s">
        <v>1913</v>
      </c>
      <c r="D1078" s="8" t="s">
        <v>43</v>
      </c>
      <c r="E1078" s="8" t="s">
        <v>40</v>
      </c>
    </row>
    <row r="1079" spans="1:5">
      <c r="A1079" s="8">
        <v>3015</v>
      </c>
      <c r="B1079" s="8" t="s">
        <v>1914</v>
      </c>
      <c r="C1079" s="8" t="s">
        <v>1915</v>
      </c>
      <c r="D1079" s="8" t="s">
        <v>54</v>
      </c>
      <c r="E1079" s="8" t="s">
        <v>40</v>
      </c>
    </row>
    <row r="1080" spans="1:5">
      <c r="A1080" s="8">
        <v>3017</v>
      </c>
      <c r="B1080" s="8" t="s">
        <v>1916</v>
      </c>
      <c r="C1080" s="8" t="s">
        <v>1917</v>
      </c>
      <c r="D1080" s="8" t="s">
        <v>54</v>
      </c>
      <c r="E1080" s="8" t="s">
        <v>40</v>
      </c>
    </row>
    <row r="1081" spans="1:5">
      <c r="A1081" s="8">
        <v>3018</v>
      </c>
      <c r="B1081" s="8" t="s">
        <v>1918</v>
      </c>
      <c r="C1081" s="8" t="s">
        <v>1919</v>
      </c>
      <c r="D1081" s="8" t="s">
        <v>1221</v>
      </c>
      <c r="E1081" s="8" t="s">
        <v>40</v>
      </c>
    </row>
    <row r="1082" spans="1:5">
      <c r="A1082" s="8">
        <v>3019</v>
      </c>
      <c r="B1082" s="8" t="s">
        <v>425</v>
      </c>
      <c r="C1082" s="8" t="s">
        <v>1920</v>
      </c>
      <c r="D1082" s="8" t="s">
        <v>92</v>
      </c>
      <c r="E1082" s="8" t="s">
        <v>40</v>
      </c>
    </row>
    <row r="1083" spans="1:5">
      <c r="A1083" s="8">
        <v>3021</v>
      </c>
      <c r="B1083" s="8" t="s">
        <v>1921</v>
      </c>
      <c r="C1083" s="8" t="s">
        <v>1785</v>
      </c>
      <c r="D1083" s="8" t="s">
        <v>43</v>
      </c>
      <c r="E1083" s="8" t="s">
        <v>40</v>
      </c>
    </row>
    <row r="1084" spans="1:5">
      <c r="A1084" s="8">
        <v>3023</v>
      </c>
      <c r="B1084" s="8" t="s">
        <v>1922</v>
      </c>
      <c r="C1084" s="8" t="s">
        <v>1923</v>
      </c>
      <c r="D1084" s="8" t="s">
        <v>1221</v>
      </c>
      <c r="E1084" s="8" t="s">
        <v>40</v>
      </c>
    </row>
    <row r="1085" spans="1:5">
      <c r="A1085" s="8">
        <v>3024</v>
      </c>
      <c r="B1085" s="8" t="s">
        <v>1924</v>
      </c>
      <c r="C1085" s="8" t="s">
        <v>1925</v>
      </c>
      <c r="D1085" s="8" t="s">
        <v>603</v>
      </c>
      <c r="E1085" s="8" t="s">
        <v>40</v>
      </c>
    </row>
    <row r="1086" spans="1:5">
      <c r="A1086" s="8">
        <v>3026</v>
      </c>
      <c r="B1086" s="8" t="s">
        <v>1926</v>
      </c>
      <c r="C1086" s="8" t="s">
        <v>1927</v>
      </c>
      <c r="D1086" s="8" t="s">
        <v>1221</v>
      </c>
      <c r="E1086" s="8" t="s">
        <v>40</v>
      </c>
    </row>
    <row r="1087" spans="1:5">
      <c r="A1087" s="8">
        <v>3028</v>
      </c>
      <c r="B1087" s="8" t="s">
        <v>1928</v>
      </c>
      <c r="C1087" s="8" t="s">
        <v>1929</v>
      </c>
      <c r="D1087" s="8" t="s">
        <v>164</v>
      </c>
      <c r="E1087" s="8" t="s">
        <v>40</v>
      </c>
    </row>
    <row r="1088" spans="1:5">
      <c r="A1088" s="8">
        <v>3029</v>
      </c>
      <c r="B1088" s="8" t="s">
        <v>1930</v>
      </c>
      <c r="C1088" s="8" t="s">
        <v>1869</v>
      </c>
      <c r="D1088" s="8" t="s">
        <v>164</v>
      </c>
      <c r="E1088" s="8" t="s">
        <v>40</v>
      </c>
    </row>
    <row r="1089" spans="1:5">
      <c r="A1089" s="8">
        <v>3034</v>
      </c>
      <c r="B1089" s="8" t="s">
        <v>1931</v>
      </c>
      <c r="C1089" s="8" t="s">
        <v>1932</v>
      </c>
      <c r="D1089" s="8" t="s">
        <v>1025</v>
      </c>
      <c r="E1089" s="8" t="s">
        <v>1026</v>
      </c>
    </row>
    <row r="1090" spans="1:5">
      <c r="A1090" s="8">
        <v>3035</v>
      </c>
      <c r="B1090" s="8" t="s">
        <v>1933</v>
      </c>
      <c r="C1090" s="8" t="s">
        <v>1934</v>
      </c>
      <c r="D1090" s="8" t="s">
        <v>164</v>
      </c>
      <c r="E1090" s="8" t="s">
        <v>40</v>
      </c>
    </row>
    <row r="1091" spans="1:5">
      <c r="A1091" s="8">
        <v>3036</v>
      </c>
      <c r="B1091" s="8" t="s">
        <v>1935</v>
      </c>
      <c r="C1091" s="8" t="s">
        <v>1936</v>
      </c>
      <c r="D1091" s="8" t="s">
        <v>1221</v>
      </c>
      <c r="E1091" s="8" t="s">
        <v>40</v>
      </c>
    </row>
    <row r="1092" spans="1:5">
      <c r="A1092" s="8">
        <v>3037</v>
      </c>
      <c r="B1092" s="8" t="s">
        <v>1937</v>
      </c>
      <c r="C1092" s="8" t="s">
        <v>1938</v>
      </c>
      <c r="D1092" s="8" t="s">
        <v>164</v>
      </c>
      <c r="E1092" s="8" t="s">
        <v>40</v>
      </c>
    </row>
    <row r="1093" spans="1:5">
      <c r="A1093" s="8">
        <v>3038</v>
      </c>
      <c r="B1093" s="8" t="s">
        <v>1939</v>
      </c>
      <c r="C1093" s="8" t="s">
        <v>1940</v>
      </c>
      <c r="D1093" s="8" t="s">
        <v>1221</v>
      </c>
      <c r="E1093" s="8" t="s">
        <v>40</v>
      </c>
    </row>
    <row r="1094" spans="1:5">
      <c r="A1094" s="8">
        <v>3039</v>
      </c>
      <c r="B1094" s="8" t="s">
        <v>1941</v>
      </c>
      <c r="C1094" s="8" t="s">
        <v>1942</v>
      </c>
      <c r="D1094" s="8" t="s">
        <v>1226</v>
      </c>
      <c r="E1094" s="8" t="s">
        <v>40</v>
      </c>
    </row>
    <row r="1095" spans="1:5">
      <c r="A1095" s="8">
        <v>3042</v>
      </c>
      <c r="B1095" s="8" t="s">
        <v>1943</v>
      </c>
      <c r="C1095" s="8" t="s">
        <v>1718</v>
      </c>
      <c r="D1095" s="8" t="s">
        <v>1221</v>
      </c>
      <c r="E1095" s="8" t="s">
        <v>40</v>
      </c>
    </row>
    <row r="1096" spans="1:5">
      <c r="A1096" s="8">
        <v>3043</v>
      </c>
      <c r="B1096" s="8" t="s">
        <v>830</v>
      </c>
      <c r="C1096" s="8" t="s">
        <v>1944</v>
      </c>
      <c r="D1096" s="8" t="s">
        <v>164</v>
      </c>
      <c r="E1096" s="8" t="s">
        <v>40</v>
      </c>
    </row>
    <row r="1097" spans="1:5">
      <c r="A1097" s="8">
        <v>3044</v>
      </c>
      <c r="B1097" s="8" t="s">
        <v>1945</v>
      </c>
      <c r="C1097" s="8" t="s">
        <v>1946</v>
      </c>
      <c r="D1097" s="8" t="s">
        <v>54</v>
      </c>
      <c r="E1097" s="8" t="s">
        <v>40</v>
      </c>
    </row>
    <row r="1098" spans="1:5">
      <c r="A1098" s="8">
        <v>3045</v>
      </c>
      <c r="B1098" s="8" t="s">
        <v>1947</v>
      </c>
      <c r="C1098" s="8" t="s">
        <v>1948</v>
      </c>
      <c r="D1098" s="8" t="s">
        <v>43</v>
      </c>
      <c r="E1098" s="8" t="s">
        <v>40</v>
      </c>
    </row>
    <row r="1099" spans="1:5">
      <c r="A1099" s="8">
        <v>3049</v>
      </c>
      <c r="B1099" s="8" t="s">
        <v>1949</v>
      </c>
      <c r="C1099" s="8" t="s">
        <v>1950</v>
      </c>
      <c r="D1099" s="8" t="s">
        <v>264</v>
      </c>
      <c r="E1099" s="8" t="s">
        <v>40</v>
      </c>
    </row>
    <row r="1100" spans="1:5">
      <c r="A1100" s="8">
        <v>3054</v>
      </c>
      <c r="B1100" s="8" t="s">
        <v>1951</v>
      </c>
      <c r="C1100" s="8" t="s">
        <v>1952</v>
      </c>
      <c r="D1100" s="8" t="s">
        <v>1221</v>
      </c>
      <c r="E1100" s="8" t="s">
        <v>40</v>
      </c>
    </row>
    <row r="1101" spans="1:5">
      <c r="A1101" s="8">
        <v>3055</v>
      </c>
      <c r="B1101" s="8" t="s">
        <v>1953</v>
      </c>
      <c r="C1101" s="8" t="s">
        <v>420</v>
      </c>
      <c r="D1101" s="8" t="s">
        <v>1221</v>
      </c>
      <c r="E1101" s="8" t="s">
        <v>40</v>
      </c>
    </row>
    <row r="1102" spans="1:5">
      <c r="A1102" s="8">
        <v>3058</v>
      </c>
      <c r="B1102" s="8" t="s">
        <v>1954</v>
      </c>
      <c r="C1102" s="8" t="s">
        <v>1955</v>
      </c>
      <c r="D1102" s="8" t="s">
        <v>1221</v>
      </c>
      <c r="E1102" s="8" t="s">
        <v>40</v>
      </c>
    </row>
    <row r="1103" spans="1:5">
      <c r="A1103" s="8">
        <v>3061</v>
      </c>
      <c r="B1103" s="8" t="s">
        <v>1956</v>
      </c>
      <c r="C1103" s="8" t="s">
        <v>1957</v>
      </c>
      <c r="D1103" s="8" t="s">
        <v>121</v>
      </c>
      <c r="E1103" s="8" t="s">
        <v>40</v>
      </c>
    </row>
    <row r="1104" spans="1:5">
      <c r="A1104" s="8">
        <v>3062</v>
      </c>
      <c r="B1104" s="8" t="s">
        <v>712</v>
      </c>
      <c r="C1104" s="8" t="s">
        <v>1958</v>
      </c>
      <c r="D1104" s="8" t="s">
        <v>97</v>
      </c>
      <c r="E1104" s="8" t="s">
        <v>40</v>
      </c>
    </row>
    <row r="1105" spans="1:5">
      <c r="A1105" s="8">
        <v>3065</v>
      </c>
      <c r="B1105" s="8" t="s">
        <v>1959</v>
      </c>
      <c r="C1105" s="8" t="s">
        <v>1960</v>
      </c>
      <c r="D1105" s="8" t="s">
        <v>1034</v>
      </c>
      <c r="E1105" s="8" t="s">
        <v>1026</v>
      </c>
    </row>
    <row r="1106" spans="1:5">
      <c r="A1106" s="8">
        <v>3067</v>
      </c>
      <c r="B1106" s="8" t="s">
        <v>1961</v>
      </c>
      <c r="C1106" s="8" t="s">
        <v>1962</v>
      </c>
      <c r="D1106" s="8" t="s">
        <v>121</v>
      </c>
      <c r="E1106" s="8" t="s">
        <v>40</v>
      </c>
    </row>
    <row r="1107" spans="1:5">
      <c r="A1107" s="8">
        <v>3070</v>
      </c>
      <c r="B1107" s="8" t="s">
        <v>1963</v>
      </c>
      <c r="C1107" s="8" t="s">
        <v>458</v>
      </c>
      <c r="D1107" s="8" t="s">
        <v>264</v>
      </c>
      <c r="E1107" s="8" t="s">
        <v>40</v>
      </c>
    </row>
    <row r="1108" spans="1:5">
      <c r="A1108" s="8">
        <v>3072</v>
      </c>
      <c r="B1108" s="8" t="s">
        <v>1964</v>
      </c>
      <c r="C1108" s="8" t="s">
        <v>1965</v>
      </c>
      <c r="D1108" s="8" t="s">
        <v>159</v>
      </c>
      <c r="E1108" s="8" t="s">
        <v>40</v>
      </c>
    </row>
    <row r="1109" spans="1:5">
      <c r="A1109" s="8">
        <v>3075</v>
      </c>
      <c r="B1109" s="8" t="s">
        <v>1966</v>
      </c>
      <c r="C1109" s="8" t="s">
        <v>1967</v>
      </c>
      <c r="D1109" s="8" t="s">
        <v>1034</v>
      </c>
      <c r="E1109" s="8" t="s">
        <v>1026</v>
      </c>
    </row>
    <row r="1110" spans="1:5">
      <c r="A1110" s="8">
        <v>3081</v>
      </c>
      <c r="B1110" s="8" t="s">
        <v>1968</v>
      </c>
      <c r="C1110" s="8" t="s">
        <v>1547</v>
      </c>
      <c r="D1110" s="8" t="s">
        <v>1221</v>
      </c>
      <c r="E1110" s="8" t="s">
        <v>40</v>
      </c>
    </row>
    <row r="1111" spans="1:5">
      <c r="A1111" s="8">
        <v>3082</v>
      </c>
      <c r="B1111" s="8" t="s">
        <v>1969</v>
      </c>
      <c r="C1111" s="8" t="s">
        <v>1970</v>
      </c>
      <c r="D1111" s="8" t="s">
        <v>1221</v>
      </c>
      <c r="E1111" s="8" t="s">
        <v>40</v>
      </c>
    </row>
    <row r="1112" spans="1:5">
      <c r="A1112" s="8">
        <v>3083</v>
      </c>
      <c r="B1112" s="8" t="s">
        <v>1971</v>
      </c>
      <c r="C1112" s="8" t="s">
        <v>1972</v>
      </c>
      <c r="D1112" s="8" t="s">
        <v>1025</v>
      </c>
      <c r="E1112" s="8" t="s">
        <v>1026</v>
      </c>
    </row>
    <row r="1113" spans="1:5">
      <c r="A1113" s="8">
        <v>3090</v>
      </c>
      <c r="B1113" s="8" t="s">
        <v>1973</v>
      </c>
      <c r="C1113" s="8" t="s">
        <v>1974</v>
      </c>
      <c r="D1113" s="8" t="s">
        <v>1221</v>
      </c>
      <c r="E1113" s="8" t="s">
        <v>40</v>
      </c>
    </row>
    <row r="1114" spans="1:5">
      <c r="A1114" s="8">
        <v>3091</v>
      </c>
      <c r="B1114" s="8" t="s">
        <v>1975</v>
      </c>
      <c r="C1114" s="8" t="s">
        <v>934</v>
      </c>
      <c r="D1114" s="8" t="s">
        <v>630</v>
      </c>
      <c r="E1114" s="8" t="s">
        <v>40</v>
      </c>
    </row>
    <row r="1115" spans="1:5">
      <c r="A1115" s="8">
        <v>3096</v>
      </c>
      <c r="B1115" s="8" t="s">
        <v>1976</v>
      </c>
      <c r="C1115" s="8" t="s">
        <v>1114</v>
      </c>
      <c r="D1115" s="8" t="s">
        <v>39</v>
      </c>
      <c r="E1115" s="8" t="s">
        <v>40</v>
      </c>
    </row>
    <row r="1116" spans="1:5">
      <c r="A1116" s="8">
        <v>3098</v>
      </c>
      <c r="B1116" s="8" t="s">
        <v>1977</v>
      </c>
      <c r="C1116" s="8" t="s">
        <v>1677</v>
      </c>
      <c r="D1116" s="8" t="s">
        <v>39</v>
      </c>
      <c r="E1116" s="8" t="s">
        <v>40</v>
      </c>
    </row>
    <row r="1117" spans="1:5">
      <c r="A1117" s="8">
        <v>3100</v>
      </c>
      <c r="B1117" s="8" t="s">
        <v>1978</v>
      </c>
      <c r="C1117" s="8" t="s">
        <v>1401</v>
      </c>
      <c r="D1117" s="8" t="s">
        <v>1221</v>
      </c>
      <c r="E1117" s="8" t="s">
        <v>40</v>
      </c>
    </row>
    <row r="1118" spans="1:5">
      <c r="A1118" s="8">
        <v>3102</v>
      </c>
      <c r="B1118" s="8" t="s">
        <v>1979</v>
      </c>
      <c r="C1118" s="8" t="s">
        <v>1980</v>
      </c>
      <c r="D1118" s="8" t="s">
        <v>1221</v>
      </c>
      <c r="E1118" s="8" t="s">
        <v>40</v>
      </c>
    </row>
    <row r="1119" spans="1:5">
      <c r="A1119" s="8">
        <v>3103</v>
      </c>
      <c r="B1119" s="8" t="s">
        <v>1981</v>
      </c>
      <c r="C1119" s="8" t="s">
        <v>431</v>
      </c>
      <c r="D1119" s="8" t="s">
        <v>164</v>
      </c>
      <c r="E1119" s="8" t="s">
        <v>40</v>
      </c>
    </row>
    <row r="1120" spans="1:5">
      <c r="A1120" s="8">
        <v>3104</v>
      </c>
      <c r="B1120" s="8" t="s">
        <v>1982</v>
      </c>
      <c r="C1120" s="8" t="s">
        <v>1983</v>
      </c>
      <c r="D1120" s="8" t="s">
        <v>201</v>
      </c>
      <c r="E1120" s="8" t="s">
        <v>40</v>
      </c>
    </row>
    <row r="1121" spans="1:5">
      <c r="A1121" s="8">
        <v>3110</v>
      </c>
      <c r="B1121" s="8" t="s">
        <v>1984</v>
      </c>
      <c r="C1121" s="8" t="s">
        <v>143</v>
      </c>
      <c r="D1121" s="8" t="s">
        <v>121</v>
      </c>
      <c r="E1121" s="8" t="s">
        <v>40</v>
      </c>
    </row>
    <row r="1122" spans="1:5">
      <c r="A1122" s="8">
        <v>3117</v>
      </c>
      <c r="B1122" s="8" t="s">
        <v>1985</v>
      </c>
      <c r="C1122" s="8" t="s">
        <v>1687</v>
      </c>
      <c r="D1122" s="8" t="s">
        <v>335</v>
      </c>
      <c r="E1122" s="8" t="s">
        <v>239</v>
      </c>
    </row>
    <row r="1123" spans="1:5">
      <c r="A1123" s="8">
        <v>3120</v>
      </c>
      <c r="B1123" s="8" t="s">
        <v>1986</v>
      </c>
      <c r="C1123" s="8" t="s">
        <v>1087</v>
      </c>
      <c r="D1123" s="8" t="s">
        <v>43</v>
      </c>
      <c r="E1123" s="8" t="s">
        <v>40</v>
      </c>
    </row>
    <row r="1124" spans="1:5">
      <c r="A1124" s="8">
        <v>3122</v>
      </c>
      <c r="B1124" s="8" t="s">
        <v>1987</v>
      </c>
      <c r="C1124" s="8" t="s">
        <v>1988</v>
      </c>
      <c r="D1124" s="8" t="s">
        <v>1221</v>
      </c>
      <c r="E1124" s="8" t="s">
        <v>40</v>
      </c>
    </row>
    <row r="1125" spans="1:5">
      <c r="A1125" s="8">
        <v>3128</v>
      </c>
      <c r="B1125" s="8" t="s">
        <v>1989</v>
      </c>
      <c r="C1125" s="8" t="s">
        <v>858</v>
      </c>
      <c r="D1125" s="8" t="s">
        <v>43</v>
      </c>
      <c r="E1125" s="8" t="s">
        <v>40</v>
      </c>
    </row>
    <row r="1126" spans="1:5">
      <c r="A1126" s="8">
        <v>3130</v>
      </c>
      <c r="B1126" s="8" t="s">
        <v>1990</v>
      </c>
      <c r="C1126" s="8" t="s">
        <v>1783</v>
      </c>
      <c r="D1126" s="8" t="s">
        <v>1221</v>
      </c>
      <c r="E1126" s="8" t="s">
        <v>40</v>
      </c>
    </row>
    <row r="1127" spans="1:5">
      <c r="A1127" s="8">
        <v>3131</v>
      </c>
      <c r="B1127" s="8" t="s">
        <v>1991</v>
      </c>
      <c r="C1127" s="8" t="s">
        <v>1541</v>
      </c>
      <c r="D1127" s="8" t="s">
        <v>603</v>
      </c>
      <c r="E1127" s="8" t="s">
        <v>40</v>
      </c>
    </row>
    <row r="1128" spans="1:5">
      <c r="A1128" s="8">
        <v>3132</v>
      </c>
      <c r="B1128" s="8" t="s">
        <v>1992</v>
      </c>
      <c r="C1128" s="8" t="s">
        <v>1993</v>
      </c>
      <c r="D1128" s="8" t="s">
        <v>1994</v>
      </c>
      <c r="E1128" s="8" t="s">
        <v>1995</v>
      </c>
    </row>
    <row r="1129" spans="1:5">
      <c r="A1129" s="8">
        <v>3133</v>
      </c>
      <c r="B1129" s="8" t="s">
        <v>1996</v>
      </c>
      <c r="C1129" s="8" t="s">
        <v>1920</v>
      </c>
      <c r="D1129" s="8" t="s">
        <v>92</v>
      </c>
      <c r="E1129" s="8" t="s">
        <v>40</v>
      </c>
    </row>
    <row r="1130" spans="1:5">
      <c r="A1130" s="8">
        <v>3134</v>
      </c>
      <c r="B1130" s="8" t="s">
        <v>1997</v>
      </c>
      <c r="C1130" s="8" t="s">
        <v>1998</v>
      </c>
      <c r="D1130" s="8" t="s">
        <v>1221</v>
      </c>
      <c r="E1130" s="8" t="s">
        <v>40</v>
      </c>
    </row>
    <row r="1131" spans="1:5">
      <c r="A1131" s="8">
        <v>3136</v>
      </c>
      <c r="B1131" s="8" t="s">
        <v>1999</v>
      </c>
      <c r="C1131" s="8" t="s">
        <v>1925</v>
      </c>
      <c r="D1131" s="8" t="s">
        <v>159</v>
      </c>
      <c r="E1131" s="8" t="s">
        <v>40</v>
      </c>
    </row>
    <row r="1132" spans="1:5">
      <c r="A1132" s="8">
        <v>3137</v>
      </c>
      <c r="B1132" s="8" t="s">
        <v>2000</v>
      </c>
      <c r="C1132" s="8" t="s">
        <v>2001</v>
      </c>
      <c r="D1132" s="8" t="s">
        <v>54</v>
      </c>
      <c r="E1132" s="8" t="s">
        <v>40</v>
      </c>
    </row>
    <row r="1133" spans="1:5">
      <c r="A1133" s="8">
        <v>3138</v>
      </c>
      <c r="B1133" s="8" t="s">
        <v>2002</v>
      </c>
      <c r="C1133" s="8" t="s">
        <v>2003</v>
      </c>
      <c r="D1133" s="8" t="s">
        <v>81</v>
      </c>
      <c r="E1133" s="8" t="s">
        <v>40</v>
      </c>
    </row>
    <row r="1134" spans="1:5">
      <c r="A1134" s="8">
        <v>3139</v>
      </c>
      <c r="B1134" s="8" t="s">
        <v>2004</v>
      </c>
      <c r="C1134" s="8" t="s">
        <v>1370</v>
      </c>
      <c r="D1134" s="8" t="s">
        <v>74</v>
      </c>
      <c r="E1134" s="8" t="s">
        <v>40</v>
      </c>
    </row>
    <row r="1135" spans="1:5">
      <c r="A1135" s="8">
        <v>3140</v>
      </c>
      <c r="B1135" s="8" t="s">
        <v>2005</v>
      </c>
      <c r="C1135" s="8" t="s">
        <v>954</v>
      </c>
      <c r="D1135" s="8" t="s">
        <v>490</v>
      </c>
      <c r="E1135" s="8" t="s">
        <v>40</v>
      </c>
    </row>
    <row r="1136" spans="1:5">
      <c r="A1136" s="8">
        <v>3142</v>
      </c>
      <c r="B1136" s="8" t="s">
        <v>2006</v>
      </c>
      <c r="C1136" s="8" t="s">
        <v>695</v>
      </c>
      <c r="D1136" s="8" t="s">
        <v>48</v>
      </c>
      <c r="E1136" s="8" t="s">
        <v>40</v>
      </c>
    </row>
    <row r="1137" spans="1:5">
      <c r="A1137" s="8">
        <v>3145</v>
      </c>
      <c r="B1137" s="8" t="s">
        <v>2007</v>
      </c>
      <c r="C1137" s="8" t="s">
        <v>2008</v>
      </c>
      <c r="D1137" s="8" t="s">
        <v>1018</v>
      </c>
      <c r="E1137" s="8" t="s">
        <v>40</v>
      </c>
    </row>
    <row r="1138" spans="1:5">
      <c r="A1138" s="8">
        <v>3146</v>
      </c>
      <c r="B1138" s="8" t="s">
        <v>2009</v>
      </c>
      <c r="C1138" s="8" t="s">
        <v>2010</v>
      </c>
      <c r="D1138" s="8" t="s">
        <v>201</v>
      </c>
      <c r="E1138" s="8" t="s">
        <v>40</v>
      </c>
    </row>
    <row r="1139" spans="1:5">
      <c r="A1139" s="8">
        <v>3147</v>
      </c>
      <c r="B1139" s="8" t="s">
        <v>2011</v>
      </c>
      <c r="C1139" s="8" t="s">
        <v>2012</v>
      </c>
      <c r="D1139" s="8" t="s">
        <v>79</v>
      </c>
      <c r="E1139" s="8" t="s">
        <v>40</v>
      </c>
    </row>
    <row r="1140" spans="1:5">
      <c r="A1140" s="8">
        <v>3151</v>
      </c>
      <c r="B1140" s="8" t="s">
        <v>2013</v>
      </c>
      <c r="C1140" s="8" t="s">
        <v>2014</v>
      </c>
      <c r="D1140" s="8" t="s">
        <v>48</v>
      </c>
      <c r="E1140" s="8" t="s">
        <v>40</v>
      </c>
    </row>
    <row r="1141" spans="1:5">
      <c r="A1141" s="8">
        <v>3152</v>
      </c>
      <c r="B1141" s="8" t="s">
        <v>2015</v>
      </c>
      <c r="C1141" s="8" t="s">
        <v>2016</v>
      </c>
      <c r="D1141" s="8" t="s">
        <v>69</v>
      </c>
      <c r="E1141" s="8" t="s">
        <v>40</v>
      </c>
    </row>
    <row r="1142" spans="1:5">
      <c r="A1142" s="8">
        <v>3157</v>
      </c>
      <c r="B1142" s="8" t="s">
        <v>2017</v>
      </c>
      <c r="C1142" s="8" t="s">
        <v>243</v>
      </c>
      <c r="D1142" s="8" t="s">
        <v>54</v>
      </c>
      <c r="E1142" s="8" t="s">
        <v>40</v>
      </c>
    </row>
    <row r="1143" spans="1:5">
      <c r="A1143" s="8">
        <v>3158</v>
      </c>
      <c r="B1143" s="8" t="s">
        <v>2018</v>
      </c>
      <c r="C1143" s="8" t="s">
        <v>2019</v>
      </c>
      <c r="D1143" s="8" t="s">
        <v>1461</v>
      </c>
      <c r="E1143" s="8" t="s">
        <v>1461</v>
      </c>
    </row>
    <row r="1144" spans="1:5">
      <c r="A1144" s="8">
        <v>3160</v>
      </c>
      <c r="B1144" s="8" t="s">
        <v>2020</v>
      </c>
      <c r="C1144" s="8" t="s">
        <v>2021</v>
      </c>
      <c r="D1144" s="8" t="s">
        <v>69</v>
      </c>
      <c r="E1144" s="8" t="s">
        <v>40</v>
      </c>
    </row>
    <row r="1145" spans="1:5">
      <c r="A1145" s="8">
        <v>3161</v>
      </c>
      <c r="B1145" s="8" t="s">
        <v>2022</v>
      </c>
      <c r="C1145" s="8" t="s">
        <v>607</v>
      </c>
      <c r="D1145" s="8" t="s">
        <v>238</v>
      </c>
      <c r="E1145" s="8" t="s">
        <v>239</v>
      </c>
    </row>
    <row r="1146" spans="1:5">
      <c r="A1146" s="8">
        <v>3163</v>
      </c>
      <c r="B1146" s="8" t="s">
        <v>2023</v>
      </c>
      <c r="C1146" s="8" t="s">
        <v>2024</v>
      </c>
      <c r="D1146" s="8" t="s">
        <v>69</v>
      </c>
      <c r="E1146" s="8" t="s">
        <v>40</v>
      </c>
    </row>
    <row r="1147" spans="1:5">
      <c r="A1147" s="8">
        <v>3164</v>
      </c>
      <c r="B1147" s="8" t="s">
        <v>2025</v>
      </c>
      <c r="C1147" s="8" t="s">
        <v>913</v>
      </c>
      <c r="D1147" s="8" t="s">
        <v>57</v>
      </c>
      <c r="E1147" s="8" t="s">
        <v>40</v>
      </c>
    </row>
    <row r="1148" spans="1:5">
      <c r="A1148" s="8">
        <v>3166</v>
      </c>
      <c r="B1148" s="8" t="s">
        <v>2026</v>
      </c>
      <c r="C1148" s="8" t="s">
        <v>2027</v>
      </c>
      <c r="D1148" s="8" t="s">
        <v>1563</v>
      </c>
      <c r="E1148" s="8" t="s">
        <v>40</v>
      </c>
    </row>
    <row r="1149" spans="1:5">
      <c r="A1149" s="8">
        <v>3171</v>
      </c>
      <c r="B1149" s="8" t="s">
        <v>2028</v>
      </c>
      <c r="C1149" s="8" t="s">
        <v>2029</v>
      </c>
      <c r="D1149" s="8" t="s">
        <v>54</v>
      </c>
      <c r="E1149" s="8" t="s">
        <v>40</v>
      </c>
    </row>
    <row r="1150" spans="1:5">
      <c r="A1150" s="8">
        <v>3172</v>
      </c>
      <c r="B1150" s="8" t="s">
        <v>2030</v>
      </c>
      <c r="C1150" s="8" t="s">
        <v>2031</v>
      </c>
      <c r="D1150" s="8" t="s">
        <v>696</v>
      </c>
      <c r="E1150" s="8" t="s">
        <v>40</v>
      </c>
    </row>
    <row r="1151" spans="1:5">
      <c r="A1151" s="8">
        <v>3173</v>
      </c>
      <c r="B1151" s="8" t="s">
        <v>2032</v>
      </c>
      <c r="C1151" s="8" t="s">
        <v>243</v>
      </c>
      <c r="D1151" s="8" t="s">
        <v>54</v>
      </c>
      <c r="E1151" s="8" t="s">
        <v>40</v>
      </c>
    </row>
    <row r="1152" spans="1:5">
      <c r="A1152" s="8">
        <v>3175</v>
      </c>
      <c r="B1152" s="8" t="s">
        <v>2033</v>
      </c>
      <c r="C1152" s="8" t="s">
        <v>2034</v>
      </c>
      <c r="D1152" s="8" t="s">
        <v>39</v>
      </c>
      <c r="E1152" s="8" t="s">
        <v>40</v>
      </c>
    </row>
    <row r="1153" spans="1:5">
      <c r="A1153" s="8">
        <v>3176</v>
      </c>
      <c r="B1153" s="8" t="s">
        <v>2035</v>
      </c>
      <c r="C1153" s="8" t="s">
        <v>2036</v>
      </c>
      <c r="D1153" s="8" t="s">
        <v>79</v>
      </c>
      <c r="E1153" s="8" t="s">
        <v>40</v>
      </c>
    </row>
    <row r="1154" spans="1:5">
      <c r="A1154" s="8">
        <v>3179</v>
      </c>
      <c r="B1154" s="8" t="s">
        <v>2037</v>
      </c>
      <c r="C1154" s="8" t="s">
        <v>2038</v>
      </c>
      <c r="D1154" s="8" t="s">
        <v>69</v>
      </c>
      <c r="E1154" s="8" t="s">
        <v>40</v>
      </c>
    </row>
    <row r="1155" spans="1:5">
      <c r="A1155" s="8">
        <v>3180</v>
      </c>
      <c r="B1155" s="8" t="s">
        <v>2039</v>
      </c>
      <c r="C1155" s="8" t="s">
        <v>2040</v>
      </c>
      <c r="D1155" s="8" t="s">
        <v>79</v>
      </c>
      <c r="E1155" s="8" t="s">
        <v>40</v>
      </c>
    </row>
    <row r="1156" spans="1:5">
      <c r="A1156" s="8">
        <v>3181</v>
      </c>
      <c r="B1156" s="8" t="s">
        <v>2041</v>
      </c>
      <c r="C1156" s="8" t="s">
        <v>2042</v>
      </c>
      <c r="D1156" s="8" t="s">
        <v>54</v>
      </c>
      <c r="E1156" s="8" t="s">
        <v>40</v>
      </c>
    </row>
    <row r="1157" spans="1:5">
      <c r="A1157" s="8">
        <v>3182</v>
      </c>
      <c r="B1157" s="8" t="s">
        <v>2043</v>
      </c>
      <c r="C1157" s="8" t="s">
        <v>2044</v>
      </c>
      <c r="D1157" s="8" t="s">
        <v>201</v>
      </c>
      <c r="E1157" s="8" t="s">
        <v>40</v>
      </c>
    </row>
    <row r="1158" spans="1:5">
      <c r="A1158" s="8">
        <v>3184</v>
      </c>
      <c r="B1158" s="8" t="s">
        <v>2045</v>
      </c>
      <c r="C1158" s="8" t="s">
        <v>2046</v>
      </c>
      <c r="D1158" s="8" t="s">
        <v>1221</v>
      </c>
      <c r="E1158" s="8" t="s">
        <v>40</v>
      </c>
    </row>
    <row r="1159" spans="1:5">
      <c r="A1159" s="8">
        <v>3187</v>
      </c>
      <c r="B1159" s="8" t="s">
        <v>2047</v>
      </c>
      <c r="C1159" s="8" t="s">
        <v>641</v>
      </c>
      <c r="D1159" s="8" t="s">
        <v>92</v>
      </c>
      <c r="E1159" s="8" t="s">
        <v>40</v>
      </c>
    </row>
    <row r="1160" spans="1:5">
      <c r="A1160" s="8">
        <v>3189</v>
      </c>
      <c r="B1160" s="8" t="s">
        <v>575</v>
      </c>
      <c r="C1160" s="8" t="s">
        <v>2048</v>
      </c>
      <c r="D1160" s="8" t="s">
        <v>43</v>
      </c>
      <c r="E1160" s="8" t="s">
        <v>40</v>
      </c>
    </row>
    <row r="1161" spans="1:5">
      <c r="A1161" s="8">
        <v>3193</v>
      </c>
      <c r="B1161" s="8" t="s">
        <v>2049</v>
      </c>
      <c r="C1161" s="8" t="s">
        <v>2050</v>
      </c>
      <c r="D1161" s="8" t="s">
        <v>81</v>
      </c>
      <c r="E1161" s="8" t="s">
        <v>40</v>
      </c>
    </row>
    <row r="1162" spans="1:5">
      <c r="A1162" s="8">
        <v>3196</v>
      </c>
      <c r="B1162" s="8" t="s">
        <v>2051</v>
      </c>
      <c r="C1162" s="8" t="s">
        <v>2052</v>
      </c>
      <c r="D1162" s="8" t="s">
        <v>429</v>
      </c>
      <c r="E1162" s="8" t="s">
        <v>40</v>
      </c>
    </row>
    <row r="1163" spans="1:5">
      <c r="A1163" s="8">
        <v>3197</v>
      </c>
      <c r="B1163" s="8" t="s">
        <v>2053</v>
      </c>
      <c r="C1163" s="8" t="s">
        <v>2054</v>
      </c>
      <c r="D1163" s="8" t="s">
        <v>132</v>
      </c>
      <c r="E1163" s="8" t="s">
        <v>40</v>
      </c>
    </row>
    <row r="1164" spans="1:5">
      <c r="A1164" s="8">
        <v>3200</v>
      </c>
      <c r="B1164" s="8" t="s">
        <v>2055</v>
      </c>
      <c r="C1164" s="8" t="s">
        <v>1303</v>
      </c>
      <c r="D1164" s="8" t="s">
        <v>208</v>
      </c>
      <c r="E1164" s="8" t="s">
        <v>40</v>
      </c>
    </row>
    <row r="1165" spans="1:5">
      <c r="A1165" s="8">
        <v>3201</v>
      </c>
      <c r="B1165" s="8" t="s">
        <v>2056</v>
      </c>
      <c r="C1165" s="8" t="s">
        <v>1403</v>
      </c>
      <c r="D1165" s="8" t="s">
        <v>81</v>
      </c>
      <c r="E1165" s="8" t="s">
        <v>40</v>
      </c>
    </row>
    <row r="1166" spans="1:5">
      <c r="A1166" s="8">
        <v>3202</v>
      </c>
      <c r="B1166" s="8" t="s">
        <v>2057</v>
      </c>
      <c r="C1166" s="8" t="s">
        <v>1537</v>
      </c>
      <c r="D1166" s="8" t="s">
        <v>1221</v>
      </c>
      <c r="E1166" s="8" t="s">
        <v>40</v>
      </c>
    </row>
    <row r="1167" spans="1:5">
      <c r="A1167" s="8">
        <v>3204</v>
      </c>
      <c r="B1167" s="8" t="s">
        <v>2058</v>
      </c>
      <c r="C1167" s="8" t="s">
        <v>2059</v>
      </c>
      <c r="D1167" s="8" t="s">
        <v>54</v>
      </c>
      <c r="E1167" s="8" t="s">
        <v>40</v>
      </c>
    </row>
    <row r="1168" spans="1:5">
      <c r="A1168" s="8">
        <v>3205</v>
      </c>
      <c r="B1168" s="8" t="s">
        <v>1916</v>
      </c>
      <c r="C1168" s="8" t="s">
        <v>981</v>
      </c>
      <c r="D1168" s="8" t="s">
        <v>60</v>
      </c>
      <c r="E1168" s="8" t="s">
        <v>40</v>
      </c>
    </row>
    <row r="1169" spans="1:5">
      <c r="A1169" s="8">
        <v>3206</v>
      </c>
      <c r="B1169" s="8" t="s">
        <v>2060</v>
      </c>
      <c r="C1169" s="8" t="s">
        <v>2061</v>
      </c>
      <c r="D1169" s="8" t="s">
        <v>1221</v>
      </c>
      <c r="E1169" s="8" t="s">
        <v>40</v>
      </c>
    </row>
    <row r="1170" spans="1:5">
      <c r="A1170" s="8">
        <v>3211</v>
      </c>
      <c r="B1170" s="8" t="s">
        <v>2062</v>
      </c>
      <c r="C1170" s="8" t="s">
        <v>2063</v>
      </c>
      <c r="D1170" s="8" t="s">
        <v>1037</v>
      </c>
      <c r="E1170" s="8" t="s">
        <v>1026</v>
      </c>
    </row>
    <row r="1171" spans="1:5">
      <c r="A1171" s="8">
        <v>3212</v>
      </c>
      <c r="B1171" s="8" t="s">
        <v>2064</v>
      </c>
      <c r="C1171" s="8" t="s">
        <v>2065</v>
      </c>
      <c r="D1171" s="8" t="s">
        <v>1221</v>
      </c>
      <c r="E1171" s="8" t="s">
        <v>40</v>
      </c>
    </row>
    <row r="1172" spans="1:5">
      <c r="A1172" s="8">
        <v>3215</v>
      </c>
      <c r="B1172" s="8" t="s">
        <v>2066</v>
      </c>
      <c r="C1172" s="8" t="s">
        <v>995</v>
      </c>
      <c r="D1172" s="8" t="s">
        <v>429</v>
      </c>
      <c r="E1172" s="8" t="s">
        <v>40</v>
      </c>
    </row>
    <row r="1173" spans="1:5">
      <c r="A1173" s="8">
        <v>3216</v>
      </c>
      <c r="B1173" s="8" t="s">
        <v>2067</v>
      </c>
      <c r="C1173" s="8" t="s">
        <v>2068</v>
      </c>
      <c r="D1173" s="8" t="s">
        <v>2069</v>
      </c>
      <c r="E1173" s="8" t="s">
        <v>40</v>
      </c>
    </row>
    <row r="1174" spans="1:5">
      <c r="A1174" s="8">
        <v>3218</v>
      </c>
      <c r="B1174" s="8" t="s">
        <v>779</v>
      </c>
      <c r="C1174" s="8" t="s">
        <v>2070</v>
      </c>
      <c r="D1174" s="8" t="s">
        <v>264</v>
      </c>
      <c r="E1174" s="8" t="s">
        <v>40</v>
      </c>
    </row>
    <row r="1175" spans="1:5">
      <c r="A1175" s="8">
        <v>3219</v>
      </c>
      <c r="B1175" s="8" t="s">
        <v>2071</v>
      </c>
      <c r="C1175" s="8" t="s">
        <v>1839</v>
      </c>
      <c r="D1175" s="8" t="s">
        <v>264</v>
      </c>
      <c r="E1175" s="8" t="s">
        <v>40</v>
      </c>
    </row>
    <row r="1176" spans="1:5">
      <c r="A1176" s="8">
        <v>3220</v>
      </c>
      <c r="B1176" s="8" t="s">
        <v>2072</v>
      </c>
      <c r="C1176" s="8" t="s">
        <v>2073</v>
      </c>
      <c r="D1176" s="8" t="s">
        <v>264</v>
      </c>
      <c r="E1176" s="8" t="s">
        <v>40</v>
      </c>
    </row>
    <row r="1177" spans="1:5">
      <c r="A1177" s="8">
        <v>3223</v>
      </c>
      <c r="B1177" s="8" t="s">
        <v>2074</v>
      </c>
      <c r="C1177" s="8" t="s">
        <v>2075</v>
      </c>
      <c r="D1177" s="8" t="s">
        <v>264</v>
      </c>
      <c r="E1177" s="8" t="s">
        <v>40</v>
      </c>
    </row>
    <row r="1178" spans="1:5">
      <c r="A1178" s="8">
        <v>3225</v>
      </c>
      <c r="B1178" s="8" t="s">
        <v>703</v>
      </c>
      <c r="C1178" s="8" t="s">
        <v>2076</v>
      </c>
      <c r="D1178" s="8" t="s">
        <v>1563</v>
      </c>
      <c r="E1178" s="8" t="s">
        <v>40</v>
      </c>
    </row>
    <row r="1179" spans="1:5">
      <c r="A1179" s="8">
        <v>3229</v>
      </c>
      <c r="B1179" s="8" t="s">
        <v>2077</v>
      </c>
      <c r="C1179" s="8" t="s">
        <v>2078</v>
      </c>
      <c r="D1179" s="8" t="s">
        <v>429</v>
      </c>
      <c r="E1179" s="8" t="s">
        <v>40</v>
      </c>
    </row>
    <row r="1180" spans="1:5">
      <c r="A1180" s="8">
        <v>3230</v>
      </c>
      <c r="B1180" s="8" t="s">
        <v>2079</v>
      </c>
      <c r="C1180" s="8" t="s">
        <v>1902</v>
      </c>
      <c r="D1180" s="8" t="s">
        <v>1563</v>
      </c>
      <c r="E1180" s="8" t="s">
        <v>40</v>
      </c>
    </row>
    <row r="1181" spans="1:5">
      <c r="A1181" s="8">
        <v>3234</v>
      </c>
      <c r="B1181" s="8" t="s">
        <v>2080</v>
      </c>
      <c r="C1181" s="8" t="s">
        <v>2081</v>
      </c>
      <c r="D1181" s="8" t="s">
        <v>39</v>
      </c>
      <c r="E1181" s="8" t="s">
        <v>40</v>
      </c>
    </row>
    <row r="1182" spans="1:5">
      <c r="A1182" s="8">
        <v>3236</v>
      </c>
      <c r="B1182" s="8" t="s">
        <v>2082</v>
      </c>
      <c r="C1182" s="8" t="s">
        <v>1058</v>
      </c>
      <c r="D1182" s="8" t="s">
        <v>60</v>
      </c>
      <c r="E1182" s="8" t="s">
        <v>40</v>
      </c>
    </row>
    <row r="1183" spans="1:5">
      <c r="A1183" s="8">
        <v>3237</v>
      </c>
      <c r="B1183" s="8" t="s">
        <v>2083</v>
      </c>
      <c r="C1183" s="8" t="s">
        <v>1837</v>
      </c>
      <c r="D1183" s="8" t="s">
        <v>264</v>
      </c>
      <c r="E1183" s="8" t="s">
        <v>40</v>
      </c>
    </row>
    <row r="1184" spans="1:5">
      <c r="A1184" s="8">
        <v>3238</v>
      </c>
      <c r="B1184" s="8" t="s">
        <v>2084</v>
      </c>
      <c r="C1184" s="8" t="s">
        <v>2085</v>
      </c>
      <c r="D1184" s="8" t="s">
        <v>264</v>
      </c>
      <c r="E1184" s="8" t="s">
        <v>40</v>
      </c>
    </row>
    <row r="1185" spans="1:5">
      <c r="A1185" s="8">
        <v>3239</v>
      </c>
      <c r="B1185" s="8" t="s">
        <v>2086</v>
      </c>
      <c r="C1185" s="8" t="s">
        <v>2087</v>
      </c>
      <c r="D1185" s="8" t="s">
        <v>1563</v>
      </c>
      <c r="E1185" s="8" t="s">
        <v>40</v>
      </c>
    </row>
    <row r="1186" spans="1:5">
      <c r="A1186" s="8">
        <v>3240</v>
      </c>
      <c r="B1186" s="8" t="s">
        <v>2088</v>
      </c>
      <c r="C1186" s="8" t="s">
        <v>445</v>
      </c>
      <c r="D1186" s="8" t="s">
        <v>164</v>
      </c>
      <c r="E1186" s="8" t="s">
        <v>40</v>
      </c>
    </row>
    <row r="1187" spans="1:5">
      <c r="A1187" s="8">
        <v>3242</v>
      </c>
      <c r="B1187" s="8" t="s">
        <v>2089</v>
      </c>
      <c r="C1187" s="8" t="s">
        <v>2090</v>
      </c>
      <c r="D1187" s="8" t="s">
        <v>57</v>
      </c>
      <c r="E1187" s="8" t="s">
        <v>40</v>
      </c>
    </row>
    <row r="1188" spans="1:5">
      <c r="A1188" s="8">
        <v>3243</v>
      </c>
      <c r="B1188" s="8" t="s">
        <v>2091</v>
      </c>
      <c r="C1188" s="8" t="s">
        <v>1902</v>
      </c>
      <c r="D1188" s="8" t="s">
        <v>1563</v>
      </c>
      <c r="E1188" s="8" t="s">
        <v>40</v>
      </c>
    </row>
    <row r="1189" spans="1:5">
      <c r="A1189" s="8">
        <v>3244</v>
      </c>
      <c r="B1189" s="8" t="s">
        <v>2092</v>
      </c>
      <c r="C1189" s="8" t="s">
        <v>2093</v>
      </c>
      <c r="D1189" s="8" t="s">
        <v>1221</v>
      </c>
      <c r="E1189" s="8" t="s">
        <v>40</v>
      </c>
    </row>
    <row r="1190" spans="1:5">
      <c r="A1190" s="8">
        <v>3245</v>
      </c>
      <c r="B1190" s="8" t="s">
        <v>2094</v>
      </c>
      <c r="C1190" s="8" t="s">
        <v>2027</v>
      </c>
      <c r="D1190" s="8" t="s">
        <v>1563</v>
      </c>
      <c r="E1190" s="8" t="s">
        <v>40</v>
      </c>
    </row>
    <row r="1191" spans="1:5">
      <c r="A1191" s="8">
        <v>3247</v>
      </c>
      <c r="B1191" s="8" t="s">
        <v>2095</v>
      </c>
      <c r="C1191" s="8" t="s">
        <v>1217</v>
      </c>
      <c r="D1191" s="8" t="s">
        <v>69</v>
      </c>
      <c r="E1191" s="8" t="s">
        <v>40</v>
      </c>
    </row>
    <row r="1192" spans="1:5">
      <c r="A1192" s="8">
        <v>3250</v>
      </c>
      <c r="B1192" s="8" t="s">
        <v>2096</v>
      </c>
      <c r="C1192" s="8" t="s">
        <v>571</v>
      </c>
      <c r="D1192" s="8" t="s">
        <v>43</v>
      </c>
      <c r="E1192" s="8" t="s">
        <v>40</v>
      </c>
    </row>
    <row r="1193" spans="1:5">
      <c r="A1193" s="8">
        <v>3255</v>
      </c>
      <c r="B1193" s="8" t="s">
        <v>2097</v>
      </c>
      <c r="C1193" s="8" t="s">
        <v>1785</v>
      </c>
      <c r="D1193" s="8" t="s">
        <v>43</v>
      </c>
      <c r="E1193" s="8" t="s">
        <v>40</v>
      </c>
    </row>
    <row r="1194" spans="1:5">
      <c r="A1194" s="8">
        <v>3256</v>
      </c>
      <c r="B1194" s="8" t="s">
        <v>2098</v>
      </c>
      <c r="C1194" s="8" t="s">
        <v>304</v>
      </c>
      <c r="D1194" s="8" t="s">
        <v>43</v>
      </c>
      <c r="E1194" s="8" t="s">
        <v>40</v>
      </c>
    </row>
    <row r="1195" spans="1:5">
      <c r="A1195" s="8">
        <v>3257</v>
      </c>
      <c r="B1195" s="8" t="s">
        <v>2099</v>
      </c>
      <c r="C1195" s="8" t="s">
        <v>2100</v>
      </c>
      <c r="D1195" s="8" t="s">
        <v>43</v>
      </c>
      <c r="E1195" s="8" t="s">
        <v>40</v>
      </c>
    </row>
    <row r="1196" spans="1:5">
      <c r="A1196" s="8">
        <v>3258</v>
      </c>
      <c r="B1196" s="8" t="s">
        <v>2101</v>
      </c>
      <c r="C1196" s="8" t="s">
        <v>856</v>
      </c>
      <c r="D1196" s="8" t="s">
        <v>159</v>
      </c>
      <c r="E1196" s="8" t="s">
        <v>40</v>
      </c>
    </row>
    <row r="1197" spans="1:5">
      <c r="A1197" s="8">
        <v>3260</v>
      </c>
      <c r="B1197" s="8" t="s">
        <v>2102</v>
      </c>
      <c r="C1197" s="8" t="s">
        <v>161</v>
      </c>
      <c r="D1197" s="8" t="s">
        <v>97</v>
      </c>
      <c r="E1197" s="8" t="s">
        <v>40</v>
      </c>
    </row>
    <row r="1198" spans="1:5">
      <c r="A1198" s="8">
        <v>3265</v>
      </c>
      <c r="B1198" s="8" t="s">
        <v>2103</v>
      </c>
      <c r="C1198" s="8" t="s">
        <v>2104</v>
      </c>
      <c r="D1198" s="8" t="s">
        <v>630</v>
      </c>
      <c r="E1198" s="8" t="s">
        <v>40</v>
      </c>
    </row>
    <row r="1199" spans="1:5">
      <c r="A1199" s="8">
        <v>3266</v>
      </c>
      <c r="B1199" s="8" t="s">
        <v>2105</v>
      </c>
      <c r="C1199" s="8" t="s">
        <v>2106</v>
      </c>
      <c r="D1199" s="8" t="s">
        <v>81</v>
      </c>
      <c r="E1199" s="8" t="s">
        <v>40</v>
      </c>
    </row>
    <row r="1200" spans="1:5">
      <c r="A1200" s="8">
        <v>3267</v>
      </c>
      <c r="B1200" s="8" t="s">
        <v>2107</v>
      </c>
      <c r="C1200" s="8" t="s">
        <v>2108</v>
      </c>
      <c r="D1200" s="8" t="s">
        <v>1221</v>
      </c>
      <c r="E1200" s="8" t="s">
        <v>40</v>
      </c>
    </row>
    <row r="1201" spans="1:5">
      <c r="A1201" s="8">
        <v>3268</v>
      </c>
      <c r="B1201" s="8" t="s">
        <v>2109</v>
      </c>
      <c r="C1201" s="8" t="s">
        <v>2110</v>
      </c>
      <c r="D1201" s="8" t="s">
        <v>264</v>
      </c>
      <c r="E1201" s="8" t="s">
        <v>40</v>
      </c>
    </row>
    <row r="1202" spans="1:5">
      <c r="A1202" s="8">
        <v>3274</v>
      </c>
      <c r="B1202" s="8" t="s">
        <v>2111</v>
      </c>
      <c r="C1202" s="8" t="s">
        <v>2112</v>
      </c>
      <c r="D1202" s="8" t="s">
        <v>159</v>
      </c>
      <c r="E1202" s="8" t="s">
        <v>40</v>
      </c>
    </row>
    <row r="1203" spans="1:5">
      <c r="A1203" s="8">
        <v>3275</v>
      </c>
      <c r="B1203" s="8" t="s">
        <v>2113</v>
      </c>
      <c r="C1203" s="8" t="s">
        <v>1998</v>
      </c>
      <c r="D1203" s="8" t="s">
        <v>1221</v>
      </c>
      <c r="E1203" s="8" t="s">
        <v>40</v>
      </c>
    </row>
    <row r="1204" spans="1:5">
      <c r="A1204" s="8">
        <v>3276</v>
      </c>
      <c r="B1204" s="8" t="s">
        <v>2114</v>
      </c>
      <c r="C1204" s="8" t="s">
        <v>2115</v>
      </c>
      <c r="D1204" s="8" t="s">
        <v>1221</v>
      </c>
      <c r="E1204" s="8" t="s">
        <v>40</v>
      </c>
    </row>
    <row r="1205" spans="1:5">
      <c r="A1205" s="8">
        <v>3277</v>
      </c>
      <c r="B1205" s="8" t="s">
        <v>2116</v>
      </c>
      <c r="C1205" s="8" t="s">
        <v>2117</v>
      </c>
      <c r="D1205" s="8" t="s">
        <v>1221</v>
      </c>
      <c r="E1205" s="8" t="s">
        <v>40</v>
      </c>
    </row>
    <row r="1206" spans="1:5">
      <c r="A1206" s="8">
        <v>3278</v>
      </c>
      <c r="B1206" s="8" t="s">
        <v>2118</v>
      </c>
      <c r="C1206" s="8" t="s">
        <v>2119</v>
      </c>
      <c r="D1206" s="8" t="s">
        <v>1221</v>
      </c>
      <c r="E1206" s="8" t="s">
        <v>40</v>
      </c>
    </row>
    <row r="1207" spans="1:5">
      <c r="A1207" s="8">
        <v>3282</v>
      </c>
      <c r="B1207" s="8" t="s">
        <v>2120</v>
      </c>
      <c r="C1207" s="8" t="s">
        <v>1794</v>
      </c>
      <c r="D1207" s="8" t="s">
        <v>164</v>
      </c>
      <c r="E1207" s="8" t="s">
        <v>40</v>
      </c>
    </row>
    <row r="1208" spans="1:5">
      <c r="A1208" s="8">
        <v>3283</v>
      </c>
      <c r="B1208" s="8" t="s">
        <v>2121</v>
      </c>
      <c r="C1208" s="8" t="s">
        <v>2122</v>
      </c>
      <c r="D1208" s="8" t="s">
        <v>438</v>
      </c>
      <c r="E1208" s="8" t="s">
        <v>40</v>
      </c>
    </row>
    <row r="1209" spans="1:5">
      <c r="A1209" s="8">
        <v>3284</v>
      </c>
      <c r="B1209" s="8" t="s">
        <v>2123</v>
      </c>
      <c r="C1209" s="8" t="s">
        <v>2124</v>
      </c>
      <c r="D1209" s="8" t="s">
        <v>691</v>
      </c>
      <c r="E1209" s="8" t="s">
        <v>40</v>
      </c>
    </row>
    <row r="1210" spans="1:5">
      <c r="A1210" s="8">
        <v>3288</v>
      </c>
      <c r="B1210" s="8" t="s">
        <v>2125</v>
      </c>
      <c r="C1210" s="8" t="s">
        <v>2126</v>
      </c>
      <c r="D1210" s="8" t="s">
        <v>654</v>
      </c>
      <c r="E1210" s="8" t="s">
        <v>40</v>
      </c>
    </row>
    <row r="1211" spans="1:5">
      <c r="A1211" s="8">
        <v>3289</v>
      </c>
      <c r="B1211" s="8" t="s">
        <v>2127</v>
      </c>
      <c r="C1211" s="8" t="s">
        <v>2128</v>
      </c>
      <c r="D1211" s="8" t="s">
        <v>1563</v>
      </c>
      <c r="E1211" s="8" t="s">
        <v>40</v>
      </c>
    </row>
    <row r="1212" spans="1:5">
      <c r="A1212" s="8">
        <v>3291</v>
      </c>
      <c r="B1212" s="8" t="s">
        <v>2129</v>
      </c>
      <c r="C1212" s="8" t="s">
        <v>1434</v>
      </c>
      <c r="D1212" s="8" t="s">
        <v>1221</v>
      </c>
      <c r="E1212" s="8" t="s">
        <v>40</v>
      </c>
    </row>
    <row r="1213" spans="1:5">
      <c r="A1213" s="8">
        <v>3292</v>
      </c>
      <c r="B1213" s="8" t="s">
        <v>2130</v>
      </c>
      <c r="C1213" s="8" t="s">
        <v>2131</v>
      </c>
      <c r="D1213" s="8" t="s">
        <v>1221</v>
      </c>
      <c r="E1213" s="8" t="s">
        <v>40</v>
      </c>
    </row>
    <row r="1214" spans="1:5">
      <c r="A1214" s="8">
        <v>3293</v>
      </c>
      <c r="B1214" s="8" t="s">
        <v>2132</v>
      </c>
      <c r="C1214" s="8" t="s">
        <v>2133</v>
      </c>
      <c r="D1214" s="8" t="s">
        <v>1221</v>
      </c>
      <c r="E1214" s="8" t="s">
        <v>40</v>
      </c>
    </row>
    <row r="1215" spans="1:5">
      <c r="A1215" s="8">
        <v>3294</v>
      </c>
      <c r="B1215" s="8" t="s">
        <v>2134</v>
      </c>
      <c r="C1215" s="8" t="s">
        <v>2135</v>
      </c>
      <c r="D1215" s="8" t="s">
        <v>1221</v>
      </c>
      <c r="E1215" s="8" t="s">
        <v>40</v>
      </c>
    </row>
    <row r="1216" spans="1:5">
      <c r="A1216" s="8">
        <v>3295</v>
      </c>
      <c r="B1216" s="8" t="s">
        <v>2136</v>
      </c>
      <c r="C1216" s="8" t="s">
        <v>2137</v>
      </c>
      <c r="D1216" s="8" t="s">
        <v>43</v>
      </c>
      <c r="E1216" s="8" t="s">
        <v>40</v>
      </c>
    </row>
    <row r="1217" spans="1:5">
      <c r="A1217" s="8">
        <v>3297</v>
      </c>
      <c r="B1217" s="8" t="s">
        <v>874</v>
      </c>
      <c r="C1217" s="8" t="s">
        <v>2138</v>
      </c>
      <c r="D1217" s="8" t="s">
        <v>1221</v>
      </c>
      <c r="E1217" s="8" t="s">
        <v>40</v>
      </c>
    </row>
    <row r="1218" spans="1:5">
      <c r="A1218" s="8">
        <v>3298</v>
      </c>
      <c r="B1218" s="8" t="s">
        <v>2139</v>
      </c>
      <c r="C1218" s="8" t="s">
        <v>2140</v>
      </c>
      <c r="D1218" s="8" t="s">
        <v>1221</v>
      </c>
      <c r="E1218" s="8" t="s">
        <v>40</v>
      </c>
    </row>
    <row r="1219" spans="1:5">
      <c r="A1219" s="8">
        <v>3299</v>
      </c>
      <c r="B1219" s="8" t="s">
        <v>2141</v>
      </c>
      <c r="C1219" s="8" t="s">
        <v>1606</v>
      </c>
      <c r="D1219" s="8" t="s">
        <v>1221</v>
      </c>
      <c r="E1219" s="8" t="s">
        <v>40</v>
      </c>
    </row>
    <row r="1220" spans="1:5">
      <c r="A1220" s="8">
        <v>3300</v>
      </c>
      <c r="B1220" s="8" t="s">
        <v>2142</v>
      </c>
      <c r="C1220" s="8" t="s">
        <v>103</v>
      </c>
      <c r="D1220" s="8" t="s">
        <v>1221</v>
      </c>
      <c r="E1220" s="8" t="s">
        <v>40</v>
      </c>
    </row>
    <row r="1221" spans="1:5">
      <c r="A1221" s="8">
        <v>3302</v>
      </c>
      <c r="B1221" s="8" t="s">
        <v>2143</v>
      </c>
      <c r="C1221" s="8" t="s">
        <v>2144</v>
      </c>
      <c r="D1221" s="8" t="s">
        <v>39</v>
      </c>
      <c r="E1221" s="8" t="s">
        <v>40</v>
      </c>
    </row>
    <row r="1222" spans="1:5">
      <c r="A1222" s="8">
        <v>3303</v>
      </c>
      <c r="B1222" s="8" t="s">
        <v>2145</v>
      </c>
      <c r="C1222" s="8" t="s">
        <v>940</v>
      </c>
      <c r="D1222" s="8" t="s">
        <v>43</v>
      </c>
      <c r="E1222" s="8" t="s">
        <v>40</v>
      </c>
    </row>
    <row r="1223" spans="1:5">
      <c r="A1223" s="8">
        <v>3309</v>
      </c>
      <c r="B1223" s="8" t="s">
        <v>2146</v>
      </c>
      <c r="C1223" s="8" t="s">
        <v>2147</v>
      </c>
      <c r="D1223" s="8" t="s">
        <v>43</v>
      </c>
      <c r="E1223" s="8" t="s">
        <v>40</v>
      </c>
    </row>
    <row r="1224" spans="1:5">
      <c r="A1224" s="8">
        <v>3310</v>
      </c>
      <c r="B1224" s="8" t="s">
        <v>2148</v>
      </c>
      <c r="C1224" s="8" t="s">
        <v>2149</v>
      </c>
      <c r="D1224" s="8" t="s">
        <v>164</v>
      </c>
      <c r="E1224" s="8" t="s">
        <v>40</v>
      </c>
    </row>
    <row r="1225" spans="1:5">
      <c r="A1225" s="8">
        <v>3313</v>
      </c>
      <c r="B1225" s="8" t="s">
        <v>2150</v>
      </c>
      <c r="C1225" s="8" t="s">
        <v>537</v>
      </c>
      <c r="D1225" s="8" t="s">
        <v>1221</v>
      </c>
      <c r="E1225" s="8" t="s">
        <v>40</v>
      </c>
    </row>
    <row r="1226" spans="1:5">
      <c r="A1226" s="8">
        <v>3314</v>
      </c>
      <c r="B1226" s="8" t="s">
        <v>2151</v>
      </c>
      <c r="C1226" s="8" t="s">
        <v>2152</v>
      </c>
      <c r="D1226" s="8" t="s">
        <v>48</v>
      </c>
      <c r="E1226" s="8" t="s">
        <v>40</v>
      </c>
    </row>
    <row r="1227" spans="1:5">
      <c r="A1227" s="8">
        <v>3316</v>
      </c>
      <c r="B1227" s="8" t="s">
        <v>2153</v>
      </c>
      <c r="C1227" s="8" t="s">
        <v>1030</v>
      </c>
      <c r="D1227" s="8" t="s">
        <v>1031</v>
      </c>
      <c r="E1227" s="8" t="s">
        <v>1026</v>
      </c>
    </row>
    <row r="1228" spans="1:5">
      <c r="A1228" s="8">
        <v>3319</v>
      </c>
      <c r="B1228" s="8" t="s">
        <v>2154</v>
      </c>
      <c r="C1228" s="8" t="s">
        <v>433</v>
      </c>
      <c r="D1228" s="8" t="s">
        <v>74</v>
      </c>
      <c r="E1228" s="8" t="s">
        <v>40</v>
      </c>
    </row>
    <row r="1229" spans="1:5">
      <c r="A1229" s="8">
        <v>3322</v>
      </c>
      <c r="B1229" s="8" t="s">
        <v>2155</v>
      </c>
      <c r="C1229" s="8" t="s">
        <v>627</v>
      </c>
      <c r="D1229" s="8" t="s">
        <v>39</v>
      </c>
      <c r="E1229" s="8" t="s">
        <v>40</v>
      </c>
    </row>
    <row r="1230" spans="1:5">
      <c r="A1230" s="8">
        <v>3323</v>
      </c>
      <c r="B1230" s="8" t="s">
        <v>2156</v>
      </c>
      <c r="C1230" s="8" t="s">
        <v>2157</v>
      </c>
      <c r="D1230" s="8" t="s">
        <v>181</v>
      </c>
      <c r="E1230" s="8" t="s">
        <v>40</v>
      </c>
    </row>
    <row r="1231" spans="1:5">
      <c r="A1231" s="8">
        <v>3324</v>
      </c>
      <c r="B1231" s="8" t="s">
        <v>2158</v>
      </c>
      <c r="C1231" s="8" t="s">
        <v>563</v>
      </c>
      <c r="D1231" s="8" t="s">
        <v>81</v>
      </c>
      <c r="E1231" s="8" t="s">
        <v>40</v>
      </c>
    </row>
    <row r="1232" spans="1:5">
      <c r="A1232" s="8">
        <v>3328</v>
      </c>
      <c r="B1232" s="8" t="s">
        <v>2159</v>
      </c>
      <c r="C1232" s="8" t="s">
        <v>2160</v>
      </c>
      <c r="D1232" s="8" t="s">
        <v>43</v>
      </c>
      <c r="E1232" s="8" t="s">
        <v>40</v>
      </c>
    </row>
    <row r="1233" spans="1:5">
      <c r="A1233" s="8">
        <v>3329</v>
      </c>
      <c r="B1233" s="8" t="s">
        <v>2161</v>
      </c>
      <c r="C1233" s="8" t="s">
        <v>2162</v>
      </c>
      <c r="D1233" s="8" t="s">
        <v>630</v>
      </c>
      <c r="E1233" s="8" t="s">
        <v>40</v>
      </c>
    </row>
    <row r="1234" spans="1:5">
      <c r="A1234" s="8">
        <v>3330</v>
      </c>
      <c r="B1234" s="8" t="s">
        <v>2163</v>
      </c>
      <c r="C1234" s="8" t="s">
        <v>867</v>
      </c>
      <c r="D1234" s="8" t="s">
        <v>691</v>
      </c>
      <c r="E1234" s="8" t="s">
        <v>40</v>
      </c>
    </row>
    <row r="1235" spans="1:5">
      <c r="A1235" s="8">
        <v>3335</v>
      </c>
      <c r="B1235" s="8" t="s">
        <v>2164</v>
      </c>
      <c r="C1235" s="8" t="s">
        <v>2165</v>
      </c>
      <c r="D1235" s="8" t="s">
        <v>164</v>
      </c>
      <c r="E1235" s="8" t="s">
        <v>40</v>
      </c>
    </row>
    <row r="1236" spans="1:5">
      <c r="A1236" s="8">
        <v>3336</v>
      </c>
      <c r="B1236" s="8" t="s">
        <v>2166</v>
      </c>
      <c r="C1236" s="8" t="s">
        <v>2167</v>
      </c>
      <c r="D1236" s="8" t="s">
        <v>429</v>
      </c>
      <c r="E1236" s="8" t="s">
        <v>40</v>
      </c>
    </row>
    <row r="1237" spans="1:5">
      <c r="A1237" s="8">
        <v>3337</v>
      </c>
      <c r="B1237" s="8" t="s">
        <v>2168</v>
      </c>
      <c r="C1237" s="8" t="s">
        <v>2169</v>
      </c>
      <c r="D1237" s="8" t="s">
        <v>1226</v>
      </c>
      <c r="E1237" s="8" t="s">
        <v>40</v>
      </c>
    </row>
    <row r="1238" spans="1:5">
      <c r="A1238" s="8">
        <v>3339</v>
      </c>
      <c r="B1238" s="8" t="s">
        <v>2170</v>
      </c>
      <c r="C1238" s="8" t="s">
        <v>2171</v>
      </c>
      <c r="D1238" s="8" t="s">
        <v>1034</v>
      </c>
      <c r="E1238" s="8" t="s">
        <v>1026</v>
      </c>
    </row>
    <row r="1239" spans="1:5">
      <c r="A1239" s="8">
        <v>3340</v>
      </c>
      <c r="B1239" s="8" t="s">
        <v>2172</v>
      </c>
      <c r="C1239" s="8" t="s">
        <v>2173</v>
      </c>
      <c r="D1239" s="8" t="s">
        <v>48</v>
      </c>
      <c r="E1239" s="8" t="s">
        <v>40</v>
      </c>
    </row>
    <row r="1240" spans="1:5">
      <c r="A1240" s="8">
        <v>3341</v>
      </c>
      <c r="B1240" s="8" t="s">
        <v>2174</v>
      </c>
      <c r="C1240" s="8" t="s">
        <v>858</v>
      </c>
      <c r="D1240" s="8" t="s">
        <v>43</v>
      </c>
      <c r="E1240" s="8" t="s">
        <v>40</v>
      </c>
    </row>
    <row r="1241" spans="1:5">
      <c r="A1241" s="8">
        <v>3344</v>
      </c>
      <c r="B1241" s="8" t="s">
        <v>2175</v>
      </c>
      <c r="C1241" s="8" t="s">
        <v>489</v>
      </c>
      <c r="D1241" s="8" t="s">
        <v>630</v>
      </c>
      <c r="E1241" s="8" t="s">
        <v>40</v>
      </c>
    </row>
    <row r="1242" spans="1:5">
      <c r="A1242" s="8">
        <v>3345</v>
      </c>
      <c r="B1242" s="8" t="s">
        <v>1334</v>
      </c>
      <c r="C1242" s="8" t="s">
        <v>445</v>
      </c>
      <c r="D1242" s="8" t="s">
        <v>164</v>
      </c>
      <c r="E1242" s="8" t="s">
        <v>40</v>
      </c>
    </row>
    <row r="1243" spans="1:5">
      <c r="A1243" s="8">
        <v>3352</v>
      </c>
      <c r="B1243" s="8" t="s">
        <v>2176</v>
      </c>
      <c r="C1243" s="8" t="s">
        <v>2177</v>
      </c>
      <c r="D1243" s="8" t="s">
        <v>121</v>
      </c>
      <c r="E1243" s="8" t="s">
        <v>40</v>
      </c>
    </row>
    <row r="1244" spans="1:5">
      <c r="A1244" s="8">
        <v>3354</v>
      </c>
      <c r="B1244" s="8" t="s">
        <v>2178</v>
      </c>
      <c r="C1244" s="8" t="s">
        <v>2179</v>
      </c>
      <c r="D1244" s="8" t="s">
        <v>2180</v>
      </c>
      <c r="E1244" s="8" t="s">
        <v>1461</v>
      </c>
    </row>
    <row r="1245" spans="1:5">
      <c r="A1245" s="8">
        <v>3355</v>
      </c>
      <c r="B1245" s="8" t="s">
        <v>2181</v>
      </c>
      <c r="C1245" s="8" t="s">
        <v>1832</v>
      </c>
      <c r="D1245" s="8" t="s">
        <v>164</v>
      </c>
      <c r="E1245" s="8" t="s">
        <v>40</v>
      </c>
    </row>
    <row r="1246" spans="1:5">
      <c r="A1246" s="8">
        <v>3357</v>
      </c>
      <c r="B1246" s="8" t="s">
        <v>2182</v>
      </c>
      <c r="C1246" s="8" t="s">
        <v>681</v>
      </c>
      <c r="D1246" s="8" t="s">
        <v>39</v>
      </c>
      <c r="E1246" s="8" t="s">
        <v>40</v>
      </c>
    </row>
    <row r="1247" spans="1:5">
      <c r="A1247" s="8">
        <v>3359</v>
      </c>
      <c r="B1247" s="8" t="s">
        <v>1597</v>
      </c>
      <c r="C1247" s="8" t="s">
        <v>2183</v>
      </c>
      <c r="D1247" s="8" t="s">
        <v>159</v>
      </c>
      <c r="E1247" s="8" t="s">
        <v>40</v>
      </c>
    </row>
    <row r="1248" spans="1:5">
      <c r="A1248" s="8">
        <v>3360</v>
      </c>
      <c r="B1248" s="8" t="s">
        <v>2184</v>
      </c>
      <c r="C1248" s="8" t="s">
        <v>1687</v>
      </c>
      <c r="D1248" s="8" t="s">
        <v>335</v>
      </c>
      <c r="E1248" s="8" t="s">
        <v>239</v>
      </c>
    </row>
    <row r="1249" spans="1:5">
      <c r="A1249" s="8">
        <v>3361</v>
      </c>
      <c r="B1249" s="8" t="s">
        <v>2185</v>
      </c>
      <c r="C1249" s="8" t="s">
        <v>2186</v>
      </c>
      <c r="D1249" s="8" t="s">
        <v>159</v>
      </c>
      <c r="E1249" s="8" t="s">
        <v>40</v>
      </c>
    </row>
    <row r="1250" spans="1:5">
      <c r="A1250" s="8">
        <v>3366</v>
      </c>
      <c r="B1250" s="8" t="s">
        <v>2187</v>
      </c>
      <c r="C1250" s="8" t="s">
        <v>2188</v>
      </c>
      <c r="D1250" s="8" t="s">
        <v>164</v>
      </c>
      <c r="E1250" s="8" t="s">
        <v>40</v>
      </c>
    </row>
    <row r="1251" spans="1:5">
      <c r="A1251" s="8">
        <v>3367</v>
      </c>
      <c r="B1251" s="8" t="s">
        <v>2189</v>
      </c>
      <c r="C1251" s="8" t="s">
        <v>2190</v>
      </c>
      <c r="D1251" s="8" t="s">
        <v>1221</v>
      </c>
      <c r="E1251" s="8" t="s">
        <v>40</v>
      </c>
    </row>
    <row r="1252" spans="1:5">
      <c r="A1252" s="8">
        <v>3370</v>
      </c>
      <c r="B1252" s="8" t="s">
        <v>450</v>
      </c>
      <c r="C1252" s="8" t="s">
        <v>2191</v>
      </c>
      <c r="D1252" s="8" t="s">
        <v>164</v>
      </c>
      <c r="E1252" s="8" t="s">
        <v>40</v>
      </c>
    </row>
    <row r="1253" spans="1:5">
      <c r="A1253" s="8">
        <v>3373</v>
      </c>
      <c r="B1253" s="8" t="s">
        <v>2192</v>
      </c>
      <c r="C1253" s="8" t="s">
        <v>2193</v>
      </c>
      <c r="D1253" s="8" t="s">
        <v>159</v>
      </c>
      <c r="E1253" s="8" t="s">
        <v>40</v>
      </c>
    </row>
    <row r="1254" spans="1:5">
      <c r="A1254" s="8">
        <v>3374</v>
      </c>
      <c r="B1254" s="8" t="s">
        <v>2194</v>
      </c>
      <c r="C1254" s="8" t="s">
        <v>1675</v>
      </c>
      <c r="D1254" s="8" t="s">
        <v>654</v>
      </c>
      <c r="E1254" s="8" t="s">
        <v>40</v>
      </c>
    </row>
    <row r="1255" spans="1:5">
      <c r="A1255" s="8">
        <v>3379</v>
      </c>
      <c r="B1255" s="8" t="s">
        <v>2195</v>
      </c>
      <c r="C1255" s="8" t="s">
        <v>2196</v>
      </c>
      <c r="D1255" s="8" t="s">
        <v>335</v>
      </c>
      <c r="E1255" s="8" t="s">
        <v>239</v>
      </c>
    </row>
    <row r="1256" spans="1:5">
      <c r="A1256" s="8">
        <v>3381</v>
      </c>
      <c r="B1256" s="8" t="s">
        <v>2197</v>
      </c>
      <c r="C1256" s="8" t="s">
        <v>2198</v>
      </c>
      <c r="D1256" s="8" t="s">
        <v>132</v>
      </c>
      <c r="E1256" s="8" t="s">
        <v>40</v>
      </c>
    </row>
    <row r="1257" spans="1:5">
      <c r="A1257" s="8">
        <v>3386</v>
      </c>
      <c r="B1257" s="8" t="s">
        <v>2199</v>
      </c>
      <c r="C1257" s="8" t="s">
        <v>2196</v>
      </c>
      <c r="D1257" s="8" t="s">
        <v>335</v>
      </c>
      <c r="E1257" s="8" t="s">
        <v>239</v>
      </c>
    </row>
    <row r="1258" spans="1:5">
      <c r="A1258" s="8">
        <v>3387</v>
      </c>
      <c r="B1258" s="8" t="s">
        <v>2200</v>
      </c>
      <c r="C1258" s="8" t="s">
        <v>334</v>
      </c>
      <c r="D1258" s="8" t="s">
        <v>335</v>
      </c>
      <c r="E1258" s="8" t="s">
        <v>239</v>
      </c>
    </row>
    <row r="1259" spans="1:5">
      <c r="A1259" s="8">
        <v>3388</v>
      </c>
      <c r="B1259" s="8" t="s">
        <v>892</v>
      </c>
      <c r="C1259" s="8" t="s">
        <v>2201</v>
      </c>
      <c r="D1259" s="8" t="s">
        <v>1034</v>
      </c>
      <c r="E1259" s="8" t="s">
        <v>1026</v>
      </c>
    </row>
    <row r="1260" spans="1:5">
      <c r="A1260" s="8">
        <v>3389</v>
      </c>
      <c r="B1260" s="8" t="s">
        <v>2202</v>
      </c>
      <c r="C1260" s="8" t="s">
        <v>2203</v>
      </c>
      <c r="D1260" s="8" t="s">
        <v>438</v>
      </c>
      <c r="E1260" s="8" t="s">
        <v>40</v>
      </c>
    </row>
    <row r="1261" spans="1:5">
      <c r="A1261" s="8">
        <v>3390</v>
      </c>
      <c r="B1261" s="8" t="s">
        <v>2204</v>
      </c>
      <c r="C1261" s="8" t="s">
        <v>2205</v>
      </c>
      <c r="D1261" s="8" t="s">
        <v>2205</v>
      </c>
      <c r="E1261" s="8" t="s">
        <v>1835</v>
      </c>
    </row>
    <row r="1262" spans="1:5">
      <c r="A1262" s="8">
        <v>3393</v>
      </c>
      <c r="B1262" s="8" t="s">
        <v>2206</v>
      </c>
      <c r="C1262" s="8" t="s">
        <v>2207</v>
      </c>
      <c r="D1262" s="8" t="s">
        <v>264</v>
      </c>
      <c r="E1262" s="8" t="s">
        <v>40</v>
      </c>
    </row>
    <row r="1263" spans="1:5">
      <c r="A1263" s="8">
        <v>3397</v>
      </c>
      <c r="B1263" s="8" t="s">
        <v>2208</v>
      </c>
      <c r="C1263" s="8" t="s">
        <v>690</v>
      </c>
      <c r="D1263" s="8" t="s">
        <v>691</v>
      </c>
      <c r="E1263" s="8" t="s">
        <v>40</v>
      </c>
    </row>
    <row r="1264" spans="1:5">
      <c r="A1264" s="8">
        <v>3398</v>
      </c>
      <c r="B1264" s="8" t="s">
        <v>2209</v>
      </c>
      <c r="C1264" s="8" t="s">
        <v>1114</v>
      </c>
      <c r="D1264" s="8" t="s">
        <v>39</v>
      </c>
      <c r="E1264" s="8" t="s">
        <v>40</v>
      </c>
    </row>
    <row r="1265" spans="1:5">
      <c r="A1265" s="8">
        <v>3402</v>
      </c>
      <c r="B1265" s="8" t="s">
        <v>2210</v>
      </c>
      <c r="C1265" s="8" t="s">
        <v>2211</v>
      </c>
      <c r="D1265" s="8" t="s">
        <v>429</v>
      </c>
      <c r="E1265" s="8" t="s">
        <v>40</v>
      </c>
    </row>
    <row r="1266" spans="1:5">
      <c r="A1266" s="8">
        <v>3405</v>
      </c>
      <c r="B1266" s="8" t="s">
        <v>2212</v>
      </c>
      <c r="C1266" s="8" t="s">
        <v>2213</v>
      </c>
      <c r="D1266" s="8" t="s">
        <v>1563</v>
      </c>
      <c r="E1266" s="8" t="s">
        <v>40</v>
      </c>
    </row>
    <row r="1267" spans="1:5">
      <c r="A1267" s="8">
        <v>3407</v>
      </c>
      <c r="B1267" s="8" t="s">
        <v>2214</v>
      </c>
      <c r="C1267" s="8" t="s">
        <v>1319</v>
      </c>
      <c r="D1267" s="8" t="s">
        <v>1221</v>
      </c>
      <c r="E1267" s="8" t="s">
        <v>40</v>
      </c>
    </row>
    <row r="1268" spans="1:5">
      <c r="A1268" s="8">
        <v>3408</v>
      </c>
      <c r="B1268" s="8" t="s">
        <v>2215</v>
      </c>
      <c r="C1268" s="8" t="s">
        <v>523</v>
      </c>
      <c r="D1268" s="8" t="s">
        <v>43</v>
      </c>
      <c r="E1268" s="8" t="s">
        <v>40</v>
      </c>
    </row>
    <row r="1269" spans="1:5">
      <c r="A1269" s="8">
        <v>3410</v>
      </c>
      <c r="B1269" s="8" t="s">
        <v>2216</v>
      </c>
      <c r="C1269" s="8" t="s">
        <v>89</v>
      </c>
      <c r="D1269" s="8" t="s">
        <v>57</v>
      </c>
      <c r="E1269" s="8" t="s">
        <v>40</v>
      </c>
    </row>
    <row r="1270" spans="1:5">
      <c r="A1270" s="8">
        <v>3414</v>
      </c>
      <c r="B1270" s="8" t="s">
        <v>2217</v>
      </c>
      <c r="C1270" s="8" t="s">
        <v>229</v>
      </c>
      <c r="D1270" s="8" t="s">
        <v>39</v>
      </c>
      <c r="E1270" s="8" t="s">
        <v>40</v>
      </c>
    </row>
    <row r="1271" spans="1:5">
      <c r="A1271" s="8">
        <v>3418</v>
      </c>
      <c r="B1271" s="8" t="s">
        <v>2218</v>
      </c>
      <c r="C1271" s="8" t="s">
        <v>2219</v>
      </c>
      <c r="D1271" s="8" t="s">
        <v>132</v>
      </c>
      <c r="E1271" s="8" t="s">
        <v>40</v>
      </c>
    </row>
    <row r="1272" spans="1:5">
      <c r="A1272" s="8">
        <v>3419</v>
      </c>
      <c r="B1272" s="8" t="s">
        <v>2220</v>
      </c>
      <c r="C1272" s="8" t="s">
        <v>54</v>
      </c>
      <c r="D1272" s="8" t="s">
        <v>54</v>
      </c>
      <c r="E1272" s="8" t="s">
        <v>40</v>
      </c>
    </row>
    <row r="1273" spans="1:5">
      <c r="A1273" s="8">
        <v>3451</v>
      </c>
      <c r="B1273" s="8" t="s">
        <v>2221</v>
      </c>
      <c r="C1273" s="8" t="s">
        <v>2222</v>
      </c>
      <c r="D1273" s="8" t="s">
        <v>87</v>
      </c>
      <c r="E1273" s="8" t="s">
        <v>40</v>
      </c>
    </row>
    <row r="1274" spans="1:5">
      <c r="A1274" s="8">
        <v>3452</v>
      </c>
      <c r="B1274" s="8" t="s">
        <v>2223</v>
      </c>
      <c r="C1274" s="8" t="s">
        <v>2224</v>
      </c>
      <c r="D1274" s="8" t="s">
        <v>39</v>
      </c>
      <c r="E1274" s="8" t="s">
        <v>40</v>
      </c>
    </row>
    <row r="1275" spans="1:5">
      <c r="A1275" s="8">
        <v>3453</v>
      </c>
      <c r="B1275" s="8" t="s">
        <v>2225</v>
      </c>
      <c r="C1275" s="8" t="s">
        <v>2226</v>
      </c>
      <c r="D1275" s="8" t="s">
        <v>43</v>
      </c>
      <c r="E1275" s="8" t="s">
        <v>40</v>
      </c>
    </row>
    <row r="1276" spans="1:5">
      <c r="A1276" s="8">
        <v>3454</v>
      </c>
      <c r="B1276" s="8" t="s">
        <v>2227</v>
      </c>
      <c r="C1276" s="8" t="s">
        <v>1319</v>
      </c>
      <c r="D1276" s="8" t="s">
        <v>1221</v>
      </c>
      <c r="E1276" s="8" t="s">
        <v>40</v>
      </c>
    </row>
    <row r="1277" spans="1:5">
      <c r="A1277" s="8">
        <v>3455</v>
      </c>
      <c r="B1277" s="8" t="s">
        <v>2228</v>
      </c>
      <c r="C1277" s="8" t="s">
        <v>537</v>
      </c>
      <c r="D1277" s="8" t="s">
        <v>159</v>
      </c>
      <c r="E1277" s="8" t="s">
        <v>40</v>
      </c>
    </row>
    <row r="1278" spans="1:5">
      <c r="A1278" s="8">
        <v>3457</v>
      </c>
      <c r="B1278" s="8" t="s">
        <v>2229</v>
      </c>
      <c r="C1278" s="8" t="s">
        <v>2230</v>
      </c>
      <c r="D1278" s="8" t="s">
        <v>69</v>
      </c>
      <c r="E1278" s="8" t="s">
        <v>40</v>
      </c>
    </row>
    <row r="1279" spans="1:5">
      <c r="A1279" s="8">
        <v>3458</v>
      </c>
      <c r="B1279" s="8" t="s">
        <v>2231</v>
      </c>
      <c r="C1279" s="8" t="s">
        <v>111</v>
      </c>
      <c r="D1279" s="8" t="s">
        <v>39</v>
      </c>
      <c r="E1279" s="8" t="s">
        <v>40</v>
      </c>
    </row>
    <row r="1280" spans="1:5">
      <c r="A1280" s="8">
        <v>3459</v>
      </c>
      <c r="B1280" s="8" t="s">
        <v>2232</v>
      </c>
      <c r="C1280" s="8" t="s">
        <v>2233</v>
      </c>
      <c r="D1280" s="8" t="s">
        <v>429</v>
      </c>
      <c r="E1280" s="8" t="s">
        <v>40</v>
      </c>
    </row>
    <row r="1281" spans="1:5">
      <c r="A1281" s="8">
        <v>3461</v>
      </c>
      <c r="B1281" s="8" t="s">
        <v>2234</v>
      </c>
      <c r="C1281" s="8" t="s">
        <v>2235</v>
      </c>
      <c r="D1281" s="8" t="s">
        <v>201</v>
      </c>
      <c r="E1281" s="8" t="s">
        <v>40</v>
      </c>
    </row>
    <row r="1282" spans="1:5">
      <c r="A1282" s="8">
        <v>3464</v>
      </c>
      <c r="B1282" s="8" t="s">
        <v>2236</v>
      </c>
      <c r="C1282" s="8" t="s">
        <v>2237</v>
      </c>
      <c r="D1282" s="8" t="s">
        <v>201</v>
      </c>
      <c r="E1282" s="8" t="s">
        <v>40</v>
      </c>
    </row>
    <row r="1283" spans="1:5">
      <c r="A1283" s="8">
        <v>3465</v>
      </c>
      <c r="B1283" s="8" t="s">
        <v>2238</v>
      </c>
      <c r="C1283" s="8" t="s">
        <v>2239</v>
      </c>
      <c r="D1283" s="8" t="s">
        <v>69</v>
      </c>
      <c r="E1283" s="8" t="s">
        <v>40</v>
      </c>
    </row>
    <row r="1284" spans="1:5">
      <c r="A1284" s="8">
        <v>3466</v>
      </c>
      <c r="B1284" s="8" t="s">
        <v>2240</v>
      </c>
      <c r="C1284" s="8" t="s">
        <v>2241</v>
      </c>
      <c r="D1284" s="8" t="s">
        <v>60</v>
      </c>
      <c r="E1284" s="8" t="s">
        <v>40</v>
      </c>
    </row>
    <row r="1285" spans="1:5">
      <c r="A1285" s="8">
        <v>3467</v>
      </c>
      <c r="B1285" s="8" t="s">
        <v>2242</v>
      </c>
      <c r="C1285" s="8" t="s">
        <v>2243</v>
      </c>
      <c r="D1285" s="8" t="s">
        <v>181</v>
      </c>
      <c r="E1285" s="8" t="s">
        <v>40</v>
      </c>
    </row>
    <row r="1286" spans="1:5">
      <c r="A1286" s="8">
        <v>3468</v>
      </c>
      <c r="B1286" s="8" t="s">
        <v>2244</v>
      </c>
      <c r="C1286" s="8" t="s">
        <v>2245</v>
      </c>
      <c r="D1286" s="8" t="s">
        <v>1226</v>
      </c>
      <c r="E1286" s="8" t="s">
        <v>40</v>
      </c>
    </row>
    <row r="1287" spans="1:5">
      <c r="A1287" s="8">
        <v>3470</v>
      </c>
      <c r="B1287" s="8" t="s">
        <v>2246</v>
      </c>
      <c r="C1287" s="8" t="s">
        <v>2247</v>
      </c>
      <c r="D1287" s="8" t="s">
        <v>43</v>
      </c>
      <c r="E1287" s="8" t="s">
        <v>40</v>
      </c>
    </row>
    <row r="1288" spans="1:5">
      <c r="A1288" s="8">
        <v>3472</v>
      </c>
      <c r="B1288" s="8" t="s">
        <v>2248</v>
      </c>
      <c r="C1288" s="8" t="s">
        <v>2249</v>
      </c>
      <c r="D1288" s="8" t="s">
        <v>1461</v>
      </c>
      <c r="E1288" s="8" t="s">
        <v>1461</v>
      </c>
    </row>
    <row r="1289" spans="1:5">
      <c r="A1289" s="8">
        <v>3473</v>
      </c>
      <c r="B1289" s="8" t="s">
        <v>2250</v>
      </c>
      <c r="C1289" s="8" t="s">
        <v>2251</v>
      </c>
      <c r="D1289" s="8" t="s">
        <v>43</v>
      </c>
      <c r="E1289" s="8" t="s">
        <v>40</v>
      </c>
    </row>
    <row r="1290" spans="1:5">
      <c r="A1290" s="8">
        <v>3476</v>
      </c>
      <c r="B1290" s="8" t="s">
        <v>2252</v>
      </c>
      <c r="C1290" s="8" t="s">
        <v>1575</v>
      </c>
      <c r="D1290" s="8" t="s">
        <v>43</v>
      </c>
      <c r="E1290" s="8" t="s">
        <v>40</v>
      </c>
    </row>
    <row r="1291" spans="1:5">
      <c r="A1291" s="8">
        <v>3478</v>
      </c>
      <c r="B1291" s="8" t="s">
        <v>2253</v>
      </c>
      <c r="C1291" s="8" t="s">
        <v>2254</v>
      </c>
      <c r="D1291" s="8" t="s">
        <v>2254</v>
      </c>
      <c r="E1291" s="8" t="s">
        <v>1461</v>
      </c>
    </row>
    <row r="1292" spans="1:5">
      <c r="A1292" s="8">
        <v>3480</v>
      </c>
      <c r="B1292" s="8" t="s">
        <v>2255</v>
      </c>
      <c r="C1292" s="8" t="s">
        <v>2256</v>
      </c>
      <c r="D1292" s="8" t="s">
        <v>2257</v>
      </c>
      <c r="E1292" s="8" t="s">
        <v>1461</v>
      </c>
    </row>
    <row r="1293" spans="1:5">
      <c r="A1293" s="8">
        <v>3481</v>
      </c>
      <c r="B1293" s="8" t="s">
        <v>2258</v>
      </c>
      <c r="C1293" s="8" t="s">
        <v>445</v>
      </c>
      <c r="D1293" s="8" t="s">
        <v>164</v>
      </c>
      <c r="E1293" s="8" t="s">
        <v>40</v>
      </c>
    </row>
    <row r="1294" spans="1:5">
      <c r="A1294" s="8">
        <v>3482</v>
      </c>
      <c r="B1294" s="8" t="s">
        <v>2259</v>
      </c>
      <c r="C1294" s="8" t="s">
        <v>2260</v>
      </c>
      <c r="D1294" s="8" t="s">
        <v>43</v>
      </c>
      <c r="E1294" s="8" t="s">
        <v>40</v>
      </c>
    </row>
    <row r="1295" spans="1:5">
      <c r="A1295" s="8">
        <v>3484</v>
      </c>
      <c r="B1295" s="8" t="s">
        <v>2261</v>
      </c>
      <c r="C1295" s="8" t="s">
        <v>2262</v>
      </c>
      <c r="D1295" s="8" t="s">
        <v>81</v>
      </c>
      <c r="E1295" s="8" t="s">
        <v>40</v>
      </c>
    </row>
    <row r="1296" spans="1:5">
      <c r="A1296" s="8">
        <v>3487</v>
      </c>
      <c r="B1296" s="8" t="s">
        <v>2263</v>
      </c>
      <c r="C1296" s="8" t="s">
        <v>187</v>
      </c>
      <c r="D1296" s="8" t="s">
        <v>79</v>
      </c>
      <c r="E1296" s="8" t="s">
        <v>40</v>
      </c>
    </row>
    <row r="1297" spans="1:5">
      <c r="A1297" s="8">
        <v>3488</v>
      </c>
      <c r="B1297" s="8" t="s">
        <v>2264</v>
      </c>
      <c r="C1297" s="8" t="s">
        <v>2265</v>
      </c>
      <c r="D1297" s="8" t="s">
        <v>121</v>
      </c>
      <c r="E1297" s="8" t="s">
        <v>40</v>
      </c>
    </row>
    <row r="1298" spans="1:5">
      <c r="A1298" s="8">
        <v>3489</v>
      </c>
      <c r="B1298" s="8" t="s">
        <v>2266</v>
      </c>
      <c r="C1298" s="8" t="s">
        <v>372</v>
      </c>
      <c r="D1298" s="8" t="s">
        <v>319</v>
      </c>
      <c r="E1298" s="8" t="s">
        <v>40</v>
      </c>
    </row>
    <row r="1299" spans="1:5">
      <c r="A1299" s="8">
        <v>3490</v>
      </c>
      <c r="B1299" s="8" t="s">
        <v>2267</v>
      </c>
      <c r="C1299" s="8" t="s">
        <v>2268</v>
      </c>
      <c r="D1299" s="8" t="s">
        <v>319</v>
      </c>
      <c r="E1299" s="8" t="s">
        <v>40</v>
      </c>
    </row>
    <row r="1300" spans="1:5">
      <c r="A1300" s="8">
        <v>3491</v>
      </c>
      <c r="B1300" s="8" t="s">
        <v>2269</v>
      </c>
      <c r="C1300" s="8" t="s">
        <v>2270</v>
      </c>
      <c r="D1300" s="8" t="s">
        <v>43</v>
      </c>
      <c r="E1300" s="8" t="s">
        <v>40</v>
      </c>
    </row>
    <row r="1301" spans="1:5">
      <c r="A1301" s="8">
        <v>3492</v>
      </c>
      <c r="B1301" s="8" t="s">
        <v>2271</v>
      </c>
      <c r="C1301" s="8" t="s">
        <v>2272</v>
      </c>
      <c r="D1301" s="8" t="s">
        <v>364</v>
      </c>
      <c r="E1301" s="8" t="s">
        <v>40</v>
      </c>
    </row>
    <row r="1302" spans="1:5">
      <c r="A1302" s="8">
        <v>3494</v>
      </c>
      <c r="B1302" s="8" t="s">
        <v>2273</v>
      </c>
      <c r="C1302" s="8" t="s">
        <v>1547</v>
      </c>
      <c r="D1302" s="8" t="s">
        <v>79</v>
      </c>
      <c r="E1302" s="8" t="s">
        <v>40</v>
      </c>
    </row>
    <row r="1303" spans="1:5">
      <c r="A1303" s="8">
        <v>3495</v>
      </c>
      <c r="B1303" s="8" t="s">
        <v>2274</v>
      </c>
      <c r="C1303" s="8" t="s">
        <v>940</v>
      </c>
      <c r="D1303" s="8" t="s">
        <v>43</v>
      </c>
      <c r="E1303" s="8" t="s">
        <v>40</v>
      </c>
    </row>
    <row r="1304" spans="1:5">
      <c r="A1304" s="8">
        <v>3498</v>
      </c>
      <c r="B1304" s="8" t="s">
        <v>2275</v>
      </c>
      <c r="C1304" s="8" t="s">
        <v>1488</v>
      </c>
      <c r="D1304" s="8" t="s">
        <v>69</v>
      </c>
      <c r="E1304" s="8" t="s">
        <v>40</v>
      </c>
    </row>
    <row r="1305" spans="1:5">
      <c r="A1305" s="8">
        <v>3499</v>
      </c>
      <c r="B1305" s="8" t="s">
        <v>2276</v>
      </c>
      <c r="C1305" s="8" t="s">
        <v>679</v>
      </c>
      <c r="D1305" s="8" t="s">
        <v>181</v>
      </c>
      <c r="E1305" s="8" t="s">
        <v>40</v>
      </c>
    </row>
    <row r="1306" spans="1:5">
      <c r="A1306" s="8">
        <v>3501</v>
      </c>
      <c r="B1306" s="8" t="s">
        <v>2277</v>
      </c>
      <c r="C1306" s="8" t="s">
        <v>2278</v>
      </c>
      <c r="D1306" s="8" t="s">
        <v>43</v>
      </c>
      <c r="E1306" s="8" t="s">
        <v>40</v>
      </c>
    </row>
    <row r="1307" spans="1:5">
      <c r="A1307" s="8">
        <v>3504</v>
      </c>
      <c r="B1307" s="8" t="s">
        <v>2279</v>
      </c>
      <c r="C1307" s="8" t="s">
        <v>161</v>
      </c>
      <c r="D1307" s="8" t="s">
        <v>97</v>
      </c>
      <c r="E1307" s="8" t="s">
        <v>40</v>
      </c>
    </row>
    <row r="1308" spans="1:5">
      <c r="A1308" s="8">
        <v>3506</v>
      </c>
      <c r="B1308" s="8" t="s">
        <v>2280</v>
      </c>
      <c r="C1308" s="8" t="s">
        <v>2281</v>
      </c>
      <c r="D1308" s="8" t="s">
        <v>429</v>
      </c>
      <c r="E1308" s="8" t="s">
        <v>40</v>
      </c>
    </row>
    <row r="1309" spans="1:5">
      <c r="A1309" s="8">
        <v>3507</v>
      </c>
      <c r="B1309" s="8" t="s">
        <v>2282</v>
      </c>
      <c r="C1309" s="8" t="s">
        <v>693</v>
      </c>
      <c r="D1309" s="8" t="s">
        <v>69</v>
      </c>
      <c r="E1309" s="8" t="s">
        <v>40</v>
      </c>
    </row>
    <row r="1310" spans="1:5">
      <c r="A1310" s="8">
        <v>3510</v>
      </c>
      <c r="B1310" s="8" t="s">
        <v>2283</v>
      </c>
      <c r="C1310" s="8" t="s">
        <v>2284</v>
      </c>
      <c r="D1310" s="8" t="s">
        <v>2257</v>
      </c>
      <c r="E1310" s="8" t="s">
        <v>1461</v>
      </c>
    </row>
    <row r="1311" spans="1:5">
      <c r="A1311" s="8">
        <v>3511</v>
      </c>
      <c r="B1311" s="8" t="s">
        <v>2285</v>
      </c>
      <c r="C1311" s="8" t="s">
        <v>2286</v>
      </c>
      <c r="D1311" s="8" t="s">
        <v>97</v>
      </c>
      <c r="E1311" s="8" t="s">
        <v>40</v>
      </c>
    </row>
    <row r="1312" spans="1:5">
      <c r="A1312" s="8">
        <v>3512</v>
      </c>
      <c r="B1312" s="8" t="s">
        <v>2287</v>
      </c>
      <c r="C1312" s="8" t="s">
        <v>2288</v>
      </c>
      <c r="D1312" s="8" t="s">
        <v>43</v>
      </c>
      <c r="E1312" s="8" t="s">
        <v>40</v>
      </c>
    </row>
    <row r="1313" spans="1:5">
      <c r="A1313" s="8">
        <v>3513</v>
      </c>
      <c r="B1313" s="8" t="s">
        <v>2289</v>
      </c>
      <c r="C1313" s="8" t="s">
        <v>2290</v>
      </c>
      <c r="D1313" s="8" t="s">
        <v>1018</v>
      </c>
      <c r="E1313" s="8" t="s">
        <v>40</v>
      </c>
    </row>
    <row r="1314" spans="1:5">
      <c r="A1314" s="8">
        <v>3515</v>
      </c>
      <c r="B1314" s="8" t="s">
        <v>2291</v>
      </c>
      <c r="C1314" s="8" t="s">
        <v>2292</v>
      </c>
      <c r="D1314" s="8" t="s">
        <v>48</v>
      </c>
      <c r="E1314" s="8" t="s">
        <v>40</v>
      </c>
    </row>
    <row r="1315" spans="1:5">
      <c r="A1315" s="8">
        <v>3522</v>
      </c>
      <c r="B1315" s="8" t="s">
        <v>2293</v>
      </c>
      <c r="C1315" s="8" t="s">
        <v>2019</v>
      </c>
      <c r="D1315" s="8" t="s">
        <v>1461</v>
      </c>
      <c r="E1315" s="8" t="s">
        <v>1461</v>
      </c>
    </row>
    <row r="1316" spans="1:5">
      <c r="A1316" s="8">
        <v>3525</v>
      </c>
      <c r="B1316" s="8" t="s">
        <v>2294</v>
      </c>
      <c r="C1316" s="8" t="s">
        <v>2295</v>
      </c>
      <c r="D1316" s="8" t="s">
        <v>201</v>
      </c>
      <c r="E1316" s="8" t="s">
        <v>40</v>
      </c>
    </row>
    <row r="1317" spans="1:5">
      <c r="A1317" s="8">
        <v>3526</v>
      </c>
      <c r="B1317" s="8" t="s">
        <v>2296</v>
      </c>
      <c r="C1317" s="8" t="s">
        <v>2297</v>
      </c>
      <c r="D1317" s="8" t="s">
        <v>2298</v>
      </c>
      <c r="E1317" s="8" t="s">
        <v>1461</v>
      </c>
    </row>
    <row r="1318" spans="1:5">
      <c r="A1318" s="8">
        <v>3527</v>
      </c>
      <c r="B1318" s="8" t="s">
        <v>2299</v>
      </c>
      <c r="C1318" s="8" t="s">
        <v>2249</v>
      </c>
      <c r="D1318" s="8" t="s">
        <v>1461</v>
      </c>
      <c r="E1318" s="8" t="s">
        <v>1461</v>
      </c>
    </row>
    <row r="1319" spans="1:5">
      <c r="A1319" s="8">
        <v>3532</v>
      </c>
      <c r="B1319" s="8" t="s">
        <v>2300</v>
      </c>
      <c r="C1319" s="8" t="s">
        <v>2301</v>
      </c>
      <c r="D1319" s="8" t="s">
        <v>335</v>
      </c>
      <c r="E1319" s="8" t="s">
        <v>239</v>
      </c>
    </row>
    <row r="1320" spans="1:5">
      <c r="A1320" s="8">
        <v>3533</v>
      </c>
      <c r="B1320" s="8" t="s">
        <v>2302</v>
      </c>
      <c r="C1320" s="8" t="s">
        <v>2196</v>
      </c>
      <c r="D1320" s="8" t="s">
        <v>335</v>
      </c>
      <c r="E1320" s="8" t="s">
        <v>239</v>
      </c>
    </row>
    <row r="1321" spans="1:5">
      <c r="A1321" s="8">
        <v>3534</v>
      </c>
      <c r="B1321" s="8" t="s">
        <v>2303</v>
      </c>
      <c r="C1321" s="8" t="s">
        <v>2304</v>
      </c>
      <c r="D1321" s="8" t="s">
        <v>39</v>
      </c>
      <c r="E1321" s="8" t="s">
        <v>40</v>
      </c>
    </row>
    <row r="1322" spans="1:5">
      <c r="A1322" s="8">
        <v>3535</v>
      </c>
      <c r="B1322" s="8" t="s">
        <v>2305</v>
      </c>
      <c r="C1322" s="8" t="s">
        <v>2306</v>
      </c>
      <c r="D1322" s="8" t="s">
        <v>39</v>
      </c>
      <c r="E1322" s="8" t="s">
        <v>40</v>
      </c>
    </row>
    <row r="1323" spans="1:5">
      <c r="A1323" s="8">
        <v>3536</v>
      </c>
      <c r="B1323" s="8" t="s">
        <v>2307</v>
      </c>
      <c r="C1323" s="8" t="s">
        <v>585</v>
      </c>
      <c r="D1323" s="8" t="s">
        <v>39</v>
      </c>
      <c r="E1323" s="8" t="s">
        <v>40</v>
      </c>
    </row>
    <row r="1324" spans="1:5">
      <c r="A1324" s="8">
        <v>3537</v>
      </c>
      <c r="B1324" s="8" t="s">
        <v>2308</v>
      </c>
      <c r="C1324" s="8" t="s">
        <v>2309</v>
      </c>
      <c r="D1324" s="8" t="s">
        <v>39</v>
      </c>
      <c r="E1324" s="8" t="s">
        <v>40</v>
      </c>
    </row>
    <row r="1325" spans="1:5">
      <c r="A1325" s="8">
        <v>3538</v>
      </c>
      <c r="B1325" s="8" t="s">
        <v>2310</v>
      </c>
      <c r="C1325" s="8" t="s">
        <v>71</v>
      </c>
      <c r="D1325" s="8" t="s">
        <v>39</v>
      </c>
      <c r="E1325" s="8" t="s">
        <v>40</v>
      </c>
    </row>
    <row r="1326" spans="1:5">
      <c r="A1326" s="8">
        <v>3539</v>
      </c>
      <c r="B1326" s="8" t="s">
        <v>2311</v>
      </c>
      <c r="C1326" s="8" t="s">
        <v>2312</v>
      </c>
      <c r="D1326" s="8" t="s">
        <v>39</v>
      </c>
      <c r="E1326" s="8" t="s">
        <v>40</v>
      </c>
    </row>
    <row r="1327" spans="1:5">
      <c r="A1327" s="8">
        <v>3542</v>
      </c>
      <c r="B1327" s="8" t="s">
        <v>2313</v>
      </c>
      <c r="C1327" s="8" t="s">
        <v>741</v>
      </c>
      <c r="D1327" s="8" t="s">
        <v>39</v>
      </c>
      <c r="E1327" s="8" t="s">
        <v>40</v>
      </c>
    </row>
    <row r="1328" spans="1:5">
      <c r="A1328" s="8">
        <v>3543</v>
      </c>
      <c r="B1328" s="8" t="s">
        <v>2314</v>
      </c>
      <c r="C1328" s="8" t="s">
        <v>2315</v>
      </c>
      <c r="D1328" s="8" t="s">
        <v>238</v>
      </c>
      <c r="E1328" s="8" t="s">
        <v>239</v>
      </c>
    </row>
    <row r="1329" spans="1:5">
      <c r="A1329" s="8">
        <v>3544</v>
      </c>
      <c r="B1329" s="8" t="s">
        <v>2316</v>
      </c>
      <c r="C1329" s="8" t="s">
        <v>2317</v>
      </c>
      <c r="D1329" s="8" t="s">
        <v>335</v>
      </c>
      <c r="E1329" s="8" t="s">
        <v>239</v>
      </c>
    </row>
    <row r="1330" spans="1:5">
      <c r="A1330" s="8">
        <v>3545</v>
      </c>
      <c r="B1330" s="8" t="s">
        <v>2318</v>
      </c>
      <c r="C1330" s="8" t="s">
        <v>2319</v>
      </c>
      <c r="D1330" s="8" t="s">
        <v>164</v>
      </c>
      <c r="E1330" s="8" t="s">
        <v>40</v>
      </c>
    </row>
    <row r="1331" spans="1:5">
      <c r="A1331" s="8">
        <v>3546</v>
      </c>
      <c r="B1331" s="8" t="s">
        <v>2320</v>
      </c>
      <c r="C1331" s="8" t="s">
        <v>2321</v>
      </c>
      <c r="D1331" s="8" t="s">
        <v>39</v>
      </c>
      <c r="E1331" s="8" t="s">
        <v>40</v>
      </c>
    </row>
    <row r="1332" spans="1:5">
      <c r="A1332" s="8">
        <v>3547</v>
      </c>
      <c r="B1332" s="8" t="s">
        <v>2322</v>
      </c>
      <c r="C1332" s="8" t="s">
        <v>293</v>
      </c>
      <c r="D1332" s="8" t="s">
        <v>39</v>
      </c>
      <c r="E1332" s="8" t="s">
        <v>40</v>
      </c>
    </row>
    <row r="1333" spans="1:5">
      <c r="A1333" s="8">
        <v>3550</v>
      </c>
      <c r="B1333" s="8" t="s">
        <v>2323</v>
      </c>
      <c r="C1333" s="8" t="s">
        <v>2324</v>
      </c>
      <c r="D1333" s="8" t="s">
        <v>335</v>
      </c>
      <c r="E1333" s="8" t="s">
        <v>239</v>
      </c>
    </row>
    <row r="1334" spans="1:5">
      <c r="A1334" s="8">
        <v>3555</v>
      </c>
      <c r="B1334" s="8" t="s">
        <v>2325</v>
      </c>
      <c r="C1334" s="8" t="s">
        <v>2326</v>
      </c>
      <c r="D1334" s="8" t="s">
        <v>201</v>
      </c>
      <c r="E1334" s="8" t="s">
        <v>40</v>
      </c>
    </row>
    <row r="1335" spans="1:5">
      <c r="A1335" s="8">
        <v>3556</v>
      </c>
      <c r="B1335" s="8" t="s">
        <v>2327</v>
      </c>
      <c r="C1335" s="8" t="s">
        <v>1805</v>
      </c>
      <c r="D1335" s="8" t="s">
        <v>57</v>
      </c>
      <c r="E1335" s="8" t="s">
        <v>40</v>
      </c>
    </row>
    <row r="1336" spans="1:5">
      <c r="A1336" s="8">
        <v>3559</v>
      </c>
      <c r="B1336" s="8" t="s">
        <v>2328</v>
      </c>
      <c r="C1336" s="8" t="s">
        <v>2329</v>
      </c>
      <c r="D1336" s="8" t="s">
        <v>79</v>
      </c>
      <c r="E1336" s="8" t="s">
        <v>40</v>
      </c>
    </row>
    <row r="1337" spans="1:5">
      <c r="A1337" s="8">
        <v>3560</v>
      </c>
      <c r="B1337" s="8" t="s">
        <v>2330</v>
      </c>
      <c r="C1337" s="8" t="s">
        <v>2331</v>
      </c>
      <c r="D1337" s="8" t="s">
        <v>238</v>
      </c>
      <c r="E1337" s="8" t="s">
        <v>239</v>
      </c>
    </row>
    <row r="1338" spans="1:5">
      <c r="A1338" s="8">
        <v>3562</v>
      </c>
      <c r="B1338" s="8" t="s">
        <v>2332</v>
      </c>
      <c r="C1338" s="8" t="s">
        <v>1020</v>
      </c>
      <c r="D1338" s="8" t="s">
        <v>1018</v>
      </c>
      <c r="E1338" s="8" t="s">
        <v>40</v>
      </c>
    </row>
    <row r="1339" spans="1:5">
      <c r="A1339" s="8">
        <v>3566</v>
      </c>
      <c r="B1339" s="8" t="s">
        <v>2333</v>
      </c>
      <c r="C1339" s="8" t="s">
        <v>2334</v>
      </c>
      <c r="D1339" s="8" t="s">
        <v>60</v>
      </c>
      <c r="E1339" s="8" t="s">
        <v>40</v>
      </c>
    </row>
    <row r="1340" spans="1:5">
      <c r="A1340" s="8">
        <v>3568</v>
      </c>
      <c r="B1340" s="8" t="s">
        <v>1968</v>
      </c>
      <c r="C1340" s="8" t="s">
        <v>1376</v>
      </c>
      <c r="D1340" s="8" t="s">
        <v>39</v>
      </c>
      <c r="E1340" s="8" t="s">
        <v>40</v>
      </c>
    </row>
    <row r="1341" spans="1:5">
      <c r="A1341" s="8">
        <v>3570</v>
      </c>
      <c r="B1341" s="8" t="s">
        <v>2335</v>
      </c>
      <c r="C1341" s="8" t="s">
        <v>2336</v>
      </c>
      <c r="D1341" s="8" t="s">
        <v>39</v>
      </c>
      <c r="E1341" s="8" t="s">
        <v>40</v>
      </c>
    </row>
    <row r="1342" spans="1:5">
      <c r="A1342" s="8">
        <v>3571</v>
      </c>
      <c r="B1342" s="8" t="s">
        <v>2337</v>
      </c>
      <c r="C1342" s="8" t="s">
        <v>2338</v>
      </c>
      <c r="D1342" s="8" t="s">
        <v>238</v>
      </c>
      <c r="E1342" s="8" t="s">
        <v>239</v>
      </c>
    </row>
    <row r="1343" spans="1:5">
      <c r="A1343" s="8">
        <v>3572</v>
      </c>
      <c r="B1343" s="8" t="s">
        <v>2339</v>
      </c>
      <c r="C1343" s="8" t="s">
        <v>2340</v>
      </c>
      <c r="D1343" s="8" t="s">
        <v>39</v>
      </c>
      <c r="E1343" s="8" t="s">
        <v>40</v>
      </c>
    </row>
    <row r="1344" spans="1:5">
      <c r="A1344" s="8">
        <v>3573</v>
      </c>
      <c r="B1344" s="8" t="s">
        <v>2341</v>
      </c>
      <c r="C1344" s="8" t="s">
        <v>2342</v>
      </c>
      <c r="D1344" s="8" t="s">
        <v>630</v>
      </c>
      <c r="E1344" s="8" t="s">
        <v>40</v>
      </c>
    </row>
    <row r="1345" spans="1:5">
      <c r="A1345" s="8">
        <v>3574</v>
      </c>
      <c r="B1345" s="8" t="s">
        <v>2343</v>
      </c>
      <c r="C1345" s="8" t="s">
        <v>458</v>
      </c>
      <c r="D1345" s="8" t="s">
        <v>264</v>
      </c>
      <c r="E1345" s="8" t="s">
        <v>40</v>
      </c>
    </row>
    <row r="1346" spans="1:5">
      <c r="A1346" s="8">
        <v>3575</v>
      </c>
      <c r="B1346" s="8" t="s">
        <v>2344</v>
      </c>
      <c r="C1346" s="8" t="s">
        <v>2345</v>
      </c>
      <c r="D1346" s="8" t="s">
        <v>264</v>
      </c>
      <c r="E1346" s="8" t="s">
        <v>40</v>
      </c>
    </row>
    <row r="1347" spans="1:5">
      <c r="A1347" s="8">
        <v>3577</v>
      </c>
      <c r="B1347" s="8" t="s">
        <v>2346</v>
      </c>
      <c r="C1347" s="8" t="s">
        <v>1920</v>
      </c>
      <c r="D1347" s="8" t="s">
        <v>92</v>
      </c>
      <c r="E1347" s="8" t="s">
        <v>40</v>
      </c>
    </row>
    <row r="1348" spans="1:5">
      <c r="A1348" s="8">
        <v>3581</v>
      </c>
      <c r="B1348" s="8" t="s">
        <v>2347</v>
      </c>
      <c r="C1348" s="8" t="s">
        <v>2348</v>
      </c>
      <c r="D1348" s="8" t="s">
        <v>630</v>
      </c>
      <c r="E1348" s="8" t="s">
        <v>40</v>
      </c>
    </row>
    <row r="1349" spans="1:5">
      <c r="A1349" s="8">
        <v>3586</v>
      </c>
      <c r="B1349" s="8" t="s">
        <v>2349</v>
      </c>
      <c r="C1349" s="8" t="s">
        <v>2350</v>
      </c>
      <c r="D1349" s="8" t="s">
        <v>264</v>
      </c>
      <c r="E1349" s="8" t="s">
        <v>40</v>
      </c>
    </row>
    <row r="1350" spans="1:5">
      <c r="A1350" s="8">
        <v>3588</v>
      </c>
      <c r="B1350" s="8" t="s">
        <v>2351</v>
      </c>
      <c r="C1350" s="8" t="s">
        <v>2352</v>
      </c>
      <c r="D1350" s="8" t="s">
        <v>264</v>
      </c>
      <c r="E1350" s="8" t="s">
        <v>40</v>
      </c>
    </row>
    <row r="1351" spans="1:5">
      <c r="A1351" s="8">
        <v>3591</v>
      </c>
      <c r="B1351" s="8" t="s">
        <v>2353</v>
      </c>
      <c r="C1351" s="8" t="s">
        <v>889</v>
      </c>
      <c r="D1351" s="8" t="s">
        <v>81</v>
      </c>
      <c r="E1351" s="8" t="s">
        <v>40</v>
      </c>
    </row>
    <row r="1352" spans="1:5">
      <c r="A1352" s="8">
        <v>3593</v>
      </c>
      <c r="B1352" s="8" t="s">
        <v>2354</v>
      </c>
      <c r="C1352" s="8" t="s">
        <v>693</v>
      </c>
      <c r="D1352" s="8" t="s">
        <v>69</v>
      </c>
      <c r="E1352" s="8" t="s">
        <v>40</v>
      </c>
    </row>
    <row r="1353" spans="1:5">
      <c r="A1353" s="8">
        <v>3596</v>
      </c>
      <c r="B1353" s="8" t="s">
        <v>2355</v>
      </c>
      <c r="C1353" s="8" t="s">
        <v>2356</v>
      </c>
      <c r="D1353" s="8" t="s">
        <v>132</v>
      </c>
      <c r="E1353" s="8" t="s">
        <v>40</v>
      </c>
    </row>
    <row r="1354" spans="1:5">
      <c r="A1354" s="8">
        <v>3597</v>
      </c>
      <c r="B1354" s="8" t="s">
        <v>2357</v>
      </c>
      <c r="C1354" s="8" t="s">
        <v>2358</v>
      </c>
      <c r="D1354" s="8" t="s">
        <v>87</v>
      </c>
      <c r="E1354" s="8" t="s">
        <v>40</v>
      </c>
    </row>
    <row r="1355" spans="1:5">
      <c r="A1355" s="8">
        <v>3598</v>
      </c>
      <c r="B1355" s="8" t="s">
        <v>2359</v>
      </c>
      <c r="C1355" s="8" t="s">
        <v>571</v>
      </c>
      <c r="D1355" s="8" t="s">
        <v>43</v>
      </c>
      <c r="E1355" s="8" t="s">
        <v>40</v>
      </c>
    </row>
    <row r="1356" spans="1:5">
      <c r="A1356" s="8">
        <v>3602</v>
      </c>
      <c r="B1356" s="8" t="s">
        <v>2360</v>
      </c>
      <c r="C1356" s="8" t="s">
        <v>2361</v>
      </c>
      <c r="D1356" s="8" t="s">
        <v>39</v>
      </c>
      <c r="E1356" s="8" t="s">
        <v>40</v>
      </c>
    </row>
    <row r="1357" spans="1:5">
      <c r="A1357" s="8">
        <v>3603</v>
      </c>
      <c r="B1357" s="8" t="s">
        <v>2362</v>
      </c>
      <c r="C1357" s="8" t="s">
        <v>2363</v>
      </c>
      <c r="D1357" s="8" t="s">
        <v>39</v>
      </c>
      <c r="E1357" s="8" t="s">
        <v>40</v>
      </c>
    </row>
    <row r="1358" spans="1:5">
      <c r="A1358" s="8">
        <v>3604</v>
      </c>
      <c r="B1358" s="8" t="s">
        <v>2364</v>
      </c>
      <c r="C1358" s="8" t="s">
        <v>2365</v>
      </c>
      <c r="D1358" s="8" t="s">
        <v>39</v>
      </c>
      <c r="E1358" s="8" t="s">
        <v>40</v>
      </c>
    </row>
    <row r="1359" spans="1:5">
      <c r="A1359" s="8">
        <v>3606</v>
      </c>
      <c r="B1359" s="8" t="s">
        <v>2366</v>
      </c>
      <c r="C1359" s="8" t="s">
        <v>2169</v>
      </c>
      <c r="D1359" s="8" t="s">
        <v>1226</v>
      </c>
      <c r="E1359" s="8" t="s">
        <v>40</v>
      </c>
    </row>
    <row r="1360" spans="1:5">
      <c r="A1360" s="8">
        <v>3609</v>
      </c>
      <c r="B1360" s="8" t="s">
        <v>2367</v>
      </c>
      <c r="C1360" s="8" t="s">
        <v>944</v>
      </c>
      <c r="D1360" s="8" t="s">
        <v>87</v>
      </c>
      <c r="E1360" s="8" t="s">
        <v>40</v>
      </c>
    </row>
    <row r="1361" spans="1:5">
      <c r="A1361" s="8">
        <v>3610</v>
      </c>
      <c r="B1361" s="8" t="s">
        <v>2368</v>
      </c>
      <c r="C1361" s="8" t="s">
        <v>1364</v>
      </c>
      <c r="D1361" s="8" t="s">
        <v>1221</v>
      </c>
      <c r="E1361" s="8" t="s">
        <v>40</v>
      </c>
    </row>
    <row r="1362" spans="1:5">
      <c r="A1362" s="8">
        <v>3612</v>
      </c>
      <c r="B1362" s="8" t="s">
        <v>2369</v>
      </c>
      <c r="C1362" s="8" t="s">
        <v>2370</v>
      </c>
      <c r="D1362" s="8" t="s">
        <v>51</v>
      </c>
      <c r="E1362" s="8" t="s">
        <v>40</v>
      </c>
    </row>
    <row r="1363" spans="1:5">
      <c r="A1363" s="8">
        <v>3615</v>
      </c>
      <c r="B1363" s="8" t="s">
        <v>2371</v>
      </c>
      <c r="C1363" s="8" t="s">
        <v>571</v>
      </c>
      <c r="D1363" s="8" t="s">
        <v>43</v>
      </c>
      <c r="E1363" s="8" t="s">
        <v>40</v>
      </c>
    </row>
    <row r="1364" spans="1:5">
      <c r="A1364" s="8">
        <v>3616</v>
      </c>
      <c r="B1364" s="8" t="s">
        <v>2372</v>
      </c>
      <c r="C1364" s="8" t="s">
        <v>1076</v>
      </c>
      <c r="D1364" s="8" t="s">
        <v>1226</v>
      </c>
      <c r="E1364" s="8" t="s">
        <v>40</v>
      </c>
    </row>
    <row r="1365" spans="1:5">
      <c r="A1365" s="8">
        <v>3617</v>
      </c>
      <c r="B1365" s="8" t="s">
        <v>2373</v>
      </c>
      <c r="C1365" s="8" t="s">
        <v>2374</v>
      </c>
      <c r="D1365" s="8" t="s">
        <v>39</v>
      </c>
      <c r="E1365" s="8" t="s">
        <v>40</v>
      </c>
    </row>
    <row r="1366" spans="1:5">
      <c r="A1366" s="8">
        <v>3618</v>
      </c>
      <c r="B1366" s="8" t="s">
        <v>2375</v>
      </c>
      <c r="C1366" s="8" t="s">
        <v>2376</v>
      </c>
      <c r="D1366" s="8" t="s">
        <v>39</v>
      </c>
      <c r="E1366" s="8" t="s">
        <v>40</v>
      </c>
    </row>
    <row r="1367" spans="1:5">
      <c r="A1367" s="8">
        <v>3619</v>
      </c>
      <c r="B1367" s="8" t="s">
        <v>2377</v>
      </c>
      <c r="C1367" s="8" t="s">
        <v>1114</v>
      </c>
      <c r="D1367" s="8" t="s">
        <v>39</v>
      </c>
      <c r="E1367" s="8" t="s">
        <v>40</v>
      </c>
    </row>
    <row r="1368" spans="1:5">
      <c r="A1368" s="8">
        <v>3620</v>
      </c>
      <c r="B1368" s="8" t="s">
        <v>2378</v>
      </c>
      <c r="C1368" s="8" t="s">
        <v>2379</v>
      </c>
      <c r="D1368" s="8" t="s">
        <v>39</v>
      </c>
      <c r="E1368" s="8" t="s">
        <v>40</v>
      </c>
    </row>
    <row r="1369" spans="1:5">
      <c r="A1369" s="8">
        <v>3623</v>
      </c>
      <c r="B1369" s="8" t="s">
        <v>2380</v>
      </c>
      <c r="C1369" s="8" t="s">
        <v>2381</v>
      </c>
      <c r="D1369" s="8" t="s">
        <v>60</v>
      </c>
      <c r="E1369" s="8" t="s">
        <v>40</v>
      </c>
    </row>
    <row r="1370" spans="1:5">
      <c r="A1370" s="8">
        <v>3624</v>
      </c>
      <c r="B1370" s="8" t="s">
        <v>2382</v>
      </c>
      <c r="C1370" s="8" t="s">
        <v>1384</v>
      </c>
      <c r="D1370" s="8" t="s">
        <v>54</v>
      </c>
      <c r="E1370" s="8" t="s">
        <v>40</v>
      </c>
    </row>
    <row r="1371" spans="1:5">
      <c r="A1371" s="8">
        <v>3627</v>
      </c>
      <c r="B1371" s="8" t="s">
        <v>2383</v>
      </c>
      <c r="C1371" s="8" t="s">
        <v>2384</v>
      </c>
      <c r="D1371" s="8" t="s">
        <v>57</v>
      </c>
      <c r="E1371" s="8" t="s">
        <v>40</v>
      </c>
    </row>
    <row r="1372" spans="1:5">
      <c r="A1372" s="8">
        <v>3630</v>
      </c>
      <c r="B1372" s="8" t="s">
        <v>2385</v>
      </c>
      <c r="C1372" s="8" t="s">
        <v>1364</v>
      </c>
      <c r="D1372" s="8" t="s">
        <v>1221</v>
      </c>
      <c r="E1372" s="8" t="s">
        <v>40</v>
      </c>
    </row>
    <row r="1373" spans="1:5">
      <c r="A1373" s="8">
        <v>3632</v>
      </c>
      <c r="B1373" s="8" t="s">
        <v>2386</v>
      </c>
      <c r="C1373" s="8" t="s">
        <v>1114</v>
      </c>
      <c r="D1373" s="8" t="s">
        <v>39</v>
      </c>
      <c r="E1373" s="8" t="s">
        <v>40</v>
      </c>
    </row>
    <row r="1374" spans="1:5">
      <c r="A1374" s="8">
        <v>3633</v>
      </c>
      <c r="B1374" s="8" t="s">
        <v>2387</v>
      </c>
      <c r="C1374" s="8" t="s">
        <v>2388</v>
      </c>
      <c r="D1374" s="8" t="s">
        <v>1221</v>
      </c>
      <c r="E1374" s="8" t="s">
        <v>40</v>
      </c>
    </row>
    <row r="1375" spans="1:5">
      <c r="A1375" s="8">
        <v>3634</v>
      </c>
      <c r="B1375" s="8" t="s">
        <v>2389</v>
      </c>
      <c r="C1375" s="8" t="s">
        <v>2390</v>
      </c>
      <c r="D1375" s="8" t="s">
        <v>201</v>
      </c>
      <c r="E1375" s="8" t="s">
        <v>40</v>
      </c>
    </row>
    <row r="1376" spans="1:5">
      <c r="A1376" s="8">
        <v>3635</v>
      </c>
      <c r="B1376" s="8" t="s">
        <v>2391</v>
      </c>
      <c r="C1376" s="8" t="s">
        <v>2392</v>
      </c>
      <c r="D1376" s="8" t="s">
        <v>630</v>
      </c>
      <c r="E1376" s="8" t="s">
        <v>40</v>
      </c>
    </row>
    <row r="1377" spans="1:5">
      <c r="A1377" s="8">
        <v>3636</v>
      </c>
      <c r="B1377" s="8" t="s">
        <v>2393</v>
      </c>
      <c r="C1377" s="8" t="s">
        <v>944</v>
      </c>
      <c r="D1377" s="8" t="s">
        <v>603</v>
      </c>
      <c r="E1377" s="8" t="s">
        <v>40</v>
      </c>
    </row>
    <row r="1378" spans="1:5">
      <c r="A1378" s="8">
        <v>3637</v>
      </c>
      <c r="B1378" s="8" t="s">
        <v>2394</v>
      </c>
      <c r="C1378" s="8" t="s">
        <v>2395</v>
      </c>
      <c r="D1378" s="8" t="s">
        <v>48</v>
      </c>
      <c r="E1378" s="8" t="s">
        <v>40</v>
      </c>
    </row>
    <row r="1379" spans="1:5">
      <c r="A1379" s="8">
        <v>3641</v>
      </c>
      <c r="B1379" s="8" t="s">
        <v>2396</v>
      </c>
      <c r="C1379" s="8" t="s">
        <v>2397</v>
      </c>
      <c r="D1379" s="8" t="s">
        <v>39</v>
      </c>
      <c r="E1379" s="8" t="s">
        <v>40</v>
      </c>
    </row>
    <row r="1380" spans="1:5">
      <c r="A1380" s="8">
        <v>3646</v>
      </c>
      <c r="B1380" s="8" t="s">
        <v>2398</v>
      </c>
      <c r="C1380" s="8" t="s">
        <v>1834</v>
      </c>
      <c r="D1380" s="8" t="s">
        <v>1834</v>
      </c>
      <c r="E1380" s="8" t="s">
        <v>1835</v>
      </c>
    </row>
    <row r="1381" spans="1:5">
      <c r="A1381" s="8">
        <v>3647</v>
      </c>
      <c r="B1381" s="8" t="s">
        <v>2399</v>
      </c>
      <c r="C1381" s="8" t="s">
        <v>858</v>
      </c>
      <c r="D1381" s="8" t="s">
        <v>43</v>
      </c>
      <c r="E1381" s="8" t="s">
        <v>40</v>
      </c>
    </row>
    <row r="1382" spans="1:5">
      <c r="A1382" s="8">
        <v>3648</v>
      </c>
      <c r="B1382" s="8" t="s">
        <v>2400</v>
      </c>
      <c r="C1382" s="8" t="s">
        <v>905</v>
      </c>
      <c r="D1382" s="8" t="s">
        <v>208</v>
      </c>
      <c r="E1382" s="8" t="s">
        <v>40</v>
      </c>
    </row>
    <row r="1383" spans="1:5">
      <c r="A1383" s="8">
        <v>3650</v>
      </c>
      <c r="B1383" s="8" t="s">
        <v>2401</v>
      </c>
      <c r="C1383" s="8" t="s">
        <v>2402</v>
      </c>
      <c r="D1383" s="8" t="s">
        <v>438</v>
      </c>
      <c r="E1383" s="8" t="s">
        <v>40</v>
      </c>
    </row>
    <row r="1384" spans="1:5">
      <c r="A1384" s="8">
        <v>3651</v>
      </c>
      <c r="B1384" s="8" t="s">
        <v>2403</v>
      </c>
      <c r="C1384" s="8" t="s">
        <v>2404</v>
      </c>
      <c r="D1384" s="8" t="s">
        <v>319</v>
      </c>
      <c r="E1384" s="8" t="s">
        <v>40</v>
      </c>
    </row>
    <row r="1385" spans="1:5">
      <c r="A1385" s="8">
        <v>3653</v>
      </c>
      <c r="B1385" s="8" t="s">
        <v>2405</v>
      </c>
      <c r="C1385" s="8" t="s">
        <v>636</v>
      </c>
      <c r="D1385" s="8" t="s">
        <v>57</v>
      </c>
      <c r="E1385" s="8" t="s">
        <v>40</v>
      </c>
    </row>
    <row r="1386" spans="1:5">
      <c r="A1386" s="8">
        <v>3654</v>
      </c>
      <c r="B1386" s="8" t="s">
        <v>2406</v>
      </c>
      <c r="C1386" s="8" t="s">
        <v>168</v>
      </c>
      <c r="D1386" s="8" t="s">
        <v>201</v>
      </c>
      <c r="E1386" s="8" t="s">
        <v>40</v>
      </c>
    </row>
    <row r="1387" spans="1:5">
      <c r="A1387" s="8">
        <v>3655</v>
      </c>
      <c r="B1387" s="8" t="s">
        <v>2407</v>
      </c>
      <c r="C1387" s="8" t="s">
        <v>2408</v>
      </c>
      <c r="D1387" s="8" t="s">
        <v>39</v>
      </c>
      <c r="E1387" s="8" t="s">
        <v>40</v>
      </c>
    </row>
    <row r="1388" spans="1:5">
      <c r="A1388" s="8">
        <v>3656</v>
      </c>
      <c r="B1388" s="8" t="s">
        <v>2409</v>
      </c>
      <c r="C1388" s="8" t="s">
        <v>2410</v>
      </c>
      <c r="D1388" s="8" t="s">
        <v>39</v>
      </c>
      <c r="E1388" s="8" t="s">
        <v>40</v>
      </c>
    </row>
    <row r="1389" spans="1:5">
      <c r="A1389" s="8">
        <v>3658</v>
      </c>
      <c r="B1389" s="8" t="s">
        <v>2411</v>
      </c>
      <c r="C1389" s="8" t="s">
        <v>2412</v>
      </c>
      <c r="D1389" s="8" t="s">
        <v>39</v>
      </c>
      <c r="E1389" s="8" t="s">
        <v>40</v>
      </c>
    </row>
    <row r="1390" spans="1:5">
      <c r="A1390" s="8">
        <v>3660</v>
      </c>
      <c r="B1390" s="8" t="s">
        <v>2413</v>
      </c>
      <c r="C1390" s="8" t="s">
        <v>1015</v>
      </c>
      <c r="D1390" s="8" t="s">
        <v>69</v>
      </c>
      <c r="E1390" s="8" t="s">
        <v>40</v>
      </c>
    </row>
    <row r="1391" spans="1:5">
      <c r="A1391" s="8">
        <v>3661</v>
      </c>
      <c r="B1391" s="8" t="s">
        <v>2414</v>
      </c>
      <c r="C1391" s="8" t="s">
        <v>2415</v>
      </c>
      <c r="D1391" s="8" t="s">
        <v>429</v>
      </c>
      <c r="E1391" s="8" t="s">
        <v>40</v>
      </c>
    </row>
    <row r="1392" spans="1:5">
      <c r="A1392" s="8">
        <v>3663</v>
      </c>
      <c r="B1392" s="8" t="s">
        <v>2416</v>
      </c>
      <c r="C1392" s="8" t="s">
        <v>2417</v>
      </c>
      <c r="D1392" s="8" t="s">
        <v>264</v>
      </c>
      <c r="E1392" s="8" t="s">
        <v>40</v>
      </c>
    </row>
    <row r="1393" spans="1:5">
      <c r="A1393" s="8">
        <v>3667</v>
      </c>
      <c r="B1393" s="8" t="s">
        <v>2418</v>
      </c>
      <c r="C1393" s="8" t="s">
        <v>2419</v>
      </c>
      <c r="D1393" s="8" t="s">
        <v>39</v>
      </c>
      <c r="E1393" s="8" t="s">
        <v>40</v>
      </c>
    </row>
    <row r="1394" spans="1:5">
      <c r="A1394" s="8">
        <v>3668</v>
      </c>
      <c r="B1394" s="8" t="s">
        <v>2420</v>
      </c>
      <c r="C1394" s="8" t="s">
        <v>2421</v>
      </c>
      <c r="D1394" s="8" t="s">
        <v>39</v>
      </c>
      <c r="E1394" s="8" t="s">
        <v>40</v>
      </c>
    </row>
    <row r="1395" spans="1:5">
      <c r="A1395" s="8">
        <v>3669</v>
      </c>
      <c r="B1395" s="8" t="s">
        <v>1986</v>
      </c>
      <c r="C1395" s="8" t="s">
        <v>2422</v>
      </c>
      <c r="D1395" s="8" t="s">
        <v>43</v>
      </c>
      <c r="E1395" s="8" t="s">
        <v>40</v>
      </c>
    </row>
    <row r="1396" spans="1:5">
      <c r="A1396" s="8">
        <v>3673</v>
      </c>
      <c r="B1396" s="8" t="s">
        <v>2423</v>
      </c>
      <c r="C1396" s="8" t="s">
        <v>2424</v>
      </c>
      <c r="D1396" s="8" t="s">
        <v>603</v>
      </c>
      <c r="E1396" s="8" t="s">
        <v>40</v>
      </c>
    </row>
    <row r="1397" spans="1:5">
      <c r="A1397" s="8">
        <v>3674</v>
      </c>
      <c r="B1397" s="8" t="s">
        <v>2425</v>
      </c>
      <c r="C1397" s="8" t="s">
        <v>2426</v>
      </c>
      <c r="D1397" s="8" t="s">
        <v>264</v>
      </c>
      <c r="E1397" s="8" t="s">
        <v>40</v>
      </c>
    </row>
    <row r="1398" spans="1:5">
      <c r="A1398" s="8">
        <v>3676</v>
      </c>
      <c r="B1398" s="8" t="s">
        <v>1584</v>
      </c>
      <c r="C1398" s="8" t="s">
        <v>1832</v>
      </c>
      <c r="D1398" s="8" t="s">
        <v>164</v>
      </c>
      <c r="E1398" s="8" t="s">
        <v>40</v>
      </c>
    </row>
    <row r="1399" spans="1:5">
      <c r="A1399" s="8">
        <v>3679</v>
      </c>
      <c r="B1399" s="8" t="s">
        <v>2427</v>
      </c>
      <c r="C1399" s="8" t="s">
        <v>2428</v>
      </c>
      <c r="D1399" s="8" t="s">
        <v>164</v>
      </c>
      <c r="E1399" s="8" t="s">
        <v>40</v>
      </c>
    </row>
    <row r="1400" spans="1:5">
      <c r="A1400" s="8">
        <v>3680</v>
      </c>
      <c r="B1400" s="8" t="s">
        <v>2429</v>
      </c>
      <c r="C1400" s="8" t="s">
        <v>2430</v>
      </c>
      <c r="D1400" s="8" t="s">
        <v>429</v>
      </c>
      <c r="E1400" s="8" t="s">
        <v>40</v>
      </c>
    </row>
    <row r="1401" spans="1:5">
      <c r="A1401" s="8">
        <v>3683</v>
      </c>
      <c r="B1401" s="8" t="s">
        <v>2431</v>
      </c>
      <c r="C1401" s="8" t="s">
        <v>2432</v>
      </c>
      <c r="D1401" s="8" t="s">
        <v>238</v>
      </c>
      <c r="E1401" s="8" t="s">
        <v>239</v>
      </c>
    </row>
    <row r="1402" spans="1:5">
      <c r="A1402" s="8">
        <v>3684</v>
      </c>
      <c r="B1402" s="8" t="s">
        <v>1192</v>
      </c>
      <c r="C1402" s="8" t="s">
        <v>458</v>
      </c>
      <c r="D1402" s="8" t="s">
        <v>264</v>
      </c>
      <c r="E1402" s="8" t="s">
        <v>40</v>
      </c>
    </row>
    <row r="1403" spans="1:5">
      <c r="A1403" s="8">
        <v>3688</v>
      </c>
      <c r="B1403" s="8" t="s">
        <v>2433</v>
      </c>
      <c r="C1403" s="8" t="s">
        <v>2434</v>
      </c>
      <c r="D1403" s="8" t="s">
        <v>39</v>
      </c>
      <c r="E1403" s="8" t="s">
        <v>40</v>
      </c>
    </row>
    <row r="1404" spans="1:5">
      <c r="A1404" s="8">
        <v>3691</v>
      </c>
      <c r="B1404" s="8" t="s">
        <v>112</v>
      </c>
      <c r="C1404" s="8" t="s">
        <v>2435</v>
      </c>
      <c r="D1404" s="8" t="s">
        <v>1221</v>
      </c>
      <c r="E1404" s="8" t="s">
        <v>40</v>
      </c>
    </row>
    <row r="1405" spans="1:5">
      <c r="A1405" s="8">
        <v>3692</v>
      </c>
      <c r="B1405" s="8" t="s">
        <v>2436</v>
      </c>
      <c r="C1405" s="8" t="s">
        <v>2437</v>
      </c>
      <c r="D1405" s="8" t="s">
        <v>132</v>
      </c>
      <c r="E1405" s="8" t="s">
        <v>40</v>
      </c>
    </row>
    <row r="1406" spans="1:5">
      <c r="A1406" s="8">
        <v>3693</v>
      </c>
      <c r="B1406" s="8" t="s">
        <v>2438</v>
      </c>
      <c r="C1406" s="8" t="s">
        <v>1049</v>
      </c>
      <c r="D1406" s="8" t="s">
        <v>264</v>
      </c>
      <c r="E1406" s="8" t="s">
        <v>40</v>
      </c>
    </row>
    <row r="1407" spans="1:5">
      <c r="A1407" s="8">
        <v>3694</v>
      </c>
      <c r="B1407" s="8" t="s">
        <v>2439</v>
      </c>
      <c r="C1407" s="8" t="s">
        <v>934</v>
      </c>
      <c r="D1407" s="8" t="s">
        <v>630</v>
      </c>
      <c r="E1407" s="8" t="s">
        <v>40</v>
      </c>
    </row>
    <row r="1408" spans="1:5">
      <c r="A1408" s="8">
        <v>3695</v>
      </c>
      <c r="B1408" s="8" t="s">
        <v>2440</v>
      </c>
      <c r="C1408" s="8" t="s">
        <v>2441</v>
      </c>
      <c r="D1408" s="8" t="s">
        <v>121</v>
      </c>
      <c r="E1408" s="8" t="s">
        <v>40</v>
      </c>
    </row>
    <row r="1409" spans="1:5">
      <c r="A1409" s="8">
        <v>3704</v>
      </c>
      <c r="B1409" s="8" t="s">
        <v>2442</v>
      </c>
      <c r="C1409" s="8" t="s">
        <v>2443</v>
      </c>
      <c r="D1409" s="8" t="s">
        <v>43</v>
      </c>
      <c r="E1409" s="8" t="s">
        <v>40</v>
      </c>
    </row>
    <row r="1410" spans="1:5">
      <c r="A1410" s="8">
        <v>3707</v>
      </c>
      <c r="B1410" s="8" t="s">
        <v>2444</v>
      </c>
      <c r="C1410" s="8" t="s">
        <v>2445</v>
      </c>
      <c r="D1410" s="8" t="s">
        <v>39</v>
      </c>
      <c r="E1410" s="8" t="s">
        <v>40</v>
      </c>
    </row>
    <row r="1411" spans="1:5">
      <c r="A1411" s="8">
        <v>3711</v>
      </c>
      <c r="B1411" s="8" t="s">
        <v>2446</v>
      </c>
      <c r="C1411" s="8" t="s">
        <v>2447</v>
      </c>
      <c r="D1411" s="8" t="s">
        <v>264</v>
      </c>
      <c r="E1411" s="8" t="s">
        <v>40</v>
      </c>
    </row>
    <row r="1412" spans="1:5">
      <c r="A1412" s="8">
        <v>3712</v>
      </c>
      <c r="B1412" s="8" t="s">
        <v>404</v>
      </c>
      <c r="C1412" s="8" t="s">
        <v>2448</v>
      </c>
      <c r="D1412" s="8" t="s">
        <v>603</v>
      </c>
      <c r="E1412" s="8" t="s">
        <v>40</v>
      </c>
    </row>
    <row r="1413" spans="1:5">
      <c r="A1413" s="8">
        <v>3714</v>
      </c>
      <c r="B1413" s="8" t="s">
        <v>2449</v>
      </c>
      <c r="C1413" s="8" t="s">
        <v>2370</v>
      </c>
      <c r="D1413" s="8" t="s">
        <v>438</v>
      </c>
      <c r="E1413" s="8" t="s">
        <v>40</v>
      </c>
    </row>
    <row r="1414" spans="1:5">
      <c r="A1414" s="8">
        <v>3719</v>
      </c>
      <c r="B1414" s="8" t="s">
        <v>2450</v>
      </c>
      <c r="C1414" s="8" t="s">
        <v>2451</v>
      </c>
      <c r="D1414" s="8" t="s">
        <v>201</v>
      </c>
      <c r="E1414" s="8" t="s">
        <v>40</v>
      </c>
    </row>
    <row r="1415" spans="1:5">
      <c r="A1415" s="8">
        <v>3721</v>
      </c>
      <c r="B1415" s="8" t="s">
        <v>480</v>
      </c>
      <c r="C1415" s="8" t="s">
        <v>2452</v>
      </c>
      <c r="D1415" s="8" t="s">
        <v>388</v>
      </c>
      <c r="E1415" s="8" t="s">
        <v>40</v>
      </c>
    </row>
    <row r="1416" spans="1:5">
      <c r="A1416" s="8">
        <v>3723</v>
      </c>
      <c r="B1416" s="8" t="s">
        <v>2453</v>
      </c>
      <c r="C1416" s="8" t="s">
        <v>2454</v>
      </c>
      <c r="D1416" s="8" t="s">
        <v>1221</v>
      </c>
      <c r="E1416" s="8" t="s">
        <v>40</v>
      </c>
    </row>
    <row r="1417" spans="1:5">
      <c r="A1417" s="8">
        <v>3728</v>
      </c>
      <c r="B1417" s="8" t="s">
        <v>2455</v>
      </c>
      <c r="C1417" s="8" t="s">
        <v>431</v>
      </c>
      <c r="D1417" s="8" t="s">
        <v>164</v>
      </c>
      <c r="E1417" s="8" t="s">
        <v>40</v>
      </c>
    </row>
    <row r="1418" spans="1:5">
      <c r="A1418" s="8">
        <v>3729</v>
      </c>
      <c r="B1418" s="8" t="s">
        <v>2456</v>
      </c>
      <c r="C1418" s="8" t="s">
        <v>1303</v>
      </c>
      <c r="D1418" s="8" t="s">
        <v>208</v>
      </c>
      <c r="E1418" s="8" t="s">
        <v>40</v>
      </c>
    </row>
    <row r="1419" spans="1:5">
      <c r="A1419" s="8">
        <v>3734</v>
      </c>
      <c r="B1419" s="8" t="s">
        <v>2457</v>
      </c>
      <c r="C1419" s="8" t="s">
        <v>2458</v>
      </c>
      <c r="D1419" s="8" t="s">
        <v>121</v>
      </c>
      <c r="E1419" s="8" t="s">
        <v>40</v>
      </c>
    </row>
    <row r="1420" spans="1:5">
      <c r="A1420" s="8">
        <v>3735</v>
      </c>
      <c r="B1420" s="8" t="s">
        <v>2459</v>
      </c>
      <c r="C1420" s="8" t="s">
        <v>2460</v>
      </c>
      <c r="D1420" s="8" t="s">
        <v>164</v>
      </c>
      <c r="E1420" s="8" t="s">
        <v>40</v>
      </c>
    </row>
    <row r="1421" spans="1:5">
      <c r="A1421" s="8">
        <v>3737</v>
      </c>
      <c r="B1421" s="8" t="s">
        <v>2461</v>
      </c>
      <c r="C1421" s="8" t="s">
        <v>2462</v>
      </c>
      <c r="D1421" s="8" t="s">
        <v>429</v>
      </c>
      <c r="E1421" s="8" t="s">
        <v>40</v>
      </c>
    </row>
    <row r="1422" spans="1:5">
      <c r="A1422" s="8">
        <v>3739</v>
      </c>
      <c r="B1422" s="8" t="s">
        <v>2463</v>
      </c>
      <c r="C1422" s="8" t="s">
        <v>1205</v>
      </c>
      <c r="D1422" s="8" t="s">
        <v>238</v>
      </c>
      <c r="E1422" s="8" t="s">
        <v>239</v>
      </c>
    </row>
    <row r="1423" spans="1:5">
      <c r="A1423" s="8">
        <v>3740</v>
      </c>
      <c r="B1423" s="8" t="s">
        <v>2464</v>
      </c>
      <c r="C1423" s="8" t="s">
        <v>2465</v>
      </c>
      <c r="D1423" s="8" t="s">
        <v>1221</v>
      </c>
      <c r="E1423" s="8" t="s">
        <v>40</v>
      </c>
    </row>
    <row r="1424" spans="1:5">
      <c r="A1424" s="8">
        <v>3743</v>
      </c>
      <c r="B1424" s="8" t="s">
        <v>2466</v>
      </c>
      <c r="C1424" s="8" t="s">
        <v>2467</v>
      </c>
      <c r="D1424" s="8" t="s">
        <v>164</v>
      </c>
      <c r="E1424" s="8" t="s">
        <v>40</v>
      </c>
    </row>
    <row r="1425" spans="1:5">
      <c r="A1425" s="8">
        <v>3745</v>
      </c>
      <c r="B1425" s="8" t="s">
        <v>2468</v>
      </c>
      <c r="C1425" s="8" t="s">
        <v>1319</v>
      </c>
      <c r="D1425" s="8" t="s">
        <v>1221</v>
      </c>
      <c r="E1425" s="8" t="s">
        <v>40</v>
      </c>
    </row>
    <row r="1426" spans="1:5">
      <c r="A1426" s="8">
        <v>3748</v>
      </c>
      <c r="B1426" s="8" t="s">
        <v>2469</v>
      </c>
      <c r="C1426" s="8" t="s">
        <v>2470</v>
      </c>
      <c r="D1426" s="8" t="s">
        <v>438</v>
      </c>
      <c r="E1426" s="8" t="s">
        <v>40</v>
      </c>
    </row>
    <row r="1427" spans="1:5">
      <c r="A1427" s="8">
        <v>3749</v>
      </c>
      <c r="B1427" s="8" t="s">
        <v>2471</v>
      </c>
      <c r="C1427" s="8" t="s">
        <v>858</v>
      </c>
      <c r="D1427" s="8" t="s">
        <v>43</v>
      </c>
      <c r="E1427" s="8" t="s">
        <v>40</v>
      </c>
    </row>
    <row r="1428" spans="1:5">
      <c r="A1428" s="8">
        <v>3750</v>
      </c>
      <c r="B1428" s="8" t="s">
        <v>2472</v>
      </c>
      <c r="C1428" s="8" t="s">
        <v>2473</v>
      </c>
      <c r="D1428" s="8" t="s">
        <v>1221</v>
      </c>
      <c r="E1428" s="8" t="s">
        <v>40</v>
      </c>
    </row>
    <row r="1429" spans="1:5">
      <c r="A1429" s="8">
        <v>3751</v>
      </c>
      <c r="B1429" s="8" t="s">
        <v>2474</v>
      </c>
      <c r="C1429" s="8" t="s">
        <v>2475</v>
      </c>
      <c r="D1429" s="8" t="s">
        <v>1221</v>
      </c>
      <c r="E1429" s="8" t="s">
        <v>40</v>
      </c>
    </row>
    <row r="1430" spans="1:5">
      <c r="A1430" s="8">
        <v>3753</v>
      </c>
      <c r="B1430" s="8" t="s">
        <v>2476</v>
      </c>
      <c r="C1430" s="8" t="s">
        <v>2169</v>
      </c>
      <c r="D1430" s="8" t="s">
        <v>1226</v>
      </c>
      <c r="E1430" s="8" t="s">
        <v>40</v>
      </c>
    </row>
    <row r="1431" spans="1:5">
      <c r="A1431" s="8">
        <v>3754</v>
      </c>
      <c r="B1431" s="8" t="s">
        <v>2477</v>
      </c>
      <c r="C1431" s="8" t="s">
        <v>2478</v>
      </c>
      <c r="D1431" s="8" t="s">
        <v>1221</v>
      </c>
      <c r="E1431" s="8" t="s">
        <v>40</v>
      </c>
    </row>
    <row r="1432" spans="1:5">
      <c r="A1432" s="8">
        <v>3755</v>
      </c>
      <c r="B1432" s="8" t="s">
        <v>1497</v>
      </c>
      <c r="C1432" s="8" t="s">
        <v>2157</v>
      </c>
      <c r="D1432" s="8" t="s">
        <v>1221</v>
      </c>
      <c r="E1432" s="8" t="s">
        <v>40</v>
      </c>
    </row>
    <row r="1433" spans="1:5">
      <c r="A1433" s="8">
        <v>3756</v>
      </c>
      <c r="B1433" s="8" t="s">
        <v>2479</v>
      </c>
      <c r="C1433" s="8" t="s">
        <v>1205</v>
      </c>
      <c r="D1433" s="8" t="s">
        <v>238</v>
      </c>
      <c r="E1433" s="8" t="s">
        <v>239</v>
      </c>
    </row>
    <row r="1434" spans="1:5">
      <c r="A1434" s="8">
        <v>3759</v>
      </c>
      <c r="B1434" s="8" t="s">
        <v>2480</v>
      </c>
      <c r="C1434" s="8" t="s">
        <v>2481</v>
      </c>
      <c r="D1434" s="8" t="s">
        <v>43</v>
      </c>
      <c r="E1434" s="8" t="s">
        <v>40</v>
      </c>
    </row>
    <row r="1435" spans="1:5">
      <c r="A1435" s="8">
        <v>3760</v>
      </c>
      <c r="B1435" s="8" t="s">
        <v>2482</v>
      </c>
      <c r="C1435" s="8" t="s">
        <v>414</v>
      </c>
      <c r="D1435" s="8" t="s">
        <v>54</v>
      </c>
      <c r="E1435" s="8" t="s">
        <v>40</v>
      </c>
    </row>
    <row r="1436" spans="1:5">
      <c r="A1436" s="8">
        <v>3767</v>
      </c>
      <c r="B1436" s="8" t="s">
        <v>2483</v>
      </c>
      <c r="C1436" s="8" t="s">
        <v>1122</v>
      </c>
      <c r="D1436" s="8" t="s">
        <v>39</v>
      </c>
      <c r="E1436" s="8" t="s">
        <v>40</v>
      </c>
    </row>
    <row r="1437" spans="1:5">
      <c r="A1437" s="8">
        <v>3770</v>
      </c>
      <c r="B1437" s="8" t="s">
        <v>2484</v>
      </c>
      <c r="C1437" s="8" t="s">
        <v>1683</v>
      </c>
      <c r="D1437" s="8" t="s">
        <v>39</v>
      </c>
      <c r="E1437" s="8" t="s">
        <v>40</v>
      </c>
    </row>
    <row r="1438" spans="1:5">
      <c r="A1438" s="8">
        <v>3773</v>
      </c>
      <c r="B1438" s="8" t="s">
        <v>2485</v>
      </c>
      <c r="C1438" s="8" t="s">
        <v>2486</v>
      </c>
      <c r="D1438" s="8" t="s">
        <v>39</v>
      </c>
      <c r="E1438" s="8" t="s">
        <v>40</v>
      </c>
    </row>
    <row r="1439" spans="1:5">
      <c r="A1439" s="8">
        <v>3777</v>
      </c>
      <c r="B1439" s="8" t="s">
        <v>2487</v>
      </c>
      <c r="C1439" s="8" t="s">
        <v>2488</v>
      </c>
      <c r="D1439" s="8" t="s">
        <v>81</v>
      </c>
      <c r="E1439" s="8" t="s">
        <v>40</v>
      </c>
    </row>
    <row r="1440" spans="1:5">
      <c r="A1440" s="8">
        <v>3785</v>
      </c>
      <c r="B1440" s="8" t="s">
        <v>2489</v>
      </c>
      <c r="C1440" s="8" t="s">
        <v>2490</v>
      </c>
      <c r="D1440" s="8" t="s">
        <v>92</v>
      </c>
      <c r="E1440" s="8" t="s">
        <v>40</v>
      </c>
    </row>
    <row r="1441" spans="1:5">
      <c r="A1441" s="8">
        <v>3786</v>
      </c>
      <c r="B1441" s="8" t="s">
        <v>2491</v>
      </c>
      <c r="C1441" s="8" t="s">
        <v>1755</v>
      </c>
      <c r="D1441" s="8" t="s">
        <v>264</v>
      </c>
      <c r="E1441" s="8" t="s">
        <v>40</v>
      </c>
    </row>
    <row r="1442" spans="1:5">
      <c r="A1442" s="8">
        <v>3792</v>
      </c>
      <c r="B1442" s="8" t="s">
        <v>2492</v>
      </c>
      <c r="C1442" s="8" t="s">
        <v>871</v>
      </c>
      <c r="D1442" s="8" t="s">
        <v>691</v>
      </c>
      <c r="E1442" s="8" t="s">
        <v>40</v>
      </c>
    </row>
    <row r="1443" spans="1:5">
      <c r="A1443" s="8">
        <v>3793</v>
      </c>
      <c r="B1443" s="8" t="s">
        <v>2493</v>
      </c>
      <c r="C1443" s="8" t="s">
        <v>2494</v>
      </c>
      <c r="D1443" s="8" t="s">
        <v>438</v>
      </c>
      <c r="E1443" s="8" t="s">
        <v>40</v>
      </c>
    </row>
    <row r="1444" spans="1:5">
      <c r="A1444" s="8">
        <v>3794</v>
      </c>
      <c r="B1444" s="8" t="s">
        <v>2495</v>
      </c>
      <c r="C1444" s="8" t="s">
        <v>2496</v>
      </c>
      <c r="D1444" s="8" t="s">
        <v>1461</v>
      </c>
      <c r="E1444" s="8" t="s">
        <v>1461</v>
      </c>
    </row>
    <row r="1445" spans="1:5">
      <c r="A1445" s="8">
        <v>3796</v>
      </c>
      <c r="B1445" s="8" t="s">
        <v>2497</v>
      </c>
      <c r="C1445" s="8" t="s">
        <v>508</v>
      </c>
      <c r="D1445" s="8" t="s">
        <v>429</v>
      </c>
      <c r="E1445" s="8" t="s">
        <v>40</v>
      </c>
    </row>
    <row r="1446" spans="1:5">
      <c r="A1446" s="8">
        <v>3799</v>
      </c>
      <c r="B1446" s="8" t="s">
        <v>2498</v>
      </c>
      <c r="C1446" s="8" t="s">
        <v>2499</v>
      </c>
      <c r="D1446" s="8" t="s">
        <v>54</v>
      </c>
      <c r="E1446" s="8" t="s">
        <v>40</v>
      </c>
    </row>
    <row r="1447" spans="1:5">
      <c r="A1447" s="8">
        <v>3800</v>
      </c>
      <c r="B1447" s="8" t="s">
        <v>2500</v>
      </c>
      <c r="C1447" s="8" t="s">
        <v>2501</v>
      </c>
      <c r="D1447" s="8" t="s">
        <v>388</v>
      </c>
      <c r="E1447" s="8" t="s">
        <v>40</v>
      </c>
    </row>
    <row r="1448" spans="1:5">
      <c r="A1448" s="8">
        <v>3802</v>
      </c>
      <c r="B1448" s="8" t="s">
        <v>2502</v>
      </c>
      <c r="C1448" s="8" t="s">
        <v>2503</v>
      </c>
      <c r="D1448" s="8" t="s">
        <v>164</v>
      </c>
      <c r="E1448" s="8" t="s">
        <v>40</v>
      </c>
    </row>
    <row r="1449" spans="1:5">
      <c r="A1449" s="8">
        <v>3807</v>
      </c>
      <c r="B1449" s="8" t="s">
        <v>2504</v>
      </c>
      <c r="C1449" s="8" t="s">
        <v>1303</v>
      </c>
      <c r="D1449" s="8" t="s">
        <v>208</v>
      </c>
      <c r="E1449" s="8" t="s">
        <v>40</v>
      </c>
    </row>
    <row r="1450" spans="1:5">
      <c r="A1450" s="8">
        <v>3812</v>
      </c>
      <c r="B1450" s="8" t="s">
        <v>2505</v>
      </c>
      <c r="C1450" s="8" t="s">
        <v>1938</v>
      </c>
      <c r="D1450" s="8" t="s">
        <v>264</v>
      </c>
      <c r="E1450" s="8" t="s">
        <v>40</v>
      </c>
    </row>
    <row r="1451" spans="1:5">
      <c r="A1451" s="8">
        <v>3814</v>
      </c>
      <c r="B1451" s="8" t="s">
        <v>2506</v>
      </c>
      <c r="C1451" s="8" t="s">
        <v>1173</v>
      </c>
      <c r="D1451" s="8" t="s">
        <v>495</v>
      </c>
      <c r="E1451" s="8" t="s">
        <v>40</v>
      </c>
    </row>
    <row r="1452" spans="1:5">
      <c r="A1452" s="8">
        <v>3815</v>
      </c>
      <c r="B1452" s="8" t="s">
        <v>2507</v>
      </c>
      <c r="C1452" s="8" t="s">
        <v>1163</v>
      </c>
      <c r="D1452" s="8" t="s">
        <v>630</v>
      </c>
      <c r="E1452" s="8" t="s">
        <v>40</v>
      </c>
    </row>
    <row r="1453" spans="1:5">
      <c r="A1453" s="8">
        <v>3821</v>
      </c>
      <c r="B1453" s="8" t="s">
        <v>2508</v>
      </c>
      <c r="C1453" s="8" t="s">
        <v>2509</v>
      </c>
      <c r="D1453" s="8" t="s">
        <v>495</v>
      </c>
      <c r="E1453" s="8" t="s">
        <v>40</v>
      </c>
    </row>
    <row r="1454" spans="1:5">
      <c r="A1454" s="8">
        <v>3822</v>
      </c>
      <c r="B1454" s="8" t="s">
        <v>2510</v>
      </c>
      <c r="C1454" s="8" t="s">
        <v>2511</v>
      </c>
      <c r="D1454" s="8" t="s">
        <v>429</v>
      </c>
      <c r="E1454" s="8" t="s">
        <v>40</v>
      </c>
    </row>
    <row r="1455" spans="1:5">
      <c r="A1455" s="8">
        <v>3824</v>
      </c>
      <c r="B1455" s="8" t="s">
        <v>2512</v>
      </c>
      <c r="C1455" s="8" t="s">
        <v>954</v>
      </c>
      <c r="D1455" s="8" t="s">
        <v>490</v>
      </c>
      <c r="E1455" s="8" t="s">
        <v>40</v>
      </c>
    </row>
    <row r="1456" spans="1:5">
      <c r="A1456" s="8">
        <v>3826</v>
      </c>
      <c r="B1456" s="8" t="s">
        <v>2513</v>
      </c>
      <c r="C1456" s="8" t="s">
        <v>2514</v>
      </c>
      <c r="D1456" s="8" t="s">
        <v>264</v>
      </c>
      <c r="E1456" s="8" t="s">
        <v>40</v>
      </c>
    </row>
    <row r="1457" spans="1:5">
      <c r="A1457" s="8">
        <v>3834</v>
      </c>
      <c r="B1457" s="8" t="s">
        <v>2515</v>
      </c>
      <c r="C1457" s="8" t="s">
        <v>2516</v>
      </c>
      <c r="D1457" s="8" t="s">
        <v>164</v>
      </c>
      <c r="E1457" s="8" t="s">
        <v>40</v>
      </c>
    </row>
    <row r="1458" spans="1:5">
      <c r="A1458" s="8">
        <v>3835</v>
      </c>
      <c r="B1458" s="8" t="s">
        <v>2517</v>
      </c>
      <c r="C1458" s="8" t="s">
        <v>1030</v>
      </c>
      <c r="D1458" s="8" t="s">
        <v>1031</v>
      </c>
      <c r="E1458" s="8" t="s">
        <v>1026</v>
      </c>
    </row>
    <row r="1459" spans="1:5">
      <c r="A1459" s="8">
        <v>3838</v>
      </c>
      <c r="B1459" s="8" t="s">
        <v>2518</v>
      </c>
      <c r="C1459" s="8" t="s">
        <v>243</v>
      </c>
      <c r="D1459" s="8" t="s">
        <v>54</v>
      </c>
      <c r="E1459" s="8" t="s">
        <v>40</v>
      </c>
    </row>
    <row r="1460" spans="1:5">
      <c r="A1460" s="8">
        <v>3839</v>
      </c>
      <c r="B1460" s="8" t="s">
        <v>2519</v>
      </c>
      <c r="C1460" s="8" t="s">
        <v>2520</v>
      </c>
      <c r="D1460" s="8" t="s">
        <v>1221</v>
      </c>
      <c r="E1460" s="8" t="s">
        <v>40</v>
      </c>
    </row>
    <row r="1461" spans="1:5">
      <c r="A1461" s="8">
        <v>3840</v>
      </c>
      <c r="B1461" s="8" t="s">
        <v>2521</v>
      </c>
      <c r="C1461" s="8" t="s">
        <v>2522</v>
      </c>
      <c r="D1461" s="8" t="s">
        <v>1221</v>
      </c>
      <c r="E1461" s="8" t="s">
        <v>40</v>
      </c>
    </row>
    <row r="1462" spans="1:5">
      <c r="A1462" s="8">
        <v>3843</v>
      </c>
      <c r="B1462" s="8" t="s">
        <v>2523</v>
      </c>
      <c r="C1462" s="8" t="s">
        <v>2524</v>
      </c>
      <c r="D1462" s="8" t="s">
        <v>495</v>
      </c>
      <c r="E1462" s="8" t="s">
        <v>40</v>
      </c>
    </row>
    <row r="1463" spans="1:5">
      <c r="A1463" s="8">
        <v>3844</v>
      </c>
      <c r="B1463" s="8" t="s">
        <v>2525</v>
      </c>
      <c r="C1463" s="8" t="s">
        <v>2526</v>
      </c>
      <c r="D1463" s="8" t="s">
        <v>495</v>
      </c>
      <c r="E1463" s="8" t="s">
        <v>40</v>
      </c>
    </row>
    <row r="1464" spans="1:5">
      <c r="A1464" s="8">
        <v>3845</v>
      </c>
      <c r="B1464" s="8" t="s">
        <v>2527</v>
      </c>
      <c r="C1464" s="8" t="s">
        <v>2528</v>
      </c>
      <c r="D1464" s="8" t="s">
        <v>429</v>
      </c>
      <c r="E1464" s="8" t="s">
        <v>40</v>
      </c>
    </row>
    <row r="1465" spans="1:5">
      <c r="A1465" s="8">
        <v>3847</v>
      </c>
      <c r="B1465" s="8" t="s">
        <v>2529</v>
      </c>
      <c r="C1465" s="8" t="s">
        <v>431</v>
      </c>
      <c r="D1465" s="8" t="s">
        <v>164</v>
      </c>
      <c r="E1465" s="8" t="s">
        <v>40</v>
      </c>
    </row>
    <row r="1466" spans="1:5">
      <c r="A1466" s="8">
        <v>3848</v>
      </c>
      <c r="B1466" s="8" t="s">
        <v>2530</v>
      </c>
      <c r="C1466" s="8" t="s">
        <v>2531</v>
      </c>
      <c r="D1466" s="8" t="s">
        <v>1221</v>
      </c>
      <c r="E1466" s="8" t="s">
        <v>40</v>
      </c>
    </row>
    <row r="1467" spans="1:5">
      <c r="A1467" s="8">
        <v>3851</v>
      </c>
      <c r="B1467" s="8" t="s">
        <v>2532</v>
      </c>
      <c r="C1467" s="8" t="s">
        <v>2533</v>
      </c>
      <c r="D1467" s="8" t="s">
        <v>43</v>
      </c>
      <c r="E1467" s="8" t="s">
        <v>40</v>
      </c>
    </row>
    <row r="1468" spans="1:5">
      <c r="A1468" s="8">
        <v>3853</v>
      </c>
      <c r="B1468" s="8" t="s">
        <v>2534</v>
      </c>
      <c r="C1468" s="8" t="s">
        <v>641</v>
      </c>
      <c r="D1468" s="8" t="s">
        <v>92</v>
      </c>
      <c r="E1468" s="8" t="s">
        <v>40</v>
      </c>
    </row>
    <row r="1469" spans="1:5">
      <c r="A1469" s="8">
        <v>3859</v>
      </c>
      <c r="B1469" s="8" t="s">
        <v>2535</v>
      </c>
      <c r="C1469" s="8" t="s">
        <v>1337</v>
      </c>
      <c r="D1469" s="8" t="s">
        <v>43</v>
      </c>
      <c r="E1469" s="8" t="s">
        <v>40</v>
      </c>
    </row>
    <row r="1470" spans="1:5">
      <c r="A1470" s="8">
        <v>3863</v>
      </c>
      <c r="B1470" s="8" t="s">
        <v>2536</v>
      </c>
      <c r="C1470" s="8" t="s">
        <v>2537</v>
      </c>
      <c r="D1470" s="8" t="s">
        <v>43</v>
      </c>
      <c r="E1470" s="8" t="s">
        <v>40</v>
      </c>
    </row>
    <row r="1471" spans="1:5">
      <c r="A1471" s="8">
        <v>3865</v>
      </c>
      <c r="B1471" s="8" t="s">
        <v>2538</v>
      </c>
      <c r="C1471" s="8" t="s">
        <v>2539</v>
      </c>
      <c r="D1471" s="8" t="s">
        <v>79</v>
      </c>
      <c r="E1471" s="8" t="s">
        <v>40</v>
      </c>
    </row>
    <row r="1472" spans="1:5">
      <c r="A1472" s="8">
        <v>3871</v>
      </c>
      <c r="B1472" s="8" t="s">
        <v>2540</v>
      </c>
      <c r="C1472" s="8" t="s">
        <v>2541</v>
      </c>
      <c r="D1472" s="8" t="s">
        <v>1221</v>
      </c>
      <c r="E1472" s="8" t="s">
        <v>40</v>
      </c>
    </row>
    <row r="1473" spans="1:5">
      <c r="A1473" s="8">
        <v>3875</v>
      </c>
      <c r="B1473" s="8" t="s">
        <v>2542</v>
      </c>
      <c r="C1473" s="8" t="s">
        <v>2543</v>
      </c>
      <c r="D1473" s="8" t="s">
        <v>39</v>
      </c>
      <c r="E1473" s="8" t="s">
        <v>40</v>
      </c>
    </row>
    <row r="1474" spans="1:5">
      <c r="A1474" s="8">
        <v>3876</v>
      </c>
      <c r="B1474" s="8" t="s">
        <v>2544</v>
      </c>
      <c r="C1474" s="8" t="s">
        <v>2545</v>
      </c>
      <c r="D1474" s="8" t="s">
        <v>264</v>
      </c>
      <c r="E1474" s="8" t="s">
        <v>40</v>
      </c>
    </row>
    <row r="1475" spans="1:5">
      <c r="A1475" s="8">
        <v>3878</v>
      </c>
      <c r="B1475" s="8" t="s">
        <v>884</v>
      </c>
      <c r="C1475" s="8" t="s">
        <v>2546</v>
      </c>
      <c r="D1475" s="8" t="s">
        <v>388</v>
      </c>
      <c r="E1475" s="8" t="s">
        <v>40</v>
      </c>
    </row>
    <row r="1476" spans="1:5">
      <c r="A1476" s="8">
        <v>3880</v>
      </c>
      <c r="B1476" s="8" t="s">
        <v>2547</v>
      </c>
      <c r="C1476" s="8" t="s">
        <v>2548</v>
      </c>
      <c r="D1476" s="8" t="s">
        <v>388</v>
      </c>
      <c r="E1476" s="8" t="s">
        <v>40</v>
      </c>
    </row>
    <row r="1477" spans="1:5">
      <c r="A1477" s="8">
        <v>3881</v>
      </c>
      <c r="B1477" s="8" t="s">
        <v>2549</v>
      </c>
      <c r="C1477" s="8" t="s">
        <v>2548</v>
      </c>
      <c r="D1477" s="8" t="s">
        <v>388</v>
      </c>
      <c r="E1477" s="8" t="s">
        <v>40</v>
      </c>
    </row>
    <row r="1478" spans="1:5">
      <c r="A1478" s="8">
        <v>3882</v>
      </c>
      <c r="B1478" s="8" t="s">
        <v>2550</v>
      </c>
      <c r="C1478" s="8" t="s">
        <v>2551</v>
      </c>
      <c r="D1478" s="8" t="s">
        <v>388</v>
      </c>
      <c r="E1478" s="8" t="s">
        <v>40</v>
      </c>
    </row>
    <row r="1479" spans="1:5">
      <c r="A1479" s="8">
        <v>3883</v>
      </c>
      <c r="B1479" s="8" t="s">
        <v>2552</v>
      </c>
      <c r="C1479" s="8" t="s">
        <v>2553</v>
      </c>
      <c r="D1479" s="8" t="s">
        <v>1221</v>
      </c>
      <c r="E1479" s="8" t="s">
        <v>40</v>
      </c>
    </row>
    <row r="1480" spans="1:5">
      <c r="A1480" s="8">
        <v>3925</v>
      </c>
      <c r="B1480" s="8" t="s">
        <v>2554</v>
      </c>
      <c r="C1480" s="8" t="s">
        <v>2555</v>
      </c>
      <c r="D1480" s="8" t="s">
        <v>43</v>
      </c>
      <c r="E1480" s="8" t="s">
        <v>40</v>
      </c>
    </row>
    <row r="1481" spans="1:5">
      <c r="A1481" s="8">
        <v>3926</v>
      </c>
      <c r="B1481" s="8" t="s">
        <v>2556</v>
      </c>
      <c r="C1481" s="8" t="s">
        <v>1319</v>
      </c>
      <c r="D1481" s="8" t="s">
        <v>1221</v>
      </c>
      <c r="E1481" s="8" t="s">
        <v>40</v>
      </c>
    </row>
    <row r="1482" spans="1:5">
      <c r="A1482" s="8">
        <v>3928</v>
      </c>
      <c r="B1482" s="8" t="s">
        <v>2557</v>
      </c>
      <c r="C1482" s="8" t="s">
        <v>2558</v>
      </c>
      <c r="D1482" s="8" t="s">
        <v>213</v>
      </c>
      <c r="E1482" s="8" t="s">
        <v>40</v>
      </c>
    </row>
    <row r="1483" spans="1:5">
      <c r="A1483" s="8">
        <v>3929</v>
      </c>
      <c r="B1483" s="8" t="s">
        <v>2559</v>
      </c>
      <c r="C1483" s="8" t="s">
        <v>351</v>
      </c>
      <c r="D1483" s="8" t="s">
        <v>97</v>
      </c>
      <c r="E1483" s="8" t="s">
        <v>40</v>
      </c>
    </row>
    <row r="1484" spans="1:5">
      <c r="A1484" s="8">
        <v>3930</v>
      </c>
      <c r="B1484" s="8" t="s">
        <v>2560</v>
      </c>
      <c r="C1484" s="8" t="s">
        <v>2561</v>
      </c>
      <c r="D1484" s="8" t="s">
        <v>87</v>
      </c>
      <c r="E1484" s="8" t="s">
        <v>40</v>
      </c>
    </row>
    <row r="1485" spans="1:5">
      <c r="A1485" s="8">
        <v>3931</v>
      </c>
      <c r="B1485" s="8" t="s">
        <v>2562</v>
      </c>
      <c r="C1485" s="8" t="s">
        <v>2563</v>
      </c>
      <c r="D1485" s="8" t="s">
        <v>69</v>
      </c>
      <c r="E1485" s="8" t="s">
        <v>40</v>
      </c>
    </row>
    <row r="1486" spans="1:5">
      <c r="A1486" s="8">
        <v>3932</v>
      </c>
      <c r="B1486" s="8" t="s">
        <v>2564</v>
      </c>
      <c r="C1486" s="8" t="s">
        <v>2565</v>
      </c>
      <c r="D1486" s="8" t="s">
        <v>57</v>
      </c>
      <c r="E1486" s="8" t="s">
        <v>40</v>
      </c>
    </row>
    <row r="1487" spans="1:5">
      <c r="A1487" s="8">
        <v>3933</v>
      </c>
      <c r="B1487" s="8" t="s">
        <v>2566</v>
      </c>
      <c r="C1487" s="8" t="s">
        <v>1461</v>
      </c>
      <c r="D1487" s="8" t="s">
        <v>1460</v>
      </c>
      <c r="E1487" s="8" t="s">
        <v>1461</v>
      </c>
    </row>
    <row r="1488" spans="1:5">
      <c r="A1488" s="8">
        <v>3936</v>
      </c>
      <c r="B1488" s="8" t="s">
        <v>2567</v>
      </c>
      <c r="C1488" s="8" t="s">
        <v>2568</v>
      </c>
      <c r="D1488" s="8" t="s">
        <v>79</v>
      </c>
      <c r="E1488" s="8" t="s">
        <v>40</v>
      </c>
    </row>
    <row r="1489" spans="1:5">
      <c r="A1489" s="8">
        <v>3937</v>
      </c>
      <c r="B1489" s="8" t="s">
        <v>2569</v>
      </c>
      <c r="C1489" s="8" t="s">
        <v>2570</v>
      </c>
      <c r="D1489" s="8" t="s">
        <v>51</v>
      </c>
      <c r="E1489" s="8" t="s">
        <v>40</v>
      </c>
    </row>
    <row r="1490" spans="1:5">
      <c r="A1490" s="8">
        <v>3939</v>
      </c>
      <c r="B1490" s="8" t="s">
        <v>2571</v>
      </c>
      <c r="C1490" s="8" t="s">
        <v>2572</v>
      </c>
      <c r="D1490" s="8" t="s">
        <v>159</v>
      </c>
      <c r="E1490" s="8" t="s">
        <v>40</v>
      </c>
    </row>
    <row r="1491" spans="1:5">
      <c r="A1491" s="8">
        <v>3940</v>
      </c>
      <c r="B1491" s="8" t="s">
        <v>2573</v>
      </c>
      <c r="C1491" s="8" t="s">
        <v>78</v>
      </c>
      <c r="D1491" s="8" t="s">
        <v>79</v>
      </c>
      <c r="E1491" s="8" t="s">
        <v>40</v>
      </c>
    </row>
    <row r="1492" spans="1:5">
      <c r="A1492" s="8">
        <v>3941</v>
      </c>
      <c r="B1492" s="8" t="s">
        <v>2574</v>
      </c>
      <c r="C1492" s="8" t="s">
        <v>2575</v>
      </c>
      <c r="D1492" s="8" t="s">
        <v>438</v>
      </c>
      <c r="E1492" s="8" t="s">
        <v>40</v>
      </c>
    </row>
    <row r="1493" spans="1:5">
      <c r="A1493" s="8">
        <v>3944</v>
      </c>
      <c r="B1493" s="8" t="s">
        <v>2576</v>
      </c>
      <c r="C1493" s="8" t="s">
        <v>966</v>
      </c>
      <c r="D1493" s="8" t="s">
        <v>92</v>
      </c>
      <c r="E1493" s="8" t="s">
        <v>40</v>
      </c>
    </row>
    <row r="1494" spans="1:5">
      <c r="A1494" s="8">
        <v>3946</v>
      </c>
      <c r="B1494" s="8" t="s">
        <v>2577</v>
      </c>
      <c r="C1494" s="8" t="s">
        <v>1256</v>
      </c>
      <c r="D1494" s="8" t="s">
        <v>1226</v>
      </c>
      <c r="E1494" s="8" t="s">
        <v>40</v>
      </c>
    </row>
    <row r="1495" spans="1:5">
      <c r="A1495" s="8">
        <v>3947</v>
      </c>
      <c r="B1495" s="8" t="s">
        <v>2578</v>
      </c>
      <c r="C1495" s="8" t="s">
        <v>2579</v>
      </c>
      <c r="D1495" s="8" t="s">
        <v>79</v>
      </c>
      <c r="E1495" s="8" t="s">
        <v>40</v>
      </c>
    </row>
    <row r="1496" spans="1:5">
      <c r="A1496" s="8">
        <v>3950</v>
      </c>
      <c r="B1496" s="8" t="s">
        <v>2580</v>
      </c>
      <c r="C1496" s="8" t="s">
        <v>2581</v>
      </c>
      <c r="D1496" s="8" t="s">
        <v>54</v>
      </c>
      <c r="E1496" s="8" t="s">
        <v>40</v>
      </c>
    </row>
    <row r="1497" spans="1:5">
      <c r="A1497" s="8">
        <v>3951</v>
      </c>
      <c r="B1497" s="8" t="s">
        <v>2582</v>
      </c>
      <c r="C1497" s="8" t="s">
        <v>2583</v>
      </c>
      <c r="D1497" s="8" t="s">
        <v>54</v>
      </c>
      <c r="E1497" s="8" t="s">
        <v>40</v>
      </c>
    </row>
    <row r="1498" spans="1:5">
      <c r="A1498" s="8">
        <v>3952</v>
      </c>
      <c r="B1498" s="8" t="s">
        <v>2584</v>
      </c>
      <c r="C1498" s="8" t="s">
        <v>2585</v>
      </c>
      <c r="D1498" s="8" t="s">
        <v>43</v>
      </c>
      <c r="E1498" s="8" t="s">
        <v>40</v>
      </c>
    </row>
    <row r="1499" spans="1:5">
      <c r="A1499" s="8">
        <v>3953</v>
      </c>
      <c r="B1499" s="8" t="s">
        <v>2586</v>
      </c>
      <c r="C1499" s="8" t="s">
        <v>2587</v>
      </c>
      <c r="D1499" s="8" t="s">
        <v>43</v>
      </c>
      <c r="E1499" s="8" t="s">
        <v>40</v>
      </c>
    </row>
    <row r="1500" spans="1:5">
      <c r="A1500" s="8">
        <v>3954</v>
      </c>
      <c r="B1500" s="8" t="s">
        <v>2588</v>
      </c>
      <c r="C1500" s="8" t="s">
        <v>2589</v>
      </c>
      <c r="D1500" s="8" t="s">
        <v>97</v>
      </c>
      <c r="E1500" s="8" t="s">
        <v>40</v>
      </c>
    </row>
    <row r="1501" spans="1:5">
      <c r="A1501" s="8">
        <v>3955</v>
      </c>
      <c r="B1501" s="8" t="s">
        <v>2590</v>
      </c>
      <c r="C1501" s="8" t="s">
        <v>2591</v>
      </c>
      <c r="D1501" s="8" t="s">
        <v>97</v>
      </c>
      <c r="E1501" s="8" t="s">
        <v>40</v>
      </c>
    </row>
    <row r="1502" spans="1:5">
      <c r="A1502" s="8">
        <v>3957</v>
      </c>
      <c r="B1502" s="8" t="s">
        <v>2592</v>
      </c>
      <c r="C1502" s="8" t="s">
        <v>2593</v>
      </c>
      <c r="D1502" s="8" t="s">
        <v>97</v>
      </c>
      <c r="E1502" s="8" t="s">
        <v>40</v>
      </c>
    </row>
    <row r="1503" spans="1:5">
      <c r="A1503" s="8">
        <v>3958</v>
      </c>
      <c r="B1503" s="8" t="s">
        <v>2594</v>
      </c>
      <c r="C1503" s="8" t="s">
        <v>174</v>
      </c>
      <c r="D1503" s="8" t="s">
        <v>60</v>
      </c>
      <c r="E1503" s="8" t="s">
        <v>40</v>
      </c>
    </row>
    <row r="1504" spans="1:5">
      <c r="A1504" s="8">
        <v>3959</v>
      </c>
      <c r="B1504" s="8" t="s">
        <v>2595</v>
      </c>
      <c r="C1504" s="8" t="s">
        <v>145</v>
      </c>
      <c r="D1504" s="8" t="s">
        <v>74</v>
      </c>
      <c r="E1504" s="8" t="s">
        <v>40</v>
      </c>
    </row>
    <row r="1505" spans="1:5">
      <c r="A1505" s="8">
        <v>3965</v>
      </c>
      <c r="B1505" s="8" t="s">
        <v>2596</v>
      </c>
      <c r="C1505" s="8" t="s">
        <v>2597</v>
      </c>
      <c r="D1505" s="8" t="s">
        <v>43</v>
      </c>
      <c r="E1505" s="8" t="s">
        <v>40</v>
      </c>
    </row>
    <row r="1506" spans="1:5">
      <c r="A1506" s="8">
        <v>3966</v>
      </c>
      <c r="B1506" s="8" t="s">
        <v>2598</v>
      </c>
      <c r="C1506" s="8" t="s">
        <v>954</v>
      </c>
      <c r="D1506" s="8" t="s">
        <v>490</v>
      </c>
      <c r="E1506" s="8" t="s">
        <v>40</v>
      </c>
    </row>
    <row r="1507" spans="1:5">
      <c r="A1507" s="8">
        <v>3970</v>
      </c>
      <c r="B1507" s="8" t="s">
        <v>2599</v>
      </c>
      <c r="C1507" s="8" t="s">
        <v>940</v>
      </c>
      <c r="D1507" s="8" t="s">
        <v>43</v>
      </c>
      <c r="E1507" s="8" t="s">
        <v>40</v>
      </c>
    </row>
    <row r="1508" spans="1:5">
      <c r="A1508" s="8">
        <v>3974</v>
      </c>
      <c r="B1508" s="8" t="s">
        <v>2600</v>
      </c>
      <c r="C1508" s="8" t="s">
        <v>424</v>
      </c>
      <c r="D1508" s="8" t="s">
        <v>97</v>
      </c>
      <c r="E1508" s="8" t="s">
        <v>40</v>
      </c>
    </row>
    <row r="1509" spans="1:5">
      <c r="A1509" s="8">
        <v>3975</v>
      </c>
      <c r="B1509" s="8" t="s">
        <v>2601</v>
      </c>
      <c r="C1509" s="8" t="s">
        <v>2196</v>
      </c>
      <c r="D1509" s="8" t="s">
        <v>335</v>
      </c>
      <c r="E1509" s="8" t="s">
        <v>239</v>
      </c>
    </row>
    <row r="1510" spans="1:5">
      <c r="A1510" s="8">
        <v>3976</v>
      </c>
      <c r="B1510" s="8" t="s">
        <v>2602</v>
      </c>
      <c r="C1510" s="8" t="s">
        <v>1323</v>
      </c>
      <c r="D1510" s="8" t="s">
        <v>319</v>
      </c>
      <c r="E1510" s="8" t="s">
        <v>40</v>
      </c>
    </row>
    <row r="1511" spans="1:5">
      <c r="A1511" s="8">
        <v>3981</v>
      </c>
      <c r="B1511" s="8" t="s">
        <v>2603</v>
      </c>
      <c r="C1511" s="8" t="s">
        <v>2196</v>
      </c>
      <c r="D1511" s="8" t="s">
        <v>335</v>
      </c>
      <c r="E1511" s="8" t="s">
        <v>239</v>
      </c>
    </row>
    <row r="1512" spans="1:5">
      <c r="A1512" s="8">
        <v>3984</v>
      </c>
      <c r="B1512" s="8" t="s">
        <v>2604</v>
      </c>
      <c r="C1512" s="8" t="s">
        <v>2605</v>
      </c>
      <c r="D1512" s="8" t="s">
        <v>490</v>
      </c>
      <c r="E1512" s="8" t="s">
        <v>40</v>
      </c>
    </row>
    <row r="1513" spans="1:5">
      <c r="A1513" s="8">
        <v>3985</v>
      </c>
      <c r="B1513" s="8" t="s">
        <v>2606</v>
      </c>
      <c r="C1513" s="8" t="s">
        <v>2196</v>
      </c>
      <c r="D1513" s="8" t="s">
        <v>335</v>
      </c>
      <c r="E1513" s="8" t="s">
        <v>239</v>
      </c>
    </row>
    <row r="1514" spans="1:5">
      <c r="A1514" s="8">
        <v>3986</v>
      </c>
      <c r="B1514" s="8" t="s">
        <v>2607</v>
      </c>
      <c r="C1514" s="8" t="s">
        <v>2608</v>
      </c>
      <c r="D1514" s="8" t="s">
        <v>335</v>
      </c>
      <c r="E1514" s="8" t="s">
        <v>239</v>
      </c>
    </row>
    <row r="1515" spans="1:5">
      <c r="A1515" s="8">
        <v>3988</v>
      </c>
      <c r="B1515" s="8" t="s">
        <v>2609</v>
      </c>
      <c r="C1515" s="8" t="s">
        <v>2196</v>
      </c>
      <c r="D1515" s="8" t="s">
        <v>335</v>
      </c>
      <c r="E1515" s="8" t="s">
        <v>239</v>
      </c>
    </row>
    <row r="1516" spans="1:5">
      <c r="A1516" s="8">
        <v>3990</v>
      </c>
      <c r="B1516" s="8" t="s">
        <v>2610</v>
      </c>
      <c r="C1516" s="8" t="s">
        <v>334</v>
      </c>
      <c r="D1516" s="8" t="s">
        <v>335</v>
      </c>
      <c r="E1516" s="8" t="s">
        <v>239</v>
      </c>
    </row>
    <row r="1517" spans="1:5">
      <c r="A1517" s="8">
        <v>3991</v>
      </c>
      <c r="B1517" s="8" t="s">
        <v>2611</v>
      </c>
      <c r="C1517" s="8" t="s">
        <v>2169</v>
      </c>
      <c r="D1517" s="8" t="s">
        <v>1226</v>
      </c>
      <c r="E1517" s="8" t="s">
        <v>40</v>
      </c>
    </row>
    <row r="1518" spans="1:5">
      <c r="A1518" s="8">
        <v>3993</v>
      </c>
      <c r="B1518" s="8" t="s">
        <v>2612</v>
      </c>
      <c r="C1518" s="8" t="s">
        <v>2613</v>
      </c>
      <c r="D1518" s="8" t="s">
        <v>43</v>
      </c>
      <c r="E1518" s="8" t="s">
        <v>40</v>
      </c>
    </row>
    <row r="1519" spans="1:5">
      <c r="A1519" s="8">
        <v>3996</v>
      </c>
      <c r="B1519" s="8" t="s">
        <v>2614</v>
      </c>
      <c r="C1519" s="8" t="s">
        <v>2615</v>
      </c>
      <c r="D1519" s="8" t="s">
        <v>335</v>
      </c>
      <c r="E1519" s="8" t="s">
        <v>239</v>
      </c>
    </row>
    <row r="1520" spans="1:5">
      <c r="A1520" s="8">
        <v>3997</v>
      </c>
      <c r="B1520" s="8" t="s">
        <v>2616</v>
      </c>
      <c r="C1520" s="8" t="s">
        <v>445</v>
      </c>
      <c r="D1520" s="8" t="s">
        <v>164</v>
      </c>
      <c r="E1520" s="8" t="s">
        <v>40</v>
      </c>
    </row>
    <row r="1521" spans="1:5">
      <c r="A1521" s="8">
        <v>3998</v>
      </c>
      <c r="B1521" s="8" t="s">
        <v>2617</v>
      </c>
      <c r="C1521" s="8" t="s">
        <v>2618</v>
      </c>
      <c r="D1521" s="8" t="s">
        <v>630</v>
      </c>
      <c r="E1521" s="8" t="s">
        <v>40</v>
      </c>
    </row>
    <row r="1522" spans="1:5">
      <c r="A1522" s="8">
        <v>3999</v>
      </c>
      <c r="B1522" s="8" t="s">
        <v>2619</v>
      </c>
      <c r="C1522" s="8" t="s">
        <v>551</v>
      </c>
      <c r="D1522" s="8" t="s">
        <v>164</v>
      </c>
      <c r="E1522" s="8" t="s">
        <v>40</v>
      </c>
    </row>
    <row r="1523" spans="1:5">
      <c r="A1523" s="8">
        <v>4001</v>
      </c>
      <c r="B1523" s="8" t="s">
        <v>2620</v>
      </c>
      <c r="C1523" s="8" t="s">
        <v>2621</v>
      </c>
      <c r="D1523" s="8" t="s">
        <v>238</v>
      </c>
      <c r="E1523" s="8" t="s">
        <v>239</v>
      </c>
    </row>
    <row r="1524" spans="1:5">
      <c r="A1524" s="8">
        <v>4003</v>
      </c>
      <c r="B1524" s="8" t="s">
        <v>2622</v>
      </c>
      <c r="C1524" s="8" t="s">
        <v>2623</v>
      </c>
      <c r="D1524" s="8" t="s">
        <v>39</v>
      </c>
      <c r="E1524" s="8" t="s">
        <v>40</v>
      </c>
    </row>
    <row r="1525" spans="1:5">
      <c r="A1525" s="8">
        <v>4004</v>
      </c>
      <c r="B1525" s="8" t="s">
        <v>2624</v>
      </c>
      <c r="C1525" s="8" t="s">
        <v>2340</v>
      </c>
      <c r="D1525" s="8" t="s">
        <v>39</v>
      </c>
      <c r="E1525" s="8" t="s">
        <v>40</v>
      </c>
    </row>
    <row r="1526" spans="1:5">
      <c r="A1526" s="8">
        <v>4005</v>
      </c>
      <c r="B1526" s="8" t="s">
        <v>2625</v>
      </c>
      <c r="C1526" s="8" t="s">
        <v>2626</v>
      </c>
      <c r="D1526" s="8" t="s">
        <v>69</v>
      </c>
      <c r="E1526" s="8" t="s">
        <v>40</v>
      </c>
    </row>
    <row r="1527" spans="1:5">
      <c r="A1527" s="8">
        <v>4006</v>
      </c>
      <c r="B1527" s="8" t="s">
        <v>2627</v>
      </c>
      <c r="C1527" s="8" t="s">
        <v>2628</v>
      </c>
      <c r="D1527" s="8" t="s">
        <v>54</v>
      </c>
      <c r="E1527" s="8" t="s">
        <v>40</v>
      </c>
    </row>
    <row r="1528" spans="1:5">
      <c r="A1528" s="8">
        <v>4008</v>
      </c>
      <c r="B1528" s="8" t="s">
        <v>2629</v>
      </c>
      <c r="C1528" s="8" t="s">
        <v>2630</v>
      </c>
      <c r="D1528" s="8" t="s">
        <v>79</v>
      </c>
      <c r="E1528" s="8" t="s">
        <v>40</v>
      </c>
    </row>
    <row r="1529" spans="1:5">
      <c r="A1529" s="8">
        <v>4009</v>
      </c>
      <c r="B1529" s="8" t="s">
        <v>2631</v>
      </c>
      <c r="C1529" s="8" t="s">
        <v>1591</v>
      </c>
      <c r="D1529" s="8" t="s">
        <v>1221</v>
      </c>
      <c r="E1529" s="8" t="s">
        <v>40</v>
      </c>
    </row>
    <row r="1530" spans="1:5">
      <c r="A1530" s="8">
        <v>4010</v>
      </c>
      <c r="B1530" s="8" t="s">
        <v>2632</v>
      </c>
      <c r="C1530" s="8" t="s">
        <v>2633</v>
      </c>
      <c r="D1530" s="8" t="s">
        <v>1460</v>
      </c>
      <c r="E1530" s="8" t="s">
        <v>1461</v>
      </c>
    </row>
    <row r="1531" spans="1:5">
      <c r="A1531" s="8">
        <v>4011</v>
      </c>
      <c r="B1531" s="8" t="s">
        <v>2634</v>
      </c>
      <c r="C1531" s="8" t="s">
        <v>2635</v>
      </c>
      <c r="D1531" s="8" t="s">
        <v>132</v>
      </c>
      <c r="E1531" s="8" t="s">
        <v>40</v>
      </c>
    </row>
    <row r="1532" spans="1:5">
      <c r="A1532" s="8">
        <v>4012</v>
      </c>
      <c r="B1532" s="8" t="s">
        <v>2636</v>
      </c>
      <c r="C1532" s="8" t="s">
        <v>401</v>
      </c>
      <c r="D1532" s="8" t="s">
        <v>54</v>
      </c>
      <c r="E1532" s="8" t="s">
        <v>40</v>
      </c>
    </row>
    <row r="1533" spans="1:5">
      <c r="A1533" s="8">
        <v>4013</v>
      </c>
      <c r="B1533" s="8" t="s">
        <v>2637</v>
      </c>
      <c r="C1533" s="8" t="s">
        <v>701</v>
      </c>
      <c r="D1533" s="8" t="s">
        <v>57</v>
      </c>
      <c r="E1533" s="8" t="s">
        <v>40</v>
      </c>
    </row>
    <row r="1534" spans="1:5">
      <c r="A1534" s="8">
        <v>4014</v>
      </c>
      <c r="B1534" s="8" t="s">
        <v>2638</v>
      </c>
      <c r="C1534" s="8" t="s">
        <v>2428</v>
      </c>
      <c r="D1534" s="8" t="s">
        <v>43</v>
      </c>
      <c r="E1534" s="8" t="s">
        <v>40</v>
      </c>
    </row>
    <row r="1535" spans="1:5">
      <c r="A1535" s="8">
        <v>4015</v>
      </c>
      <c r="B1535" s="8" t="s">
        <v>2639</v>
      </c>
      <c r="C1535" s="8" t="s">
        <v>829</v>
      </c>
      <c r="D1535" s="8" t="s">
        <v>238</v>
      </c>
      <c r="E1535" s="8" t="s">
        <v>239</v>
      </c>
    </row>
    <row r="1536" spans="1:5">
      <c r="A1536" s="8">
        <v>4019</v>
      </c>
      <c r="B1536" s="8" t="s">
        <v>2640</v>
      </c>
      <c r="C1536" s="8" t="s">
        <v>513</v>
      </c>
      <c r="D1536" s="8" t="s">
        <v>43</v>
      </c>
      <c r="E1536" s="8" t="s">
        <v>40</v>
      </c>
    </row>
    <row r="1537" spans="1:5">
      <c r="A1537" s="8">
        <v>4020</v>
      </c>
      <c r="B1537" s="8" t="s">
        <v>2641</v>
      </c>
      <c r="C1537" s="8" t="s">
        <v>2642</v>
      </c>
      <c r="D1537" s="8" t="s">
        <v>490</v>
      </c>
      <c r="E1537" s="8" t="s">
        <v>40</v>
      </c>
    </row>
    <row r="1538" spans="1:5">
      <c r="A1538" s="8">
        <v>4021</v>
      </c>
      <c r="B1538" s="8" t="s">
        <v>2643</v>
      </c>
      <c r="C1538" s="8" t="s">
        <v>2644</v>
      </c>
      <c r="D1538" s="8" t="s">
        <v>132</v>
      </c>
      <c r="E1538" s="8" t="s">
        <v>40</v>
      </c>
    </row>
    <row r="1539" spans="1:5">
      <c r="A1539" s="8">
        <v>4023</v>
      </c>
      <c r="B1539" s="8" t="s">
        <v>2645</v>
      </c>
      <c r="C1539" s="8" t="s">
        <v>2646</v>
      </c>
      <c r="D1539" s="8" t="s">
        <v>54</v>
      </c>
      <c r="E1539" s="8" t="s">
        <v>40</v>
      </c>
    </row>
    <row r="1540" spans="1:5">
      <c r="A1540" s="8">
        <v>4024</v>
      </c>
      <c r="B1540" s="8" t="s">
        <v>2647</v>
      </c>
      <c r="C1540" s="8" t="s">
        <v>2648</v>
      </c>
      <c r="D1540" s="8" t="s">
        <v>57</v>
      </c>
      <c r="E1540" s="8" t="s">
        <v>40</v>
      </c>
    </row>
    <row r="1541" spans="1:5">
      <c r="A1541" s="8">
        <v>4026</v>
      </c>
      <c r="B1541" s="8" t="s">
        <v>2649</v>
      </c>
      <c r="C1541" s="8" t="s">
        <v>2650</v>
      </c>
      <c r="D1541" s="8" t="s">
        <v>630</v>
      </c>
      <c r="E1541" s="8" t="s">
        <v>40</v>
      </c>
    </row>
    <row r="1542" spans="1:5">
      <c r="A1542" s="8">
        <v>4027</v>
      </c>
      <c r="B1542" s="8" t="s">
        <v>2651</v>
      </c>
      <c r="C1542" s="8" t="s">
        <v>2652</v>
      </c>
      <c r="D1542" s="8" t="s">
        <v>97</v>
      </c>
      <c r="E1542" s="8" t="s">
        <v>40</v>
      </c>
    </row>
    <row r="1543" spans="1:5">
      <c r="A1543" s="8">
        <v>4028</v>
      </c>
      <c r="B1543" s="8" t="s">
        <v>2653</v>
      </c>
      <c r="C1543" s="8" t="s">
        <v>192</v>
      </c>
      <c r="D1543" s="8" t="s">
        <v>81</v>
      </c>
      <c r="E1543" s="8" t="s">
        <v>40</v>
      </c>
    </row>
    <row r="1544" spans="1:5">
      <c r="A1544" s="8">
        <v>4034</v>
      </c>
      <c r="B1544" s="8" t="s">
        <v>2654</v>
      </c>
      <c r="C1544" s="8" t="s">
        <v>2655</v>
      </c>
      <c r="D1544" s="8" t="s">
        <v>181</v>
      </c>
      <c r="E1544" s="8" t="s">
        <v>40</v>
      </c>
    </row>
    <row r="1545" spans="1:5">
      <c r="A1545" s="8">
        <v>4035</v>
      </c>
      <c r="B1545" s="8" t="s">
        <v>2656</v>
      </c>
      <c r="C1545" s="8" t="s">
        <v>2657</v>
      </c>
      <c r="D1545" s="8" t="s">
        <v>48</v>
      </c>
      <c r="E1545" s="8" t="s">
        <v>40</v>
      </c>
    </row>
    <row r="1546" spans="1:5">
      <c r="A1546" s="8">
        <v>4039</v>
      </c>
      <c r="B1546" s="8" t="s">
        <v>2658</v>
      </c>
      <c r="C1546" s="8" t="s">
        <v>1403</v>
      </c>
      <c r="D1546" s="8" t="s">
        <v>238</v>
      </c>
      <c r="E1546" s="8" t="s">
        <v>239</v>
      </c>
    </row>
    <row r="1547" spans="1:5">
      <c r="A1547" s="8">
        <v>4041</v>
      </c>
      <c r="B1547" s="8" t="s">
        <v>2659</v>
      </c>
      <c r="C1547" s="8" t="s">
        <v>2660</v>
      </c>
      <c r="D1547" s="8" t="s">
        <v>87</v>
      </c>
      <c r="E1547" s="8" t="s">
        <v>40</v>
      </c>
    </row>
    <row r="1548" spans="1:5">
      <c r="A1548" s="8">
        <v>4042</v>
      </c>
      <c r="B1548" s="8" t="s">
        <v>2661</v>
      </c>
      <c r="C1548" s="8" t="s">
        <v>2662</v>
      </c>
      <c r="D1548" s="8" t="s">
        <v>87</v>
      </c>
      <c r="E1548" s="8" t="s">
        <v>40</v>
      </c>
    </row>
    <row r="1549" spans="1:5">
      <c r="A1549" s="8">
        <v>4043</v>
      </c>
      <c r="B1549" s="8" t="s">
        <v>2663</v>
      </c>
      <c r="C1549" s="8" t="s">
        <v>2664</v>
      </c>
      <c r="D1549" s="8" t="s">
        <v>603</v>
      </c>
      <c r="E1549" s="8" t="s">
        <v>40</v>
      </c>
    </row>
    <row r="1550" spans="1:5">
      <c r="A1550" s="8">
        <v>4048</v>
      </c>
      <c r="B1550" s="8" t="s">
        <v>2665</v>
      </c>
      <c r="C1550" s="8" t="s">
        <v>2666</v>
      </c>
      <c r="D1550" s="8" t="s">
        <v>60</v>
      </c>
      <c r="E1550" s="8" t="s">
        <v>40</v>
      </c>
    </row>
    <row r="1551" spans="1:5">
      <c r="A1551" s="8">
        <v>4049</v>
      </c>
      <c r="B1551" s="8" t="s">
        <v>2667</v>
      </c>
      <c r="C1551" s="8" t="s">
        <v>2668</v>
      </c>
      <c r="D1551" s="8" t="s">
        <v>97</v>
      </c>
      <c r="E1551" s="8" t="s">
        <v>40</v>
      </c>
    </row>
    <row r="1552" spans="1:5">
      <c r="A1552" s="8">
        <v>4050</v>
      </c>
      <c r="B1552" s="8" t="s">
        <v>2669</v>
      </c>
      <c r="C1552" s="8" t="s">
        <v>2670</v>
      </c>
      <c r="D1552" s="8" t="s">
        <v>97</v>
      </c>
      <c r="E1552" s="8" t="s">
        <v>40</v>
      </c>
    </row>
    <row r="1553" spans="1:5">
      <c r="A1553" s="8">
        <v>4051</v>
      </c>
      <c r="B1553" s="8" t="s">
        <v>2671</v>
      </c>
      <c r="C1553" s="8" t="s">
        <v>944</v>
      </c>
      <c r="D1553" s="8" t="s">
        <v>603</v>
      </c>
      <c r="E1553" s="8" t="s">
        <v>40</v>
      </c>
    </row>
    <row r="1554" spans="1:5">
      <c r="A1554" s="8">
        <v>4053</v>
      </c>
      <c r="B1554" s="8" t="s">
        <v>2672</v>
      </c>
      <c r="C1554" s="8" t="s">
        <v>2673</v>
      </c>
      <c r="D1554" s="8" t="s">
        <v>1226</v>
      </c>
      <c r="E1554" s="8" t="s">
        <v>40</v>
      </c>
    </row>
    <row r="1555" spans="1:5">
      <c r="A1555" s="8">
        <v>4054</v>
      </c>
      <c r="B1555" s="8" t="s">
        <v>2674</v>
      </c>
      <c r="C1555" s="8" t="s">
        <v>2635</v>
      </c>
      <c r="D1555" s="8" t="s">
        <v>132</v>
      </c>
      <c r="E1555" s="8" t="s">
        <v>40</v>
      </c>
    </row>
    <row r="1556" spans="1:5">
      <c r="A1556" s="8">
        <v>4055</v>
      </c>
      <c r="B1556" s="8" t="s">
        <v>2675</v>
      </c>
      <c r="C1556" s="8" t="s">
        <v>2226</v>
      </c>
      <c r="D1556" s="8" t="s">
        <v>201</v>
      </c>
      <c r="E1556" s="8" t="s">
        <v>40</v>
      </c>
    </row>
    <row r="1557" spans="1:5">
      <c r="A1557" s="8">
        <v>4056</v>
      </c>
      <c r="B1557" s="8" t="s">
        <v>2676</v>
      </c>
      <c r="C1557" s="8" t="s">
        <v>2677</v>
      </c>
      <c r="D1557" s="8" t="s">
        <v>43</v>
      </c>
      <c r="E1557" s="8" t="s">
        <v>40</v>
      </c>
    </row>
    <row r="1558" spans="1:5">
      <c r="A1558" s="8">
        <v>4057</v>
      </c>
      <c r="B1558" s="8" t="s">
        <v>2678</v>
      </c>
      <c r="C1558" s="8" t="s">
        <v>2679</v>
      </c>
      <c r="D1558" s="8" t="s">
        <v>603</v>
      </c>
      <c r="E1558" s="8" t="s">
        <v>40</v>
      </c>
    </row>
    <row r="1559" spans="1:5">
      <c r="A1559" s="8">
        <v>4060</v>
      </c>
      <c r="B1559" s="8" t="s">
        <v>2680</v>
      </c>
      <c r="C1559" s="8" t="s">
        <v>2681</v>
      </c>
      <c r="D1559" s="8" t="s">
        <v>264</v>
      </c>
      <c r="E1559" s="8" t="s">
        <v>40</v>
      </c>
    </row>
    <row r="1560" spans="1:5">
      <c r="A1560" s="8">
        <v>4061</v>
      </c>
      <c r="B1560" s="8" t="s">
        <v>798</v>
      </c>
      <c r="C1560" s="8" t="s">
        <v>2682</v>
      </c>
      <c r="D1560" s="8" t="s">
        <v>264</v>
      </c>
      <c r="E1560" s="8" t="s">
        <v>40</v>
      </c>
    </row>
    <row r="1561" spans="1:5">
      <c r="A1561" s="8">
        <v>4063</v>
      </c>
      <c r="B1561" s="8" t="s">
        <v>2683</v>
      </c>
      <c r="C1561" s="8" t="s">
        <v>2684</v>
      </c>
      <c r="D1561" s="8" t="s">
        <v>164</v>
      </c>
      <c r="E1561" s="8" t="s">
        <v>40</v>
      </c>
    </row>
    <row r="1562" spans="1:5">
      <c r="A1562" s="8">
        <v>4064</v>
      </c>
      <c r="B1562" s="8" t="s">
        <v>2685</v>
      </c>
      <c r="C1562" s="8" t="s">
        <v>2090</v>
      </c>
      <c r="D1562" s="8" t="s">
        <v>57</v>
      </c>
      <c r="E1562" s="8" t="s">
        <v>40</v>
      </c>
    </row>
    <row r="1563" spans="1:5">
      <c r="A1563" s="8">
        <v>4065</v>
      </c>
      <c r="B1563" s="8" t="s">
        <v>2686</v>
      </c>
      <c r="C1563" s="8" t="s">
        <v>2687</v>
      </c>
      <c r="D1563" s="8" t="s">
        <v>57</v>
      </c>
      <c r="E1563" s="8" t="s">
        <v>40</v>
      </c>
    </row>
    <row r="1564" spans="1:5">
      <c r="A1564" s="8">
        <v>4068</v>
      </c>
      <c r="B1564" s="8" t="s">
        <v>2688</v>
      </c>
      <c r="C1564" s="8" t="s">
        <v>2689</v>
      </c>
      <c r="D1564" s="8" t="s">
        <v>208</v>
      </c>
      <c r="E1564" s="8" t="s">
        <v>40</v>
      </c>
    </row>
    <row r="1565" spans="1:5">
      <c r="A1565" s="8">
        <v>4069</v>
      </c>
      <c r="B1565" s="8" t="s">
        <v>2690</v>
      </c>
      <c r="C1565" s="8" t="s">
        <v>2691</v>
      </c>
      <c r="D1565" s="8" t="s">
        <v>238</v>
      </c>
      <c r="E1565" s="8" t="s">
        <v>239</v>
      </c>
    </row>
    <row r="1566" spans="1:5">
      <c r="A1566" s="8">
        <v>4073</v>
      </c>
      <c r="B1566" s="8" t="s">
        <v>2692</v>
      </c>
      <c r="C1566" s="8" t="s">
        <v>865</v>
      </c>
      <c r="D1566" s="8" t="s">
        <v>319</v>
      </c>
      <c r="E1566" s="8" t="s">
        <v>40</v>
      </c>
    </row>
    <row r="1567" spans="1:5">
      <c r="A1567" s="8">
        <v>4074</v>
      </c>
      <c r="B1567" s="8" t="s">
        <v>2693</v>
      </c>
      <c r="C1567" s="8" t="s">
        <v>2694</v>
      </c>
      <c r="D1567" s="8" t="s">
        <v>319</v>
      </c>
      <c r="E1567" s="8" t="s">
        <v>40</v>
      </c>
    </row>
    <row r="1568" spans="1:5">
      <c r="A1568" s="8">
        <v>4075</v>
      </c>
      <c r="B1568" s="8" t="s">
        <v>2695</v>
      </c>
      <c r="C1568" s="8" t="s">
        <v>1410</v>
      </c>
      <c r="D1568" s="8" t="s">
        <v>319</v>
      </c>
      <c r="E1568" s="8" t="s">
        <v>40</v>
      </c>
    </row>
    <row r="1569" spans="1:5">
      <c r="A1569" s="8">
        <v>4076</v>
      </c>
      <c r="B1569" s="8" t="s">
        <v>2696</v>
      </c>
      <c r="C1569" s="8" t="s">
        <v>2697</v>
      </c>
      <c r="D1569" s="8" t="s">
        <v>164</v>
      </c>
      <c r="E1569" s="8" t="s">
        <v>40</v>
      </c>
    </row>
    <row r="1570" spans="1:5">
      <c r="A1570" s="8">
        <v>4077</v>
      </c>
      <c r="B1570" s="8" t="s">
        <v>2698</v>
      </c>
      <c r="C1570" s="8" t="s">
        <v>2699</v>
      </c>
      <c r="D1570" s="8" t="s">
        <v>264</v>
      </c>
      <c r="E1570" s="8" t="s">
        <v>40</v>
      </c>
    </row>
    <row r="1571" spans="1:5">
      <c r="A1571" s="8">
        <v>4078</v>
      </c>
      <c r="B1571" s="8" t="s">
        <v>2700</v>
      </c>
      <c r="C1571" s="8" t="s">
        <v>2701</v>
      </c>
      <c r="D1571" s="8" t="s">
        <v>43</v>
      </c>
      <c r="E1571" s="8" t="s">
        <v>40</v>
      </c>
    </row>
    <row r="1572" spans="1:5">
      <c r="A1572" s="8">
        <v>4079</v>
      </c>
      <c r="B1572" s="8" t="s">
        <v>2702</v>
      </c>
      <c r="C1572" s="8" t="s">
        <v>2165</v>
      </c>
      <c r="D1572" s="8" t="s">
        <v>43</v>
      </c>
      <c r="E1572" s="8" t="s">
        <v>40</v>
      </c>
    </row>
    <row r="1573" spans="1:5">
      <c r="A1573" s="8">
        <v>4080</v>
      </c>
      <c r="B1573" s="8" t="s">
        <v>2703</v>
      </c>
      <c r="C1573" s="8" t="s">
        <v>2704</v>
      </c>
      <c r="D1573" s="8" t="s">
        <v>630</v>
      </c>
      <c r="E1573" s="8" t="s">
        <v>40</v>
      </c>
    </row>
    <row r="1574" spans="1:5">
      <c r="A1574" s="8">
        <v>4083</v>
      </c>
      <c r="B1574" s="8" t="s">
        <v>2705</v>
      </c>
      <c r="C1574" s="8" t="s">
        <v>2706</v>
      </c>
      <c r="D1574" s="8" t="s">
        <v>319</v>
      </c>
      <c r="E1574" s="8" t="s">
        <v>40</v>
      </c>
    </row>
    <row r="1575" spans="1:5">
      <c r="A1575" s="8">
        <v>4085</v>
      </c>
      <c r="B1575" s="8" t="s">
        <v>971</v>
      </c>
      <c r="C1575" s="8" t="s">
        <v>2707</v>
      </c>
      <c r="D1575" s="8" t="s">
        <v>81</v>
      </c>
      <c r="E1575" s="8" t="s">
        <v>40</v>
      </c>
    </row>
    <row r="1576" spans="1:5">
      <c r="A1576" s="8">
        <v>4087</v>
      </c>
      <c r="B1576" s="8" t="s">
        <v>640</v>
      </c>
      <c r="C1576" s="8" t="s">
        <v>2708</v>
      </c>
      <c r="D1576" s="8" t="s">
        <v>1226</v>
      </c>
      <c r="E1576" s="8" t="s">
        <v>40</v>
      </c>
    </row>
    <row r="1577" spans="1:5">
      <c r="A1577" s="8">
        <v>4089</v>
      </c>
      <c r="B1577" s="8" t="s">
        <v>2709</v>
      </c>
      <c r="C1577" s="8" t="s">
        <v>2710</v>
      </c>
      <c r="D1577" s="8" t="s">
        <v>264</v>
      </c>
      <c r="E1577" s="8" t="s">
        <v>40</v>
      </c>
    </row>
    <row r="1578" spans="1:5">
      <c r="A1578" s="8">
        <v>4091</v>
      </c>
      <c r="B1578" s="8" t="s">
        <v>2711</v>
      </c>
      <c r="C1578" s="8" t="s">
        <v>2712</v>
      </c>
      <c r="D1578" s="8" t="s">
        <v>2712</v>
      </c>
      <c r="E1578" s="8" t="s">
        <v>2713</v>
      </c>
    </row>
    <row r="1579" spans="1:5">
      <c r="A1579" s="8">
        <v>4093</v>
      </c>
      <c r="B1579" s="8" t="s">
        <v>2714</v>
      </c>
      <c r="C1579" s="8" t="s">
        <v>2715</v>
      </c>
      <c r="D1579" s="8" t="s">
        <v>54</v>
      </c>
      <c r="E1579" s="8" t="s">
        <v>40</v>
      </c>
    </row>
    <row r="1580" spans="1:5">
      <c r="A1580" s="8">
        <v>4096</v>
      </c>
      <c r="B1580" s="8" t="s">
        <v>2716</v>
      </c>
      <c r="C1580" s="8" t="s">
        <v>2717</v>
      </c>
      <c r="D1580" s="8" t="s">
        <v>121</v>
      </c>
      <c r="E1580" s="8" t="s">
        <v>40</v>
      </c>
    </row>
    <row r="1581" spans="1:5">
      <c r="A1581" s="8">
        <v>4097</v>
      </c>
      <c r="B1581" s="8" t="s">
        <v>2718</v>
      </c>
      <c r="C1581" s="8" t="s">
        <v>2719</v>
      </c>
      <c r="D1581" s="8" t="s">
        <v>60</v>
      </c>
      <c r="E1581" s="8" t="s">
        <v>40</v>
      </c>
    </row>
    <row r="1582" spans="1:5">
      <c r="A1582" s="8">
        <v>4099</v>
      </c>
      <c r="B1582" s="8" t="s">
        <v>2720</v>
      </c>
      <c r="C1582" s="8" t="s">
        <v>2721</v>
      </c>
      <c r="D1582" s="8" t="s">
        <v>438</v>
      </c>
      <c r="E1582" s="8" t="s">
        <v>40</v>
      </c>
    </row>
    <row r="1583" spans="1:5">
      <c r="A1583" s="8">
        <v>4103</v>
      </c>
      <c r="B1583" s="8" t="s">
        <v>2722</v>
      </c>
      <c r="C1583" s="8" t="s">
        <v>765</v>
      </c>
      <c r="D1583" s="8" t="s">
        <v>79</v>
      </c>
      <c r="E1583" s="8" t="s">
        <v>40</v>
      </c>
    </row>
    <row r="1584" spans="1:5">
      <c r="A1584" s="8">
        <v>4104</v>
      </c>
      <c r="B1584" s="8" t="s">
        <v>2377</v>
      </c>
      <c r="C1584" s="8" t="s">
        <v>2723</v>
      </c>
      <c r="D1584" s="8" t="s">
        <v>264</v>
      </c>
      <c r="E1584" s="8" t="s">
        <v>40</v>
      </c>
    </row>
    <row r="1585" spans="1:5">
      <c r="A1585" s="8">
        <v>4107</v>
      </c>
      <c r="B1585" s="8" t="s">
        <v>2724</v>
      </c>
      <c r="C1585" s="8" t="s">
        <v>392</v>
      </c>
      <c r="D1585" s="8" t="s">
        <v>393</v>
      </c>
      <c r="E1585" s="8" t="s">
        <v>40</v>
      </c>
    </row>
    <row r="1586" spans="1:5">
      <c r="A1586" s="8">
        <v>4110</v>
      </c>
      <c r="B1586" s="8" t="s">
        <v>2725</v>
      </c>
      <c r="C1586" s="8" t="s">
        <v>2726</v>
      </c>
      <c r="D1586" s="8" t="s">
        <v>603</v>
      </c>
      <c r="E1586" s="8" t="s">
        <v>40</v>
      </c>
    </row>
    <row r="1587" spans="1:5">
      <c r="A1587" s="8">
        <v>4111</v>
      </c>
      <c r="B1587" s="8" t="s">
        <v>2727</v>
      </c>
      <c r="C1587" s="8" t="s">
        <v>1508</v>
      </c>
      <c r="D1587" s="8" t="s">
        <v>92</v>
      </c>
      <c r="E1587" s="8" t="s">
        <v>40</v>
      </c>
    </row>
    <row r="1588" spans="1:5">
      <c r="A1588" s="8">
        <v>4112</v>
      </c>
      <c r="B1588" s="8" t="s">
        <v>2728</v>
      </c>
      <c r="C1588" s="8" t="s">
        <v>2729</v>
      </c>
      <c r="D1588" s="8" t="s">
        <v>630</v>
      </c>
      <c r="E1588" s="8" t="s">
        <v>40</v>
      </c>
    </row>
    <row r="1589" spans="1:5">
      <c r="A1589" s="8">
        <v>4114</v>
      </c>
      <c r="B1589" s="8" t="s">
        <v>2730</v>
      </c>
      <c r="C1589" s="8" t="s">
        <v>2731</v>
      </c>
      <c r="D1589" s="8" t="s">
        <v>43</v>
      </c>
      <c r="E1589" s="8" t="s">
        <v>40</v>
      </c>
    </row>
    <row r="1590" spans="1:5">
      <c r="A1590" s="8">
        <v>4118</v>
      </c>
      <c r="B1590" s="8" t="s">
        <v>2732</v>
      </c>
      <c r="C1590" s="8" t="s">
        <v>2733</v>
      </c>
      <c r="D1590" s="8" t="s">
        <v>57</v>
      </c>
      <c r="E1590" s="8" t="s">
        <v>40</v>
      </c>
    </row>
    <row r="1591" spans="1:5">
      <c r="A1591" s="8">
        <v>4119</v>
      </c>
      <c r="B1591" s="8" t="s">
        <v>2734</v>
      </c>
      <c r="C1591" s="8" t="s">
        <v>765</v>
      </c>
      <c r="D1591" s="8" t="s">
        <v>81</v>
      </c>
      <c r="E1591" s="8" t="s">
        <v>40</v>
      </c>
    </row>
    <row r="1592" spans="1:5">
      <c r="A1592" s="8">
        <v>4120</v>
      </c>
      <c r="B1592" s="8" t="s">
        <v>2735</v>
      </c>
      <c r="C1592" s="8" t="s">
        <v>1049</v>
      </c>
      <c r="D1592" s="8" t="s">
        <v>264</v>
      </c>
      <c r="E1592" s="8" t="s">
        <v>40</v>
      </c>
    </row>
    <row r="1593" spans="1:5">
      <c r="A1593" s="8">
        <v>4121</v>
      </c>
      <c r="B1593" s="8" t="s">
        <v>1211</v>
      </c>
      <c r="C1593" s="8" t="s">
        <v>2736</v>
      </c>
      <c r="D1593" s="8" t="s">
        <v>81</v>
      </c>
      <c r="E1593" s="8" t="s">
        <v>40</v>
      </c>
    </row>
    <row r="1594" spans="1:5">
      <c r="A1594" s="8">
        <v>4122</v>
      </c>
      <c r="B1594" s="8" t="s">
        <v>2737</v>
      </c>
      <c r="C1594" s="8" t="s">
        <v>2738</v>
      </c>
      <c r="D1594" s="8" t="s">
        <v>54</v>
      </c>
      <c r="E1594" s="8" t="s">
        <v>40</v>
      </c>
    </row>
    <row r="1595" spans="1:5">
      <c r="A1595" s="8">
        <v>4123</v>
      </c>
      <c r="B1595" s="8" t="s">
        <v>2739</v>
      </c>
      <c r="C1595" s="8" t="s">
        <v>2740</v>
      </c>
      <c r="D1595" s="8" t="s">
        <v>43</v>
      </c>
      <c r="E1595" s="8" t="s">
        <v>40</v>
      </c>
    </row>
    <row r="1596" spans="1:5">
      <c r="A1596" s="8">
        <v>4125</v>
      </c>
      <c r="B1596" s="8" t="s">
        <v>2741</v>
      </c>
      <c r="C1596" s="8" t="s">
        <v>2742</v>
      </c>
      <c r="D1596" s="8" t="s">
        <v>603</v>
      </c>
      <c r="E1596" s="8" t="s">
        <v>40</v>
      </c>
    </row>
    <row r="1597" spans="1:5">
      <c r="A1597" s="8">
        <v>4127</v>
      </c>
      <c r="B1597" s="8" t="s">
        <v>2743</v>
      </c>
      <c r="C1597" s="8" t="s">
        <v>2744</v>
      </c>
      <c r="D1597" s="8" t="s">
        <v>603</v>
      </c>
      <c r="E1597" s="8" t="s">
        <v>40</v>
      </c>
    </row>
    <row r="1598" spans="1:5">
      <c r="A1598" s="8">
        <v>4130</v>
      </c>
      <c r="B1598" s="8" t="s">
        <v>2745</v>
      </c>
      <c r="C1598" s="8" t="s">
        <v>422</v>
      </c>
      <c r="D1598" s="8" t="s">
        <v>39</v>
      </c>
      <c r="E1598" s="8" t="s">
        <v>40</v>
      </c>
    </row>
    <row r="1599" spans="1:5">
      <c r="A1599" s="8">
        <v>4131</v>
      </c>
      <c r="B1599" s="8" t="s">
        <v>2746</v>
      </c>
      <c r="C1599" s="8" t="s">
        <v>2352</v>
      </c>
      <c r="D1599" s="8" t="s">
        <v>264</v>
      </c>
      <c r="E1599" s="8" t="s">
        <v>40</v>
      </c>
    </row>
    <row r="1600" spans="1:5">
      <c r="A1600" s="8">
        <v>4132</v>
      </c>
      <c r="B1600" s="8" t="s">
        <v>2747</v>
      </c>
      <c r="C1600" s="8" t="s">
        <v>944</v>
      </c>
      <c r="D1600" s="8" t="s">
        <v>603</v>
      </c>
      <c r="E1600" s="8" t="s">
        <v>40</v>
      </c>
    </row>
    <row r="1601" spans="1:5">
      <c r="A1601" s="8">
        <v>4135</v>
      </c>
      <c r="B1601" s="8" t="s">
        <v>2746</v>
      </c>
      <c r="C1601" s="8" t="s">
        <v>2748</v>
      </c>
      <c r="D1601" s="8" t="s">
        <v>43</v>
      </c>
      <c r="E1601" s="8" t="s">
        <v>40</v>
      </c>
    </row>
    <row r="1602" spans="1:5">
      <c r="A1602" s="8">
        <v>4137</v>
      </c>
      <c r="B1602" s="8" t="s">
        <v>2749</v>
      </c>
      <c r="C1602" s="8" t="s">
        <v>871</v>
      </c>
      <c r="D1602" s="8" t="s">
        <v>438</v>
      </c>
      <c r="E1602" s="8" t="s">
        <v>40</v>
      </c>
    </row>
    <row r="1603" spans="1:5">
      <c r="A1603" s="8">
        <v>4139</v>
      </c>
      <c r="B1603" s="8" t="s">
        <v>2750</v>
      </c>
      <c r="C1603" s="8" t="s">
        <v>858</v>
      </c>
      <c r="D1603" s="8" t="s">
        <v>43</v>
      </c>
      <c r="E1603" s="8" t="s">
        <v>40</v>
      </c>
    </row>
    <row r="1604" spans="1:5">
      <c r="A1604" s="8">
        <v>4141</v>
      </c>
      <c r="B1604" s="8" t="s">
        <v>2751</v>
      </c>
      <c r="C1604" s="8" t="s">
        <v>2752</v>
      </c>
      <c r="D1604" s="8" t="s">
        <v>43</v>
      </c>
      <c r="E1604" s="8" t="s">
        <v>40</v>
      </c>
    </row>
    <row r="1605" spans="1:5">
      <c r="A1605" s="8">
        <v>4143</v>
      </c>
      <c r="B1605" s="8" t="s">
        <v>2753</v>
      </c>
      <c r="C1605" s="8" t="s">
        <v>2754</v>
      </c>
      <c r="D1605" s="8" t="s">
        <v>121</v>
      </c>
      <c r="E1605" s="8" t="s">
        <v>40</v>
      </c>
    </row>
    <row r="1606" spans="1:5">
      <c r="A1606" s="8">
        <v>4145</v>
      </c>
      <c r="B1606" s="8" t="s">
        <v>2755</v>
      </c>
      <c r="C1606" s="8" t="s">
        <v>563</v>
      </c>
      <c r="D1606" s="8" t="s">
        <v>81</v>
      </c>
      <c r="E1606" s="8" t="s">
        <v>40</v>
      </c>
    </row>
    <row r="1607" spans="1:5">
      <c r="A1607" s="8">
        <v>4146</v>
      </c>
      <c r="B1607" s="8" t="s">
        <v>2756</v>
      </c>
      <c r="C1607" s="8" t="s">
        <v>1920</v>
      </c>
      <c r="D1607" s="8" t="s">
        <v>92</v>
      </c>
      <c r="E1607" s="8" t="s">
        <v>40</v>
      </c>
    </row>
    <row r="1608" spans="1:5">
      <c r="A1608" s="8">
        <v>4150</v>
      </c>
      <c r="B1608" s="8" t="s">
        <v>2757</v>
      </c>
      <c r="C1608" s="8" t="s">
        <v>2758</v>
      </c>
      <c r="D1608" s="8" t="s">
        <v>97</v>
      </c>
      <c r="E1608" s="8" t="s">
        <v>40</v>
      </c>
    </row>
    <row r="1609" spans="1:5">
      <c r="A1609" s="8">
        <v>4151</v>
      </c>
      <c r="B1609" s="8" t="s">
        <v>2759</v>
      </c>
      <c r="C1609" s="8" t="s">
        <v>2760</v>
      </c>
      <c r="D1609" s="8" t="s">
        <v>60</v>
      </c>
      <c r="E1609" s="8" t="s">
        <v>40</v>
      </c>
    </row>
    <row r="1610" spans="1:5">
      <c r="A1610" s="8">
        <v>4152</v>
      </c>
      <c r="B1610" s="8" t="s">
        <v>2761</v>
      </c>
      <c r="C1610" s="8" t="s">
        <v>433</v>
      </c>
      <c r="D1610" s="8" t="s">
        <v>238</v>
      </c>
      <c r="E1610" s="8" t="s">
        <v>239</v>
      </c>
    </row>
    <row r="1611" spans="1:5">
      <c r="A1611" s="8">
        <v>4153</v>
      </c>
      <c r="B1611" s="8" t="s">
        <v>2762</v>
      </c>
      <c r="C1611" s="8" t="s">
        <v>2763</v>
      </c>
      <c r="D1611" s="8" t="s">
        <v>809</v>
      </c>
      <c r="E1611" s="8" t="s">
        <v>40</v>
      </c>
    </row>
    <row r="1612" spans="1:5">
      <c r="A1612" s="8">
        <v>4156</v>
      </c>
      <c r="B1612" s="8" t="s">
        <v>2764</v>
      </c>
      <c r="C1612" s="8" t="s">
        <v>2765</v>
      </c>
      <c r="D1612" s="8" t="s">
        <v>121</v>
      </c>
      <c r="E1612" s="8" t="s">
        <v>40</v>
      </c>
    </row>
    <row r="1613" spans="1:5">
      <c r="A1613" s="8">
        <v>4159</v>
      </c>
      <c r="B1613" s="8" t="s">
        <v>2766</v>
      </c>
      <c r="C1613" s="8" t="s">
        <v>2767</v>
      </c>
      <c r="D1613" s="8" t="s">
        <v>43</v>
      </c>
      <c r="E1613" s="8" t="s">
        <v>40</v>
      </c>
    </row>
    <row r="1614" spans="1:5">
      <c r="A1614" s="8">
        <v>4160</v>
      </c>
      <c r="B1614" s="8" t="s">
        <v>2768</v>
      </c>
      <c r="C1614" s="8" t="s">
        <v>858</v>
      </c>
      <c r="D1614" s="8" t="s">
        <v>43</v>
      </c>
      <c r="E1614" s="8" t="s">
        <v>40</v>
      </c>
    </row>
    <row r="1615" spans="1:5">
      <c r="A1615" s="8">
        <v>4161</v>
      </c>
      <c r="B1615" s="8" t="s">
        <v>2769</v>
      </c>
      <c r="C1615" s="8" t="s">
        <v>2770</v>
      </c>
      <c r="D1615" s="8" t="s">
        <v>43</v>
      </c>
      <c r="E1615" s="8" t="s">
        <v>40</v>
      </c>
    </row>
    <row r="1616" spans="1:5">
      <c r="A1616" s="8">
        <v>4166</v>
      </c>
      <c r="B1616" s="8" t="s">
        <v>2771</v>
      </c>
      <c r="C1616" s="8" t="s">
        <v>2772</v>
      </c>
      <c r="D1616" s="8" t="s">
        <v>1221</v>
      </c>
      <c r="E1616" s="8" t="s">
        <v>40</v>
      </c>
    </row>
    <row r="1617" spans="1:5">
      <c r="A1617" s="8">
        <v>4169</v>
      </c>
      <c r="B1617" s="8" t="s">
        <v>1584</v>
      </c>
      <c r="C1617" s="8" t="s">
        <v>2691</v>
      </c>
      <c r="D1617" s="8" t="s">
        <v>60</v>
      </c>
      <c r="E1617" s="8" t="s">
        <v>40</v>
      </c>
    </row>
    <row r="1618" spans="1:5">
      <c r="A1618" s="8">
        <v>4171</v>
      </c>
      <c r="B1618" s="8" t="s">
        <v>526</v>
      </c>
      <c r="C1618" s="8" t="s">
        <v>2424</v>
      </c>
      <c r="D1618" s="8" t="s">
        <v>43</v>
      </c>
      <c r="E1618" s="8" t="s">
        <v>40</v>
      </c>
    </row>
    <row r="1619" spans="1:5">
      <c r="A1619" s="8">
        <v>4173</v>
      </c>
      <c r="B1619" s="8" t="s">
        <v>2773</v>
      </c>
      <c r="C1619" s="8" t="s">
        <v>2774</v>
      </c>
      <c r="D1619" s="8" t="s">
        <v>264</v>
      </c>
      <c r="E1619" s="8" t="s">
        <v>40</v>
      </c>
    </row>
    <row r="1620" spans="1:5">
      <c r="A1620" s="8">
        <v>4174</v>
      </c>
      <c r="B1620" s="8" t="s">
        <v>2500</v>
      </c>
      <c r="C1620" s="8" t="s">
        <v>2775</v>
      </c>
      <c r="D1620" s="8" t="s">
        <v>1221</v>
      </c>
      <c r="E1620" s="8" t="s">
        <v>40</v>
      </c>
    </row>
    <row r="1621" spans="1:5">
      <c r="A1621" s="8">
        <v>4175</v>
      </c>
      <c r="B1621" s="8" t="s">
        <v>2776</v>
      </c>
      <c r="C1621" s="8" t="s">
        <v>2777</v>
      </c>
      <c r="D1621" s="8" t="s">
        <v>1018</v>
      </c>
      <c r="E1621" s="8" t="s">
        <v>40</v>
      </c>
    </row>
    <row r="1622" spans="1:5">
      <c r="A1622" s="8">
        <v>4176</v>
      </c>
      <c r="B1622" s="8" t="s">
        <v>2659</v>
      </c>
      <c r="C1622" s="8" t="s">
        <v>2778</v>
      </c>
      <c r="D1622" s="8" t="s">
        <v>60</v>
      </c>
      <c r="E1622" s="8" t="s">
        <v>40</v>
      </c>
    </row>
    <row r="1623" spans="1:5">
      <c r="A1623" s="8">
        <v>4180</v>
      </c>
      <c r="B1623" s="8" t="s">
        <v>2779</v>
      </c>
      <c r="C1623" s="8" t="s">
        <v>458</v>
      </c>
      <c r="D1623" s="8" t="s">
        <v>264</v>
      </c>
      <c r="E1623" s="8" t="s">
        <v>40</v>
      </c>
    </row>
    <row r="1624" spans="1:5">
      <c r="A1624" s="8">
        <v>4181</v>
      </c>
      <c r="B1624" s="8" t="s">
        <v>2780</v>
      </c>
      <c r="C1624" s="8" t="s">
        <v>2781</v>
      </c>
      <c r="D1624" s="8" t="s">
        <v>1221</v>
      </c>
      <c r="E1624" s="8" t="s">
        <v>40</v>
      </c>
    </row>
    <row r="1625" spans="1:5">
      <c r="A1625" s="8">
        <v>4182</v>
      </c>
      <c r="B1625" s="8" t="s">
        <v>512</v>
      </c>
      <c r="C1625" s="8" t="s">
        <v>2782</v>
      </c>
      <c r="D1625" s="8" t="s">
        <v>1221</v>
      </c>
      <c r="E1625" s="8" t="s">
        <v>40</v>
      </c>
    </row>
    <row r="1626" spans="1:5">
      <c r="A1626" s="8">
        <v>4183</v>
      </c>
      <c r="B1626" s="8" t="s">
        <v>2783</v>
      </c>
      <c r="C1626" s="8" t="s">
        <v>736</v>
      </c>
      <c r="D1626" s="8" t="s">
        <v>92</v>
      </c>
      <c r="E1626" s="8" t="s">
        <v>40</v>
      </c>
    </row>
    <row r="1627" spans="1:5">
      <c r="A1627" s="8">
        <v>4186</v>
      </c>
      <c r="B1627" s="8" t="s">
        <v>2784</v>
      </c>
      <c r="C1627" s="8" t="s">
        <v>2785</v>
      </c>
      <c r="D1627" s="8" t="s">
        <v>43</v>
      </c>
      <c r="E1627" s="8" t="s">
        <v>40</v>
      </c>
    </row>
    <row r="1628" spans="1:5">
      <c r="A1628" s="8">
        <v>4187</v>
      </c>
      <c r="B1628" s="8" t="s">
        <v>1627</v>
      </c>
      <c r="C1628" s="8" t="s">
        <v>2774</v>
      </c>
      <c r="D1628" s="8" t="s">
        <v>121</v>
      </c>
      <c r="E1628" s="8" t="s">
        <v>40</v>
      </c>
    </row>
    <row r="1629" spans="1:5">
      <c r="A1629" s="8">
        <v>4188</v>
      </c>
      <c r="B1629" s="8" t="s">
        <v>2786</v>
      </c>
      <c r="C1629" s="8" t="s">
        <v>563</v>
      </c>
      <c r="D1629" s="8" t="s">
        <v>630</v>
      </c>
      <c r="E1629" s="8" t="s">
        <v>40</v>
      </c>
    </row>
    <row r="1630" spans="1:5">
      <c r="A1630" s="8">
        <v>4189</v>
      </c>
      <c r="B1630" s="8" t="s">
        <v>2491</v>
      </c>
      <c r="C1630" s="8" t="s">
        <v>2787</v>
      </c>
      <c r="D1630" s="8" t="s">
        <v>630</v>
      </c>
      <c r="E1630" s="8" t="s">
        <v>40</v>
      </c>
    </row>
    <row r="1631" spans="1:5">
      <c r="A1631" s="8">
        <v>4191</v>
      </c>
      <c r="B1631" s="8" t="s">
        <v>2788</v>
      </c>
      <c r="C1631" s="8" t="s">
        <v>2789</v>
      </c>
      <c r="D1631" s="8" t="s">
        <v>2789</v>
      </c>
      <c r="E1631" s="8" t="s">
        <v>1835</v>
      </c>
    </row>
    <row r="1632" spans="1:5">
      <c r="A1632" s="8">
        <v>4192</v>
      </c>
      <c r="B1632" s="8" t="s">
        <v>1216</v>
      </c>
      <c r="C1632" s="8" t="s">
        <v>2790</v>
      </c>
      <c r="D1632" s="8" t="s">
        <v>164</v>
      </c>
      <c r="E1632" s="8" t="s">
        <v>40</v>
      </c>
    </row>
    <row r="1633" spans="1:5">
      <c r="A1633" s="8">
        <v>4193</v>
      </c>
      <c r="B1633" s="8" t="s">
        <v>1121</v>
      </c>
      <c r="C1633" s="8" t="s">
        <v>2791</v>
      </c>
      <c r="D1633" s="8" t="s">
        <v>630</v>
      </c>
      <c r="E1633" s="8" t="s">
        <v>40</v>
      </c>
    </row>
    <row r="1634" spans="1:5">
      <c r="A1634" s="8">
        <v>4195</v>
      </c>
      <c r="B1634" s="8" t="s">
        <v>2792</v>
      </c>
      <c r="C1634" s="8" t="s">
        <v>2793</v>
      </c>
      <c r="D1634" s="8" t="s">
        <v>630</v>
      </c>
      <c r="E1634" s="8" t="s">
        <v>40</v>
      </c>
    </row>
    <row r="1635" spans="1:5">
      <c r="A1635" s="8">
        <v>4198</v>
      </c>
      <c r="B1635" s="8" t="s">
        <v>404</v>
      </c>
      <c r="C1635" s="8" t="s">
        <v>2794</v>
      </c>
      <c r="D1635" s="8" t="s">
        <v>1221</v>
      </c>
      <c r="E1635" s="8" t="s">
        <v>40</v>
      </c>
    </row>
    <row r="1636" spans="1:5">
      <c r="A1636" s="8">
        <v>4201</v>
      </c>
      <c r="B1636" s="8" t="s">
        <v>2795</v>
      </c>
      <c r="C1636" s="8" t="s">
        <v>256</v>
      </c>
      <c r="D1636" s="8" t="s">
        <v>43</v>
      </c>
      <c r="E1636" s="8" t="s">
        <v>40</v>
      </c>
    </row>
    <row r="1637" spans="1:5">
      <c r="A1637" s="8">
        <v>4203</v>
      </c>
      <c r="B1637" s="8" t="s">
        <v>2796</v>
      </c>
      <c r="C1637" s="8" t="s">
        <v>2797</v>
      </c>
      <c r="D1637" s="8" t="s">
        <v>54</v>
      </c>
      <c r="E1637" s="8" t="s">
        <v>40</v>
      </c>
    </row>
    <row r="1638" spans="1:5">
      <c r="A1638" s="8">
        <v>4205</v>
      </c>
      <c r="B1638" s="8" t="s">
        <v>2798</v>
      </c>
      <c r="C1638" s="8" t="s">
        <v>2799</v>
      </c>
      <c r="D1638" s="8" t="s">
        <v>264</v>
      </c>
      <c r="E1638" s="8" t="s">
        <v>40</v>
      </c>
    </row>
    <row r="1639" spans="1:5">
      <c r="A1639" s="8">
        <v>4206</v>
      </c>
      <c r="B1639" s="8" t="s">
        <v>2800</v>
      </c>
      <c r="C1639" s="8" t="s">
        <v>2801</v>
      </c>
      <c r="D1639" s="8" t="s">
        <v>164</v>
      </c>
      <c r="E1639" s="8" t="s">
        <v>40</v>
      </c>
    </row>
    <row r="1640" spans="1:5">
      <c r="A1640" s="8">
        <v>4207</v>
      </c>
      <c r="B1640" s="8" t="s">
        <v>2802</v>
      </c>
      <c r="C1640" s="8" t="s">
        <v>2803</v>
      </c>
      <c r="D1640" s="8" t="s">
        <v>1221</v>
      </c>
      <c r="E1640" s="8" t="s">
        <v>40</v>
      </c>
    </row>
    <row r="1641" spans="1:5">
      <c r="A1641" s="8">
        <v>4209</v>
      </c>
      <c r="B1641" s="8" t="s">
        <v>2804</v>
      </c>
      <c r="C1641" s="8" t="s">
        <v>2169</v>
      </c>
      <c r="D1641" s="8" t="s">
        <v>1226</v>
      </c>
      <c r="E1641" s="8" t="s">
        <v>40</v>
      </c>
    </row>
    <row r="1642" spans="1:5">
      <c r="A1642" s="8">
        <v>4212</v>
      </c>
      <c r="B1642" s="8" t="s">
        <v>2805</v>
      </c>
      <c r="C1642" s="8" t="s">
        <v>2806</v>
      </c>
      <c r="D1642" s="8" t="s">
        <v>121</v>
      </c>
      <c r="E1642" s="8" t="s">
        <v>40</v>
      </c>
    </row>
    <row r="1643" spans="1:5">
      <c r="A1643" s="8">
        <v>4213</v>
      </c>
      <c r="B1643" s="8" t="s">
        <v>2807</v>
      </c>
      <c r="C1643" s="8" t="s">
        <v>1547</v>
      </c>
      <c r="D1643" s="8" t="s">
        <v>121</v>
      </c>
      <c r="E1643" s="8" t="s">
        <v>40</v>
      </c>
    </row>
    <row r="1644" spans="1:5">
      <c r="A1644" s="8">
        <v>4215</v>
      </c>
      <c r="B1644" s="8" t="s">
        <v>2808</v>
      </c>
      <c r="C1644" s="8" t="s">
        <v>1319</v>
      </c>
      <c r="D1644" s="8" t="s">
        <v>1221</v>
      </c>
      <c r="E1644" s="8" t="s">
        <v>40</v>
      </c>
    </row>
    <row r="1645" spans="1:5">
      <c r="A1645" s="8">
        <v>4216</v>
      </c>
      <c r="B1645" s="8" t="s">
        <v>2809</v>
      </c>
      <c r="C1645" s="8" t="s">
        <v>1675</v>
      </c>
      <c r="D1645" s="8" t="s">
        <v>39</v>
      </c>
      <c r="E1645" s="8" t="s">
        <v>40</v>
      </c>
    </row>
    <row r="1646" spans="1:5">
      <c r="A1646" s="8">
        <v>4217</v>
      </c>
      <c r="B1646" s="8" t="s">
        <v>2810</v>
      </c>
      <c r="C1646" s="8" t="s">
        <v>2811</v>
      </c>
      <c r="D1646" s="8" t="s">
        <v>1221</v>
      </c>
      <c r="E1646" s="8" t="s">
        <v>40</v>
      </c>
    </row>
    <row r="1647" spans="1:5">
      <c r="A1647" s="8">
        <v>4219</v>
      </c>
      <c r="B1647" s="8" t="s">
        <v>2812</v>
      </c>
      <c r="C1647" s="8" t="s">
        <v>445</v>
      </c>
      <c r="D1647" s="8" t="s">
        <v>164</v>
      </c>
      <c r="E1647" s="8" t="s">
        <v>40</v>
      </c>
    </row>
    <row r="1648" spans="1:5">
      <c r="A1648" s="8">
        <v>4225</v>
      </c>
      <c r="B1648" s="8" t="s">
        <v>404</v>
      </c>
      <c r="C1648" s="8" t="s">
        <v>1319</v>
      </c>
      <c r="D1648" s="8" t="s">
        <v>1221</v>
      </c>
      <c r="E1648" s="8" t="s">
        <v>40</v>
      </c>
    </row>
    <row r="1649" spans="1:5">
      <c r="A1649" s="8">
        <v>4226</v>
      </c>
      <c r="B1649" s="8" t="s">
        <v>2813</v>
      </c>
      <c r="C1649" s="8" t="s">
        <v>707</v>
      </c>
      <c r="D1649" s="8" t="s">
        <v>1221</v>
      </c>
      <c r="E1649" s="8" t="s">
        <v>40</v>
      </c>
    </row>
    <row r="1650" spans="1:5">
      <c r="A1650" s="8">
        <v>4229</v>
      </c>
      <c r="B1650" s="8" t="s">
        <v>2814</v>
      </c>
      <c r="C1650" s="8" t="s">
        <v>1319</v>
      </c>
      <c r="D1650" s="8" t="s">
        <v>1221</v>
      </c>
      <c r="E1650" s="8" t="s">
        <v>40</v>
      </c>
    </row>
    <row r="1651" spans="1:5">
      <c r="A1651" s="8">
        <v>4230</v>
      </c>
      <c r="B1651" s="8" t="s">
        <v>2815</v>
      </c>
      <c r="C1651" s="8" t="s">
        <v>1591</v>
      </c>
      <c r="D1651" s="8" t="s">
        <v>1221</v>
      </c>
      <c r="E1651" s="8" t="s">
        <v>40</v>
      </c>
    </row>
    <row r="1652" spans="1:5">
      <c r="A1652" s="8">
        <v>4232</v>
      </c>
      <c r="B1652" s="8" t="s">
        <v>2816</v>
      </c>
      <c r="C1652" s="8" t="s">
        <v>349</v>
      </c>
      <c r="D1652" s="8" t="s">
        <v>121</v>
      </c>
      <c r="E1652" s="8" t="s">
        <v>40</v>
      </c>
    </row>
    <row r="1653" spans="1:5">
      <c r="A1653" s="8">
        <v>4235</v>
      </c>
      <c r="B1653" s="8" t="s">
        <v>112</v>
      </c>
      <c r="C1653" s="8" t="s">
        <v>2817</v>
      </c>
      <c r="D1653" s="8" t="s">
        <v>630</v>
      </c>
      <c r="E1653" s="8" t="s">
        <v>40</v>
      </c>
    </row>
    <row r="1654" spans="1:5">
      <c r="A1654" s="8">
        <v>4237</v>
      </c>
      <c r="B1654" s="8" t="s">
        <v>2818</v>
      </c>
      <c r="C1654" s="8" t="s">
        <v>2819</v>
      </c>
      <c r="D1654" s="8" t="s">
        <v>39</v>
      </c>
      <c r="E1654" s="8" t="s">
        <v>40</v>
      </c>
    </row>
    <row r="1655" spans="1:5">
      <c r="A1655" s="8">
        <v>4238</v>
      </c>
      <c r="B1655" s="8" t="s">
        <v>2820</v>
      </c>
      <c r="C1655" s="8" t="s">
        <v>2821</v>
      </c>
      <c r="D1655" s="8" t="s">
        <v>1221</v>
      </c>
      <c r="E1655" s="8" t="s">
        <v>40</v>
      </c>
    </row>
    <row r="1656" spans="1:5">
      <c r="A1656" s="8">
        <v>4239</v>
      </c>
      <c r="B1656" s="8" t="s">
        <v>2822</v>
      </c>
      <c r="C1656" s="8" t="s">
        <v>2823</v>
      </c>
      <c r="D1656" s="8" t="s">
        <v>1221</v>
      </c>
      <c r="E1656" s="8" t="s">
        <v>40</v>
      </c>
    </row>
    <row r="1657" spans="1:5">
      <c r="A1657" s="8">
        <v>4240</v>
      </c>
      <c r="B1657" s="8" t="s">
        <v>2824</v>
      </c>
      <c r="C1657" s="8" t="s">
        <v>707</v>
      </c>
      <c r="D1657" s="8" t="s">
        <v>630</v>
      </c>
      <c r="E1657" s="8" t="s">
        <v>40</v>
      </c>
    </row>
    <row r="1658" spans="1:5">
      <c r="A1658" s="8">
        <v>4241</v>
      </c>
      <c r="B1658" s="8" t="s">
        <v>2825</v>
      </c>
      <c r="C1658" s="8" t="s">
        <v>2826</v>
      </c>
      <c r="D1658" s="8" t="s">
        <v>121</v>
      </c>
      <c r="E1658" s="8" t="s">
        <v>40</v>
      </c>
    </row>
    <row r="1659" spans="1:5">
      <c r="A1659" s="8">
        <v>4242</v>
      </c>
      <c r="B1659" s="8" t="s">
        <v>2827</v>
      </c>
      <c r="C1659" s="8" t="s">
        <v>264</v>
      </c>
      <c r="D1659" s="8" t="s">
        <v>947</v>
      </c>
      <c r="E1659" s="8" t="s">
        <v>40</v>
      </c>
    </row>
    <row r="1660" spans="1:5">
      <c r="A1660" s="8">
        <v>4243</v>
      </c>
      <c r="B1660" s="8" t="s">
        <v>2828</v>
      </c>
      <c r="C1660" s="8" t="s">
        <v>2829</v>
      </c>
      <c r="D1660" s="8" t="s">
        <v>319</v>
      </c>
      <c r="E1660" s="8" t="s">
        <v>40</v>
      </c>
    </row>
    <row r="1661" spans="1:5">
      <c r="A1661" s="8">
        <v>4246</v>
      </c>
      <c r="B1661" s="8" t="s">
        <v>2830</v>
      </c>
      <c r="C1661" s="8" t="s">
        <v>274</v>
      </c>
      <c r="D1661" s="8" t="s">
        <v>121</v>
      </c>
      <c r="E1661" s="8" t="s">
        <v>40</v>
      </c>
    </row>
    <row r="1662" spans="1:5">
      <c r="A1662" s="8">
        <v>4247</v>
      </c>
      <c r="B1662" s="8" t="s">
        <v>2831</v>
      </c>
      <c r="C1662" s="8" t="s">
        <v>1097</v>
      </c>
      <c r="D1662" s="8" t="s">
        <v>132</v>
      </c>
      <c r="E1662" s="8" t="s">
        <v>40</v>
      </c>
    </row>
    <row r="1663" spans="1:5">
      <c r="A1663" s="8">
        <v>4248</v>
      </c>
      <c r="B1663" s="8" t="s">
        <v>2832</v>
      </c>
      <c r="C1663" s="8" t="s">
        <v>761</v>
      </c>
      <c r="D1663" s="8" t="s">
        <v>238</v>
      </c>
      <c r="E1663" s="8" t="s">
        <v>239</v>
      </c>
    </row>
    <row r="1664" spans="1:5">
      <c r="A1664" s="8">
        <v>4252</v>
      </c>
      <c r="B1664" s="8" t="s">
        <v>2833</v>
      </c>
      <c r="C1664" s="8" t="s">
        <v>2834</v>
      </c>
      <c r="D1664" s="8" t="s">
        <v>238</v>
      </c>
      <c r="E1664" s="8" t="s">
        <v>239</v>
      </c>
    </row>
    <row r="1665" spans="1:5">
      <c r="A1665" s="8">
        <v>4253</v>
      </c>
      <c r="B1665" s="8" t="s">
        <v>2835</v>
      </c>
      <c r="C1665" s="8" t="s">
        <v>2836</v>
      </c>
      <c r="D1665" s="8" t="s">
        <v>2836</v>
      </c>
      <c r="E1665" s="8" t="s">
        <v>2837</v>
      </c>
    </row>
    <row r="1666" spans="1:5">
      <c r="A1666" s="8">
        <v>4255</v>
      </c>
      <c r="B1666" s="8" t="s">
        <v>2838</v>
      </c>
      <c r="C1666" s="8" t="s">
        <v>2839</v>
      </c>
      <c r="D1666" s="8" t="s">
        <v>43</v>
      </c>
      <c r="E1666" s="8" t="s">
        <v>40</v>
      </c>
    </row>
    <row r="1667" spans="1:5">
      <c r="A1667" s="8">
        <v>4256</v>
      </c>
      <c r="B1667" s="8" t="s">
        <v>2840</v>
      </c>
      <c r="C1667" s="8" t="s">
        <v>376</v>
      </c>
      <c r="D1667" s="8" t="s">
        <v>691</v>
      </c>
      <c r="E1667" s="8" t="s">
        <v>40</v>
      </c>
    </row>
    <row r="1668" spans="1:5">
      <c r="A1668" s="8">
        <v>4260</v>
      </c>
      <c r="B1668" s="8" t="s">
        <v>2841</v>
      </c>
      <c r="C1668" s="8" t="s">
        <v>2842</v>
      </c>
      <c r="D1668" s="8" t="s">
        <v>1221</v>
      </c>
      <c r="E1668" s="8" t="s">
        <v>40</v>
      </c>
    </row>
    <row r="1669" spans="1:5">
      <c r="A1669" s="8">
        <v>4262</v>
      </c>
      <c r="B1669" s="8" t="s">
        <v>2843</v>
      </c>
      <c r="C1669" s="8" t="s">
        <v>2844</v>
      </c>
      <c r="D1669" s="8" t="s">
        <v>2180</v>
      </c>
      <c r="E1669" s="8" t="s">
        <v>1461</v>
      </c>
    </row>
    <row r="1670" spans="1:5">
      <c r="A1670" s="8">
        <v>4263</v>
      </c>
      <c r="B1670" s="8" t="s">
        <v>2845</v>
      </c>
      <c r="C1670" s="8" t="s">
        <v>54</v>
      </c>
      <c r="D1670" s="8" t="s">
        <v>54</v>
      </c>
      <c r="E1670" s="8" t="s">
        <v>40</v>
      </c>
    </row>
    <row r="1671" spans="1:5">
      <c r="A1671" s="8">
        <v>4264</v>
      </c>
      <c r="B1671" s="8" t="s">
        <v>2846</v>
      </c>
      <c r="C1671" s="8" t="s">
        <v>2847</v>
      </c>
      <c r="D1671" s="8" t="s">
        <v>490</v>
      </c>
      <c r="E1671" s="8" t="s">
        <v>40</v>
      </c>
    </row>
    <row r="1672" spans="1:5">
      <c r="A1672" s="8">
        <v>4265</v>
      </c>
      <c r="B1672" s="8" t="s">
        <v>2848</v>
      </c>
      <c r="C1672" s="8" t="s">
        <v>1660</v>
      </c>
      <c r="D1672" s="8" t="s">
        <v>490</v>
      </c>
      <c r="E1672" s="8" t="s">
        <v>40</v>
      </c>
    </row>
    <row r="1673" spans="1:5">
      <c r="A1673" s="8">
        <v>4267</v>
      </c>
      <c r="B1673" s="8" t="s">
        <v>2849</v>
      </c>
      <c r="C1673" s="8" t="s">
        <v>865</v>
      </c>
      <c r="D1673" s="8" t="s">
        <v>319</v>
      </c>
      <c r="E1673" s="8" t="s">
        <v>40</v>
      </c>
    </row>
    <row r="1674" spans="1:5">
      <c r="A1674" s="8">
        <v>4269</v>
      </c>
      <c r="B1674" s="8" t="s">
        <v>2850</v>
      </c>
      <c r="C1674" s="8" t="s">
        <v>563</v>
      </c>
      <c r="D1674" s="8" t="s">
        <v>81</v>
      </c>
      <c r="E1674" s="8" t="s">
        <v>40</v>
      </c>
    </row>
    <row r="1675" spans="1:5">
      <c r="A1675" s="8">
        <v>4270</v>
      </c>
      <c r="B1675" s="8" t="s">
        <v>291</v>
      </c>
      <c r="C1675" s="8" t="s">
        <v>398</v>
      </c>
      <c r="D1675" s="8" t="s">
        <v>388</v>
      </c>
      <c r="E1675" s="8" t="s">
        <v>40</v>
      </c>
    </row>
    <row r="1676" spans="1:5">
      <c r="A1676" s="8">
        <v>4272</v>
      </c>
      <c r="B1676" s="8" t="s">
        <v>2851</v>
      </c>
      <c r="C1676" s="8" t="s">
        <v>1076</v>
      </c>
      <c r="D1676" s="8" t="s">
        <v>79</v>
      </c>
      <c r="E1676" s="8" t="s">
        <v>40</v>
      </c>
    </row>
    <row r="1677" spans="1:5">
      <c r="A1677" s="8">
        <v>4276</v>
      </c>
      <c r="B1677" s="8" t="s">
        <v>2852</v>
      </c>
      <c r="C1677" s="8" t="s">
        <v>2853</v>
      </c>
      <c r="D1677" s="8" t="s">
        <v>43</v>
      </c>
      <c r="E1677" s="8" t="s">
        <v>40</v>
      </c>
    </row>
    <row r="1678" spans="1:5">
      <c r="A1678" s="8">
        <v>4277</v>
      </c>
      <c r="B1678" s="8" t="s">
        <v>2854</v>
      </c>
      <c r="C1678" s="8" t="s">
        <v>1364</v>
      </c>
      <c r="D1678" s="8" t="s">
        <v>1221</v>
      </c>
      <c r="E1678" s="8" t="s">
        <v>40</v>
      </c>
    </row>
    <row r="1679" spans="1:5">
      <c r="A1679" s="8">
        <v>4281</v>
      </c>
      <c r="B1679" s="8" t="s">
        <v>2855</v>
      </c>
      <c r="C1679" s="8" t="s">
        <v>2856</v>
      </c>
      <c r="D1679" s="8" t="s">
        <v>48</v>
      </c>
      <c r="E1679" s="8" t="s">
        <v>40</v>
      </c>
    </row>
    <row r="1680" spans="1:5">
      <c r="A1680" s="8">
        <v>4283</v>
      </c>
      <c r="B1680" s="8" t="s">
        <v>2857</v>
      </c>
      <c r="C1680" s="8" t="s">
        <v>2858</v>
      </c>
      <c r="D1680" s="8" t="s">
        <v>81</v>
      </c>
      <c r="E1680" s="8" t="s">
        <v>40</v>
      </c>
    </row>
    <row r="1681" spans="1:5">
      <c r="A1681" s="8">
        <v>4284</v>
      </c>
      <c r="B1681" s="8" t="s">
        <v>2859</v>
      </c>
      <c r="C1681" s="8" t="s">
        <v>192</v>
      </c>
      <c r="D1681" s="8" t="s">
        <v>81</v>
      </c>
      <c r="E1681" s="8" t="s">
        <v>40</v>
      </c>
    </row>
    <row r="1682" spans="1:5">
      <c r="A1682" s="8">
        <v>4285</v>
      </c>
      <c r="B1682" s="8" t="s">
        <v>2860</v>
      </c>
      <c r="C1682" s="8" t="s">
        <v>2861</v>
      </c>
      <c r="D1682" s="8" t="s">
        <v>97</v>
      </c>
      <c r="E1682" s="8" t="s">
        <v>40</v>
      </c>
    </row>
    <row r="1683" spans="1:5">
      <c r="A1683" s="8">
        <v>4286</v>
      </c>
      <c r="B1683" s="8" t="s">
        <v>2862</v>
      </c>
      <c r="C1683" s="8" t="s">
        <v>989</v>
      </c>
      <c r="D1683" s="8" t="s">
        <v>159</v>
      </c>
      <c r="E1683" s="8" t="s">
        <v>40</v>
      </c>
    </row>
    <row r="1684" spans="1:5">
      <c r="A1684" s="8">
        <v>4290</v>
      </c>
      <c r="B1684" s="8" t="s">
        <v>2863</v>
      </c>
      <c r="C1684" s="8" t="s">
        <v>2281</v>
      </c>
      <c r="D1684" s="8" t="s">
        <v>429</v>
      </c>
      <c r="E1684" s="8" t="s">
        <v>40</v>
      </c>
    </row>
    <row r="1685" spans="1:5">
      <c r="A1685" s="8">
        <v>4291</v>
      </c>
      <c r="B1685" s="8" t="s">
        <v>2864</v>
      </c>
      <c r="C1685" s="8" t="s">
        <v>2865</v>
      </c>
      <c r="D1685" s="8" t="s">
        <v>429</v>
      </c>
      <c r="E1685" s="8" t="s">
        <v>40</v>
      </c>
    </row>
    <row r="1686" spans="1:5">
      <c r="A1686" s="8">
        <v>4292</v>
      </c>
      <c r="B1686" s="8" t="s">
        <v>2866</v>
      </c>
      <c r="C1686" s="8" t="s">
        <v>977</v>
      </c>
      <c r="D1686" s="8" t="s">
        <v>121</v>
      </c>
      <c r="E1686" s="8" t="s">
        <v>40</v>
      </c>
    </row>
    <row r="1687" spans="1:5">
      <c r="A1687" s="8">
        <v>4293</v>
      </c>
      <c r="B1687" s="8" t="s">
        <v>2867</v>
      </c>
      <c r="C1687" s="8" t="s">
        <v>2868</v>
      </c>
      <c r="D1687" s="8" t="s">
        <v>208</v>
      </c>
      <c r="E1687" s="8" t="s">
        <v>40</v>
      </c>
    </row>
    <row r="1688" spans="1:5">
      <c r="A1688" s="8">
        <v>4295</v>
      </c>
      <c r="B1688" s="8" t="s">
        <v>2869</v>
      </c>
      <c r="C1688" s="8" t="s">
        <v>1646</v>
      </c>
      <c r="D1688" s="8" t="s">
        <v>164</v>
      </c>
      <c r="E1688" s="8" t="s">
        <v>40</v>
      </c>
    </row>
    <row r="1689" spans="1:5">
      <c r="A1689" s="8">
        <v>4296</v>
      </c>
      <c r="B1689" s="8" t="s">
        <v>2870</v>
      </c>
      <c r="C1689" s="8" t="s">
        <v>2871</v>
      </c>
      <c r="D1689" s="8" t="s">
        <v>121</v>
      </c>
      <c r="E1689" s="8" t="s">
        <v>40</v>
      </c>
    </row>
    <row r="1690" spans="1:5">
      <c r="A1690" s="8">
        <v>4299</v>
      </c>
      <c r="B1690" s="8" t="s">
        <v>2872</v>
      </c>
      <c r="C1690" s="8" t="s">
        <v>359</v>
      </c>
      <c r="D1690" s="8" t="s">
        <v>54</v>
      </c>
      <c r="E1690" s="8" t="s">
        <v>40</v>
      </c>
    </row>
    <row r="1691" spans="1:5">
      <c r="A1691" s="8">
        <v>4301</v>
      </c>
      <c r="B1691" s="8" t="s">
        <v>2873</v>
      </c>
      <c r="C1691" s="8" t="s">
        <v>2874</v>
      </c>
      <c r="D1691" s="8" t="s">
        <v>164</v>
      </c>
      <c r="E1691" s="8" t="s">
        <v>40</v>
      </c>
    </row>
    <row r="1692" spans="1:5">
      <c r="A1692" s="8">
        <v>4306</v>
      </c>
      <c r="B1692" s="8" t="s">
        <v>2875</v>
      </c>
      <c r="C1692" s="8" t="s">
        <v>1058</v>
      </c>
      <c r="D1692" s="8" t="s">
        <v>490</v>
      </c>
      <c r="E1692" s="8" t="s">
        <v>40</v>
      </c>
    </row>
    <row r="1693" spans="1:5">
      <c r="A1693" s="8">
        <v>4308</v>
      </c>
      <c r="B1693" s="8" t="s">
        <v>2876</v>
      </c>
      <c r="C1693" s="8" t="s">
        <v>829</v>
      </c>
      <c r="D1693" s="8" t="s">
        <v>238</v>
      </c>
      <c r="E1693" s="8" t="s">
        <v>239</v>
      </c>
    </row>
    <row r="1694" spans="1:5">
      <c r="A1694" s="8">
        <v>4309</v>
      </c>
      <c r="B1694" s="8" t="s">
        <v>2877</v>
      </c>
      <c r="C1694" s="8" t="s">
        <v>1853</v>
      </c>
      <c r="D1694" s="8" t="s">
        <v>264</v>
      </c>
      <c r="E1694" s="8" t="s">
        <v>40</v>
      </c>
    </row>
    <row r="1695" spans="1:5">
      <c r="A1695" s="8">
        <v>4311</v>
      </c>
      <c r="B1695" s="8" t="s">
        <v>2878</v>
      </c>
      <c r="C1695" s="8" t="s">
        <v>2879</v>
      </c>
      <c r="D1695" s="8" t="s">
        <v>60</v>
      </c>
      <c r="E1695" s="8" t="s">
        <v>40</v>
      </c>
    </row>
    <row r="1696" spans="1:5">
      <c r="A1696" s="8">
        <v>4314</v>
      </c>
      <c r="B1696" s="8" t="s">
        <v>2880</v>
      </c>
      <c r="C1696" s="8" t="s">
        <v>2881</v>
      </c>
      <c r="D1696" s="8" t="s">
        <v>121</v>
      </c>
      <c r="E1696" s="8" t="s">
        <v>40</v>
      </c>
    </row>
    <row r="1697" spans="1:5">
      <c r="A1697" s="8">
        <v>4319</v>
      </c>
      <c r="B1697" s="8" t="s">
        <v>2882</v>
      </c>
      <c r="C1697" s="8" t="s">
        <v>1278</v>
      </c>
      <c r="D1697" s="8" t="s">
        <v>1037</v>
      </c>
      <c r="E1697" s="8" t="s">
        <v>1026</v>
      </c>
    </row>
    <row r="1698" spans="1:5">
      <c r="A1698" s="8">
        <v>4320</v>
      </c>
      <c r="B1698" s="8" t="s">
        <v>2883</v>
      </c>
      <c r="C1698" s="8" t="s">
        <v>2884</v>
      </c>
      <c r="D1698" s="8" t="s">
        <v>1034</v>
      </c>
      <c r="E1698" s="8" t="s">
        <v>1026</v>
      </c>
    </row>
    <row r="1699" spans="1:5">
      <c r="A1699" s="8">
        <v>4322</v>
      </c>
      <c r="B1699" s="8" t="s">
        <v>2885</v>
      </c>
      <c r="C1699" s="8" t="s">
        <v>2657</v>
      </c>
      <c r="D1699" s="8" t="s">
        <v>43</v>
      </c>
      <c r="E1699" s="8" t="s">
        <v>40</v>
      </c>
    </row>
    <row r="1700" spans="1:5">
      <c r="A1700" s="8">
        <v>4325</v>
      </c>
      <c r="B1700" s="8" t="s">
        <v>2886</v>
      </c>
      <c r="C1700" s="8" t="s">
        <v>2887</v>
      </c>
      <c r="D1700" s="8" t="s">
        <v>39</v>
      </c>
      <c r="E1700" s="8" t="s">
        <v>40</v>
      </c>
    </row>
    <row r="1701" spans="1:5">
      <c r="A1701" s="8">
        <v>4327</v>
      </c>
      <c r="B1701" s="8" t="s">
        <v>2888</v>
      </c>
      <c r="C1701" s="8" t="s">
        <v>2412</v>
      </c>
      <c r="D1701" s="8" t="s">
        <v>39</v>
      </c>
      <c r="E1701" s="8" t="s">
        <v>40</v>
      </c>
    </row>
    <row r="1702" spans="1:5">
      <c r="A1702" s="8">
        <v>4328</v>
      </c>
      <c r="B1702" s="8" t="s">
        <v>2889</v>
      </c>
      <c r="C1702" s="8" t="s">
        <v>422</v>
      </c>
      <c r="D1702" s="8" t="s">
        <v>164</v>
      </c>
      <c r="E1702" s="8" t="s">
        <v>40</v>
      </c>
    </row>
    <row r="1703" spans="1:5">
      <c r="A1703" s="8">
        <v>4329</v>
      </c>
      <c r="B1703" s="8" t="s">
        <v>2890</v>
      </c>
      <c r="C1703" s="8" t="s">
        <v>2891</v>
      </c>
      <c r="D1703" s="8" t="s">
        <v>691</v>
      </c>
      <c r="E1703" s="8" t="s">
        <v>40</v>
      </c>
    </row>
    <row r="1704" spans="1:5">
      <c r="A1704" s="8">
        <v>4330</v>
      </c>
      <c r="B1704" s="8" t="s">
        <v>2892</v>
      </c>
      <c r="C1704" s="8" t="s">
        <v>690</v>
      </c>
      <c r="D1704" s="8" t="s">
        <v>691</v>
      </c>
      <c r="E1704" s="8" t="s">
        <v>40</v>
      </c>
    </row>
    <row r="1705" spans="1:5">
      <c r="A1705" s="8">
        <v>4332</v>
      </c>
      <c r="B1705" s="8" t="s">
        <v>2893</v>
      </c>
      <c r="C1705" s="8" t="s">
        <v>2894</v>
      </c>
      <c r="D1705" s="8" t="s">
        <v>164</v>
      </c>
      <c r="E1705" s="8" t="s">
        <v>40</v>
      </c>
    </row>
    <row r="1706" spans="1:5">
      <c r="A1706" s="8">
        <v>4334</v>
      </c>
      <c r="B1706" s="8" t="s">
        <v>2895</v>
      </c>
      <c r="C1706" s="8" t="s">
        <v>963</v>
      </c>
      <c r="D1706" s="8" t="s">
        <v>964</v>
      </c>
      <c r="E1706" s="8" t="s">
        <v>239</v>
      </c>
    </row>
    <row r="1707" spans="1:5">
      <c r="A1707" s="8">
        <v>4335</v>
      </c>
      <c r="B1707" s="8" t="s">
        <v>2896</v>
      </c>
      <c r="C1707" s="8" t="s">
        <v>1828</v>
      </c>
      <c r="D1707" s="8" t="s">
        <v>164</v>
      </c>
      <c r="E1707" s="8" t="s">
        <v>40</v>
      </c>
    </row>
    <row r="1708" spans="1:5">
      <c r="A1708" s="8">
        <v>4336</v>
      </c>
      <c r="B1708" s="8" t="s">
        <v>2897</v>
      </c>
      <c r="C1708" s="8" t="s">
        <v>1076</v>
      </c>
      <c r="D1708" s="8" t="s">
        <v>1226</v>
      </c>
      <c r="E1708" s="8" t="s">
        <v>40</v>
      </c>
    </row>
    <row r="1709" spans="1:5">
      <c r="A1709" s="8">
        <v>4337</v>
      </c>
      <c r="B1709" s="8" t="s">
        <v>2898</v>
      </c>
      <c r="C1709" s="8" t="s">
        <v>2899</v>
      </c>
      <c r="D1709" s="8" t="s">
        <v>39</v>
      </c>
      <c r="E1709" s="8" t="s">
        <v>40</v>
      </c>
    </row>
    <row r="1710" spans="1:5">
      <c r="A1710" s="8">
        <v>4338</v>
      </c>
      <c r="B1710" s="8" t="s">
        <v>2900</v>
      </c>
      <c r="C1710" s="8" t="s">
        <v>2901</v>
      </c>
      <c r="D1710" s="8" t="s">
        <v>1034</v>
      </c>
      <c r="E1710" s="8" t="s">
        <v>1026</v>
      </c>
    </row>
    <row r="1711" spans="1:5">
      <c r="A1711" s="8">
        <v>4342</v>
      </c>
      <c r="B1711" s="8" t="s">
        <v>2902</v>
      </c>
      <c r="C1711" s="8" t="s">
        <v>2903</v>
      </c>
      <c r="D1711" s="8" t="s">
        <v>97</v>
      </c>
      <c r="E1711" s="8" t="s">
        <v>40</v>
      </c>
    </row>
    <row r="1712" spans="1:5">
      <c r="A1712" s="8">
        <v>4343</v>
      </c>
      <c r="B1712" s="8" t="s">
        <v>2904</v>
      </c>
      <c r="C1712" s="8" t="s">
        <v>1303</v>
      </c>
      <c r="D1712" s="8" t="s">
        <v>238</v>
      </c>
      <c r="E1712" s="8" t="s">
        <v>239</v>
      </c>
    </row>
    <row r="1713" spans="1:5">
      <c r="A1713" s="8">
        <v>4348</v>
      </c>
      <c r="B1713" s="8" t="s">
        <v>2905</v>
      </c>
      <c r="C1713" s="8" t="s">
        <v>2906</v>
      </c>
      <c r="D1713" s="8" t="s">
        <v>1563</v>
      </c>
      <c r="E1713" s="8" t="s">
        <v>40</v>
      </c>
    </row>
    <row r="1714" spans="1:5">
      <c r="A1714" s="8">
        <v>4353</v>
      </c>
      <c r="B1714" s="8" t="s">
        <v>2907</v>
      </c>
      <c r="C1714" s="8" t="s">
        <v>1076</v>
      </c>
      <c r="D1714" s="8" t="s">
        <v>1226</v>
      </c>
      <c r="E1714" s="8" t="s">
        <v>40</v>
      </c>
    </row>
    <row r="1715" spans="1:5">
      <c r="A1715" s="8">
        <v>4355</v>
      </c>
      <c r="B1715" s="8" t="s">
        <v>2908</v>
      </c>
      <c r="C1715" s="8" t="s">
        <v>2909</v>
      </c>
      <c r="D1715" s="8" t="s">
        <v>2910</v>
      </c>
      <c r="E1715" s="8" t="s">
        <v>1461</v>
      </c>
    </row>
    <row r="1716" spans="1:5">
      <c r="A1716" s="8">
        <v>4356</v>
      </c>
      <c r="B1716" s="8" t="s">
        <v>2911</v>
      </c>
      <c r="C1716" s="8" t="s">
        <v>2912</v>
      </c>
      <c r="D1716" s="8" t="s">
        <v>691</v>
      </c>
      <c r="E1716" s="8" t="s">
        <v>40</v>
      </c>
    </row>
    <row r="1717" spans="1:5">
      <c r="A1717" s="8">
        <v>4360</v>
      </c>
      <c r="B1717" s="8" t="s">
        <v>2913</v>
      </c>
      <c r="C1717" s="8" t="s">
        <v>2914</v>
      </c>
      <c r="D1717" s="8" t="s">
        <v>1221</v>
      </c>
      <c r="E1717" s="8" t="s">
        <v>40</v>
      </c>
    </row>
    <row r="1718" spans="1:5">
      <c r="A1718" s="8">
        <v>4361</v>
      </c>
      <c r="B1718" s="8" t="s">
        <v>2915</v>
      </c>
      <c r="C1718" s="8" t="s">
        <v>2916</v>
      </c>
      <c r="D1718" s="8" t="s">
        <v>48</v>
      </c>
      <c r="E1718" s="8" t="s">
        <v>40</v>
      </c>
    </row>
    <row r="1719" spans="1:5">
      <c r="A1719" s="8">
        <v>4362</v>
      </c>
      <c r="B1719" s="8" t="s">
        <v>2917</v>
      </c>
      <c r="C1719" s="8" t="s">
        <v>2445</v>
      </c>
      <c r="D1719" s="8" t="s">
        <v>39</v>
      </c>
      <c r="E1719" s="8" t="s">
        <v>40</v>
      </c>
    </row>
    <row r="1720" spans="1:5">
      <c r="A1720" s="8">
        <v>4364</v>
      </c>
      <c r="B1720" s="8" t="s">
        <v>1334</v>
      </c>
      <c r="C1720" s="8" t="s">
        <v>2918</v>
      </c>
      <c r="D1720" s="8" t="s">
        <v>164</v>
      </c>
      <c r="E1720" s="8" t="s">
        <v>40</v>
      </c>
    </row>
    <row r="1721" spans="1:5">
      <c r="A1721" s="8">
        <v>4371</v>
      </c>
      <c r="B1721" s="8" t="s">
        <v>2919</v>
      </c>
      <c r="C1721" s="8" t="s">
        <v>2920</v>
      </c>
      <c r="D1721" s="8" t="s">
        <v>1461</v>
      </c>
      <c r="E1721" s="8" t="s">
        <v>1461</v>
      </c>
    </row>
    <row r="1722" spans="1:5">
      <c r="A1722" s="8">
        <v>4373</v>
      </c>
      <c r="B1722" s="8" t="s">
        <v>2921</v>
      </c>
      <c r="C1722" s="8" t="s">
        <v>2922</v>
      </c>
      <c r="D1722" s="8" t="s">
        <v>97</v>
      </c>
      <c r="E1722" s="8" t="s">
        <v>40</v>
      </c>
    </row>
    <row r="1723" spans="1:5">
      <c r="A1723" s="8">
        <v>4375</v>
      </c>
      <c r="B1723" s="8" t="s">
        <v>2923</v>
      </c>
      <c r="C1723" s="8" t="s">
        <v>2924</v>
      </c>
      <c r="D1723" s="8" t="s">
        <v>39</v>
      </c>
      <c r="E1723" s="8" t="s">
        <v>40</v>
      </c>
    </row>
    <row r="1724" spans="1:5">
      <c r="A1724" s="8">
        <v>4376</v>
      </c>
      <c r="B1724" s="8" t="s">
        <v>2925</v>
      </c>
      <c r="C1724" s="8" t="s">
        <v>2926</v>
      </c>
      <c r="D1724" s="8" t="s">
        <v>39</v>
      </c>
      <c r="E1724" s="8" t="s">
        <v>40</v>
      </c>
    </row>
    <row r="1725" spans="1:5">
      <c r="A1725" s="8">
        <v>4377</v>
      </c>
      <c r="B1725" s="8" t="s">
        <v>2927</v>
      </c>
      <c r="C1725" s="8" t="s">
        <v>2928</v>
      </c>
      <c r="D1725" s="8" t="s">
        <v>39</v>
      </c>
      <c r="E1725" s="8" t="s">
        <v>40</v>
      </c>
    </row>
    <row r="1726" spans="1:5">
      <c r="A1726" s="8">
        <v>4378</v>
      </c>
      <c r="B1726" s="8" t="s">
        <v>2929</v>
      </c>
      <c r="C1726" s="8" t="s">
        <v>1944</v>
      </c>
      <c r="D1726" s="8" t="s">
        <v>164</v>
      </c>
      <c r="E1726" s="8" t="s">
        <v>40</v>
      </c>
    </row>
    <row r="1727" spans="1:5">
      <c r="A1727" s="8">
        <v>4380</v>
      </c>
      <c r="B1727" s="8" t="s">
        <v>2930</v>
      </c>
      <c r="C1727" s="8" t="s">
        <v>1114</v>
      </c>
      <c r="D1727" s="8" t="s">
        <v>39</v>
      </c>
      <c r="E1727" s="8" t="s">
        <v>40</v>
      </c>
    </row>
    <row r="1728" spans="1:5">
      <c r="A1728" s="8">
        <v>4381</v>
      </c>
      <c r="B1728" s="8" t="s">
        <v>2931</v>
      </c>
      <c r="C1728" s="8" t="s">
        <v>2932</v>
      </c>
      <c r="D1728" s="8" t="s">
        <v>39</v>
      </c>
      <c r="E1728" s="8" t="s">
        <v>40</v>
      </c>
    </row>
    <row r="1729" spans="1:5">
      <c r="A1729" s="8">
        <v>4382</v>
      </c>
      <c r="B1729" s="8" t="s">
        <v>2933</v>
      </c>
      <c r="C1729" s="8" t="s">
        <v>583</v>
      </c>
      <c r="D1729" s="8" t="s">
        <v>39</v>
      </c>
      <c r="E1729" s="8" t="s">
        <v>40</v>
      </c>
    </row>
    <row r="1730" spans="1:5">
      <c r="A1730" s="8">
        <v>4383</v>
      </c>
      <c r="B1730" s="8" t="s">
        <v>2934</v>
      </c>
      <c r="C1730" s="8" t="s">
        <v>359</v>
      </c>
      <c r="D1730" s="8" t="s">
        <v>54</v>
      </c>
      <c r="E1730" s="8" t="s">
        <v>40</v>
      </c>
    </row>
    <row r="1731" spans="1:5">
      <c r="A1731" s="8">
        <v>4384</v>
      </c>
      <c r="B1731" s="8" t="s">
        <v>2935</v>
      </c>
      <c r="C1731" s="8" t="s">
        <v>274</v>
      </c>
      <c r="D1731" s="8" t="s">
        <v>39</v>
      </c>
      <c r="E1731" s="8" t="s">
        <v>40</v>
      </c>
    </row>
    <row r="1732" spans="1:5">
      <c r="A1732" s="8">
        <v>4386</v>
      </c>
      <c r="B1732" s="8" t="s">
        <v>2936</v>
      </c>
      <c r="C1732" s="8" t="s">
        <v>2937</v>
      </c>
      <c r="D1732" s="8" t="s">
        <v>208</v>
      </c>
      <c r="E1732" s="8" t="s">
        <v>40</v>
      </c>
    </row>
    <row r="1733" spans="1:5">
      <c r="A1733" s="8">
        <v>4388</v>
      </c>
      <c r="B1733" s="8" t="s">
        <v>2938</v>
      </c>
      <c r="C1733" s="8" t="s">
        <v>207</v>
      </c>
      <c r="D1733" s="8" t="s">
        <v>208</v>
      </c>
      <c r="E1733" s="8" t="s">
        <v>40</v>
      </c>
    </row>
    <row r="1734" spans="1:5">
      <c r="A1734" s="8">
        <v>4390</v>
      </c>
      <c r="B1734" s="8" t="s">
        <v>2939</v>
      </c>
      <c r="C1734" s="8" t="s">
        <v>841</v>
      </c>
      <c r="D1734" s="8" t="s">
        <v>39</v>
      </c>
      <c r="E1734" s="8" t="s">
        <v>40</v>
      </c>
    </row>
    <row r="1735" spans="1:5">
      <c r="A1735" s="8">
        <v>4391</v>
      </c>
      <c r="B1735" s="8" t="s">
        <v>2940</v>
      </c>
      <c r="C1735" s="8" t="s">
        <v>1541</v>
      </c>
      <c r="D1735" s="8" t="s">
        <v>39</v>
      </c>
      <c r="E1735" s="8" t="s">
        <v>40</v>
      </c>
    </row>
    <row r="1736" spans="1:5">
      <c r="A1736" s="8">
        <v>4392</v>
      </c>
      <c r="B1736" s="8" t="s">
        <v>2941</v>
      </c>
      <c r="C1736" s="8" t="s">
        <v>2942</v>
      </c>
      <c r="D1736" s="8" t="s">
        <v>39</v>
      </c>
      <c r="E1736" s="8" t="s">
        <v>40</v>
      </c>
    </row>
    <row r="1737" spans="1:5">
      <c r="A1737" s="8">
        <v>4395</v>
      </c>
      <c r="B1737" s="8" t="s">
        <v>2943</v>
      </c>
      <c r="C1737" s="8" t="s">
        <v>2944</v>
      </c>
      <c r="D1737" s="8" t="s">
        <v>39</v>
      </c>
      <c r="E1737" s="8" t="s">
        <v>40</v>
      </c>
    </row>
    <row r="1738" spans="1:5">
      <c r="A1738" s="8">
        <v>4397</v>
      </c>
      <c r="B1738" s="8" t="s">
        <v>2945</v>
      </c>
      <c r="C1738" s="8" t="s">
        <v>2946</v>
      </c>
      <c r="D1738" s="8" t="s">
        <v>1221</v>
      </c>
      <c r="E1738" s="8" t="s">
        <v>40</v>
      </c>
    </row>
    <row r="1739" spans="1:5">
      <c r="A1739" s="8">
        <v>4398</v>
      </c>
      <c r="B1739" s="8" t="s">
        <v>2947</v>
      </c>
      <c r="C1739" s="8" t="s">
        <v>1122</v>
      </c>
      <c r="D1739" s="8" t="s">
        <v>39</v>
      </c>
      <c r="E1739" s="8" t="s">
        <v>40</v>
      </c>
    </row>
    <row r="1740" spans="1:5">
      <c r="A1740" s="8">
        <v>4400</v>
      </c>
      <c r="B1740" s="8" t="s">
        <v>2948</v>
      </c>
      <c r="C1740" s="8" t="s">
        <v>2949</v>
      </c>
      <c r="D1740" s="8" t="s">
        <v>2298</v>
      </c>
      <c r="E1740" s="8" t="s">
        <v>1461</v>
      </c>
    </row>
    <row r="1741" spans="1:5">
      <c r="A1741" s="8">
        <v>4401</v>
      </c>
      <c r="B1741" s="8" t="s">
        <v>2950</v>
      </c>
      <c r="C1741" s="8" t="s">
        <v>2951</v>
      </c>
      <c r="D1741" s="8" t="s">
        <v>2298</v>
      </c>
      <c r="E1741" s="8" t="s">
        <v>1461</v>
      </c>
    </row>
    <row r="1742" spans="1:5">
      <c r="A1742" s="8">
        <v>4403</v>
      </c>
      <c r="B1742" s="8" t="s">
        <v>2952</v>
      </c>
      <c r="C1742" s="8" t="s">
        <v>2953</v>
      </c>
      <c r="D1742" s="8" t="s">
        <v>2298</v>
      </c>
      <c r="E1742" s="8" t="s">
        <v>1461</v>
      </c>
    </row>
    <row r="1743" spans="1:5">
      <c r="A1743" s="8">
        <v>4405</v>
      </c>
      <c r="B1743" s="8" t="s">
        <v>2954</v>
      </c>
      <c r="C1743" s="8" t="s">
        <v>656</v>
      </c>
      <c r="D1743" s="8" t="s">
        <v>39</v>
      </c>
      <c r="E1743" s="8" t="s">
        <v>40</v>
      </c>
    </row>
    <row r="1744" spans="1:5">
      <c r="A1744" s="8">
        <v>4408</v>
      </c>
      <c r="B1744" s="8" t="s">
        <v>2955</v>
      </c>
      <c r="C1744" s="8" t="s">
        <v>2412</v>
      </c>
      <c r="D1744" s="8" t="s">
        <v>39</v>
      </c>
      <c r="E1744" s="8" t="s">
        <v>40</v>
      </c>
    </row>
    <row r="1745" spans="1:5">
      <c r="A1745" s="8">
        <v>4409</v>
      </c>
      <c r="B1745" s="8" t="s">
        <v>2956</v>
      </c>
      <c r="C1745" s="8" t="s">
        <v>1554</v>
      </c>
      <c r="D1745" s="8" t="s">
        <v>39</v>
      </c>
      <c r="E1745" s="8" t="s">
        <v>40</v>
      </c>
    </row>
    <row r="1746" spans="1:5">
      <c r="A1746" s="8">
        <v>4412</v>
      </c>
      <c r="B1746" s="8" t="s">
        <v>2957</v>
      </c>
      <c r="C1746" s="8" t="s">
        <v>445</v>
      </c>
      <c r="D1746" s="8" t="s">
        <v>164</v>
      </c>
      <c r="E1746" s="8" t="s">
        <v>40</v>
      </c>
    </row>
    <row r="1747" spans="1:5">
      <c r="A1747" s="8">
        <v>4415</v>
      </c>
      <c r="B1747" s="8" t="s">
        <v>2958</v>
      </c>
      <c r="C1747" s="8" t="s">
        <v>2959</v>
      </c>
      <c r="D1747" s="8" t="s">
        <v>43</v>
      </c>
      <c r="E1747" s="8" t="s">
        <v>40</v>
      </c>
    </row>
    <row r="1748" spans="1:5">
      <c r="A1748" s="8">
        <v>4416</v>
      </c>
      <c r="B1748" s="8" t="s">
        <v>1621</v>
      </c>
      <c r="C1748" s="8" t="s">
        <v>2960</v>
      </c>
      <c r="D1748" s="8" t="s">
        <v>1031</v>
      </c>
      <c r="E1748" s="8" t="s">
        <v>1026</v>
      </c>
    </row>
    <row r="1749" spans="1:5">
      <c r="A1749" s="8">
        <v>4418</v>
      </c>
      <c r="B1749" s="8" t="s">
        <v>2961</v>
      </c>
      <c r="C1749" s="8" t="s">
        <v>2868</v>
      </c>
      <c r="D1749" s="8" t="s">
        <v>208</v>
      </c>
      <c r="E1749" s="8" t="s">
        <v>40</v>
      </c>
    </row>
    <row r="1750" spans="1:5">
      <c r="A1750" s="8">
        <v>4450</v>
      </c>
      <c r="B1750" s="8" t="s">
        <v>2962</v>
      </c>
      <c r="C1750" s="8" t="s">
        <v>2963</v>
      </c>
      <c r="D1750" s="8" t="s">
        <v>264</v>
      </c>
      <c r="E1750" s="8" t="s">
        <v>40</v>
      </c>
    </row>
    <row r="1751" spans="1:5">
      <c r="A1751" s="8">
        <v>4451</v>
      </c>
      <c r="B1751" s="8" t="s">
        <v>2964</v>
      </c>
      <c r="C1751" s="8" t="s">
        <v>2965</v>
      </c>
      <c r="D1751" s="8" t="s">
        <v>319</v>
      </c>
      <c r="E1751" s="8" t="s">
        <v>40</v>
      </c>
    </row>
    <row r="1752" spans="1:5">
      <c r="A1752" s="8">
        <v>4453</v>
      </c>
      <c r="B1752" s="8" t="s">
        <v>2966</v>
      </c>
      <c r="C1752" s="8" t="s">
        <v>1146</v>
      </c>
      <c r="D1752" s="8" t="s">
        <v>39</v>
      </c>
      <c r="E1752" s="8" t="s">
        <v>40</v>
      </c>
    </row>
    <row r="1753" spans="1:5">
      <c r="A1753" s="8">
        <v>4454</v>
      </c>
      <c r="B1753" s="8" t="s">
        <v>2967</v>
      </c>
      <c r="C1753" s="8" t="s">
        <v>351</v>
      </c>
      <c r="D1753" s="8" t="s">
        <v>97</v>
      </c>
      <c r="E1753" s="8" t="s">
        <v>40</v>
      </c>
    </row>
    <row r="1754" spans="1:5">
      <c r="A1754" s="8">
        <v>4455</v>
      </c>
      <c r="B1754" s="8" t="s">
        <v>2968</v>
      </c>
      <c r="C1754" s="8" t="s">
        <v>2969</v>
      </c>
      <c r="D1754" s="8" t="s">
        <v>691</v>
      </c>
      <c r="E1754" s="8" t="s">
        <v>40</v>
      </c>
    </row>
    <row r="1755" spans="1:5">
      <c r="A1755" s="8">
        <v>4456</v>
      </c>
      <c r="B1755" s="8" t="s">
        <v>2970</v>
      </c>
      <c r="C1755" s="8" t="s">
        <v>264</v>
      </c>
      <c r="D1755" s="8" t="s">
        <v>947</v>
      </c>
      <c r="E1755" s="8" t="s">
        <v>40</v>
      </c>
    </row>
    <row r="1756" spans="1:5">
      <c r="A1756" s="8">
        <v>4458</v>
      </c>
      <c r="B1756" s="8" t="s">
        <v>2971</v>
      </c>
      <c r="C1756" s="8" t="s">
        <v>2972</v>
      </c>
      <c r="D1756" s="8" t="s">
        <v>54</v>
      </c>
      <c r="E1756" s="8" t="s">
        <v>40</v>
      </c>
    </row>
    <row r="1757" spans="1:5">
      <c r="A1757" s="8">
        <v>4459</v>
      </c>
      <c r="B1757" s="8" t="s">
        <v>2973</v>
      </c>
      <c r="C1757" s="8" t="s">
        <v>2974</v>
      </c>
      <c r="D1757" s="8" t="s">
        <v>630</v>
      </c>
      <c r="E1757" s="8" t="s">
        <v>40</v>
      </c>
    </row>
    <row r="1758" spans="1:5">
      <c r="A1758" s="8">
        <v>4461</v>
      </c>
      <c r="B1758" s="8" t="s">
        <v>2975</v>
      </c>
      <c r="C1758" s="8" t="s">
        <v>458</v>
      </c>
      <c r="D1758" s="8" t="s">
        <v>264</v>
      </c>
      <c r="E1758" s="8" t="s">
        <v>40</v>
      </c>
    </row>
    <row r="1759" spans="1:5">
      <c r="A1759" s="8">
        <v>4462</v>
      </c>
      <c r="B1759" s="8" t="s">
        <v>874</v>
      </c>
      <c r="C1759" s="8" t="s">
        <v>1734</v>
      </c>
      <c r="D1759" s="8" t="s">
        <v>490</v>
      </c>
      <c r="E1759" s="8" t="s">
        <v>40</v>
      </c>
    </row>
    <row r="1760" spans="1:5">
      <c r="A1760" s="8">
        <v>4464</v>
      </c>
      <c r="B1760" s="8" t="s">
        <v>2976</v>
      </c>
      <c r="C1760" s="8" t="s">
        <v>2977</v>
      </c>
      <c r="D1760" s="8" t="s">
        <v>438</v>
      </c>
      <c r="E1760" s="8" t="s">
        <v>40</v>
      </c>
    </row>
    <row r="1761" spans="1:5">
      <c r="A1761" s="8">
        <v>4466</v>
      </c>
      <c r="B1761" s="8" t="s">
        <v>2978</v>
      </c>
      <c r="C1761" s="8" t="s">
        <v>2979</v>
      </c>
      <c r="D1761" s="8" t="s">
        <v>159</v>
      </c>
      <c r="E1761" s="8" t="s">
        <v>40</v>
      </c>
    </row>
    <row r="1762" spans="1:5">
      <c r="A1762" s="8">
        <v>4467</v>
      </c>
      <c r="B1762" s="8" t="s">
        <v>2980</v>
      </c>
      <c r="C1762" s="8" t="s">
        <v>2981</v>
      </c>
      <c r="D1762" s="8" t="s">
        <v>97</v>
      </c>
      <c r="E1762" s="8" t="s">
        <v>40</v>
      </c>
    </row>
    <row r="1763" spans="1:5">
      <c r="A1763" s="8">
        <v>4468</v>
      </c>
      <c r="B1763" s="8" t="s">
        <v>2982</v>
      </c>
      <c r="C1763" s="8" t="s">
        <v>934</v>
      </c>
      <c r="D1763" s="8" t="s">
        <v>630</v>
      </c>
      <c r="E1763" s="8" t="s">
        <v>40</v>
      </c>
    </row>
    <row r="1764" spans="1:5">
      <c r="A1764" s="8">
        <v>4469</v>
      </c>
      <c r="B1764" s="8" t="s">
        <v>2983</v>
      </c>
      <c r="C1764" s="8" t="s">
        <v>2984</v>
      </c>
      <c r="D1764" s="8" t="s">
        <v>264</v>
      </c>
      <c r="E1764" s="8" t="s">
        <v>40</v>
      </c>
    </row>
    <row r="1765" spans="1:5">
      <c r="A1765" s="8">
        <v>4470</v>
      </c>
      <c r="B1765" s="8" t="s">
        <v>2985</v>
      </c>
      <c r="C1765" s="8" t="s">
        <v>2986</v>
      </c>
      <c r="D1765" s="8" t="s">
        <v>43</v>
      </c>
      <c r="E1765" s="8" t="s">
        <v>40</v>
      </c>
    </row>
    <row r="1766" spans="1:5">
      <c r="A1766" s="8">
        <v>4471</v>
      </c>
      <c r="B1766" s="8" t="s">
        <v>2987</v>
      </c>
      <c r="C1766" s="8" t="s">
        <v>636</v>
      </c>
      <c r="D1766" s="8" t="s">
        <v>57</v>
      </c>
      <c r="E1766" s="8" t="s">
        <v>40</v>
      </c>
    </row>
    <row r="1767" spans="1:5">
      <c r="A1767" s="8">
        <v>4472</v>
      </c>
      <c r="B1767" s="8" t="s">
        <v>2988</v>
      </c>
      <c r="C1767" s="8" t="s">
        <v>1249</v>
      </c>
      <c r="D1767" s="8" t="s">
        <v>159</v>
      </c>
      <c r="E1767" s="8" t="s">
        <v>40</v>
      </c>
    </row>
    <row r="1768" spans="1:5">
      <c r="A1768" s="8">
        <v>4473</v>
      </c>
      <c r="B1768" s="8" t="s">
        <v>2989</v>
      </c>
      <c r="C1768" s="8" t="s">
        <v>2990</v>
      </c>
      <c r="D1768" s="8" t="s">
        <v>87</v>
      </c>
      <c r="E1768" s="8" t="s">
        <v>40</v>
      </c>
    </row>
    <row r="1769" spans="1:5">
      <c r="A1769" s="8">
        <v>4476</v>
      </c>
      <c r="B1769" s="8" t="s">
        <v>2991</v>
      </c>
      <c r="C1769" s="8" t="s">
        <v>1734</v>
      </c>
      <c r="D1769" s="8" t="s">
        <v>238</v>
      </c>
      <c r="E1769" s="8" t="s">
        <v>239</v>
      </c>
    </row>
    <row r="1770" spans="1:5">
      <c r="A1770" s="8">
        <v>4480</v>
      </c>
      <c r="B1770" s="8" t="s">
        <v>2992</v>
      </c>
      <c r="C1770" s="8" t="s">
        <v>2993</v>
      </c>
      <c r="D1770" s="8" t="s">
        <v>1221</v>
      </c>
      <c r="E1770" s="8" t="s">
        <v>40</v>
      </c>
    </row>
    <row r="1771" spans="1:5">
      <c r="A1771" s="8">
        <v>4481</v>
      </c>
      <c r="B1771" s="8" t="s">
        <v>2994</v>
      </c>
      <c r="C1771" s="8" t="s">
        <v>2995</v>
      </c>
      <c r="D1771" s="8" t="s">
        <v>2996</v>
      </c>
      <c r="E1771" s="8" t="s">
        <v>2997</v>
      </c>
    </row>
    <row r="1772" spans="1:5">
      <c r="A1772" s="8">
        <v>4482</v>
      </c>
      <c r="B1772" s="8" t="s">
        <v>2998</v>
      </c>
      <c r="C1772" s="8" t="s">
        <v>1101</v>
      </c>
      <c r="D1772" s="8" t="s">
        <v>39</v>
      </c>
      <c r="E1772" s="8" t="s">
        <v>40</v>
      </c>
    </row>
    <row r="1773" spans="1:5">
      <c r="A1773" s="8">
        <v>4485</v>
      </c>
      <c r="B1773" s="8" t="s">
        <v>2999</v>
      </c>
      <c r="C1773" s="8" t="s">
        <v>648</v>
      </c>
      <c r="D1773" s="8" t="s">
        <v>79</v>
      </c>
      <c r="E1773" s="8" t="s">
        <v>40</v>
      </c>
    </row>
    <row r="1774" spans="1:5">
      <c r="A1774" s="8">
        <v>4486</v>
      </c>
      <c r="B1774" s="8" t="s">
        <v>3000</v>
      </c>
      <c r="C1774" s="8" t="s">
        <v>3001</v>
      </c>
      <c r="D1774" s="8" t="s">
        <v>43</v>
      </c>
      <c r="E1774" s="8" t="s">
        <v>40</v>
      </c>
    </row>
    <row r="1775" spans="1:5">
      <c r="A1775" s="8">
        <v>4488</v>
      </c>
      <c r="B1775" s="8" t="s">
        <v>3002</v>
      </c>
      <c r="C1775" s="8" t="s">
        <v>3003</v>
      </c>
      <c r="D1775" s="8" t="s">
        <v>603</v>
      </c>
      <c r="E1775" s="8" t="s">
        <v>40</v>
      </c>
    </row>
    <row r="1776" spans="1:5">
      <c r="A1776" s="8">
        <v>4495</v>
      </c>
      <c r="B1776" s="8" t="s">
        <v>3004</v>
      </c>
      <c r="C1776" s="8" t="s">
        <v>3005</v>
      </c>
      <c r="D1776" s="8" t="s">
        <v>264</v>
      </c>
      <c r="E1776" s="8" t="s">
        <v>40</v>
      </c>
    </row>
    <row r="1777" spans="1:5">
      <c r="A1777" s="8">
        <v>4496</v>
      </c>
      <c r="B1777" s="8" t="s">
        <v>3006</v>
      </c>
      <c r="C1777" s="8" t="s">
        <v>3007</v>
      </c>
      <c r="D1777" s="8" t="s">
        <v>92</v>
      </c>
      <c r="E1777" s="8" t="s">
        <v>40</v>
      </c>
    </row>
    <row r="1778" spans="1:5">
      <c r="A1778" s="8">
        <v>4499</v>
      </c>
      <c r="B1778" s="8" t="s">
        <v>3008</v>
      </c>
      <c r="C1778" s="8" t="s">
        <v>207</v>
      </c>
      <c r="D1778" s="8" t="s">
        <v>208</v>
      </c>
      <c r="E1778" s="8" t="s">
        <v>40</v>
      </c>
    </row>
    <row r="1779" spans="1:5">
      <c r="A1779" s="8">
        <v>4500</v>
      </c>
      <c r="B1779" s="8" t="s">
        <v>3009</v>
      </c>
      <c r="C1779" s="8" t="s">
        <v>1198</v>
      </c>
      <c r="D1779" s="8" t="s">
        <v>691</v>
      </c>
      <c r="E1779" s="8" t="s">
        <v>40</v>
      </c>
    </row>
    <row r="1780" spans="1:5">
      <c r="A1780" s="8">
        <v>4501</v>
      </c>
      <c r="B1780" s="8" t="s">
        <v>3010</v>
      </c>
      <c r="C1780" s="8" t="s">
        <v>3011</v>
      </c>
      <c r="D1780" s="8" t="s">
        <v>43</v>
      </c>
      <c r="E1780" s="8" t="s">
        <v>40</v>
      </c>
    </row>
    <row r="1781" spans="1:5">
      <c r="A1781" s="8">
        <v>4504</v>
      </c>
      <c r="B1781" s="8" t="s">
        <v>3012</v>
      </c>
      <c r="C1781" s="8" t="s">
        <v>1390</v>
      </c>
      <c r="D1781" s="8" t="s">
        <v>490</v>
      </c>
      <c r="E1781" s="8" t="s">
        <v>40</v>
      </c>
    </row>
    <row r="1782" spans="1:5">
      <c r="A1782" s="8">
        <v>4505</v>
      </c>
      <c r="B1782" s="8" t="s">
        <v>3013</v>
      </c>
      <c r="C1782" s="8" t="s">
        <v>3014</v>
      </c>
      <c r="D1782" s="8" t="s">
        <v>438</v>
      </c>
      <c r="E1782" s="8" t="s">
        <v>40</v>
      </c>
    </row>
    <row r="1783" spans="1:5">
      <c r="A1783" s="8">
        <v>4506</v>
      </c>
      <c r="B1783" s="8" t="s">
        <v>3015</v>
      </c>
      <c r="C1783" s="8" t="s">
        <v>1319</v>
      </c>
      <c r="D1783" s="8" t="s">
        <v>1221</v>
      </c>
      <c r="E1783" s="8" t="s">
        <v>40</v>
      </c>
    </row>
    <row r="1784" spans="1:5">
      <c r="A1784" s="8">
        <v>4508</v>
      </c>
      <c r="B1784" s="8" t="s">
        <v>3016</v>
      </c>
      <c r="C1784" s="8" t="s">
        <v>3017</v>
      </c>
      <c r="D1784" s="8" t="s">
        <v>54</v>
      </c>
      <c r="E1784" s="8" t="s">
        <v>40</v>
      </c>
    </row>
    <row r="1785" spans="1:5">
      <c r="A1785" s="8">
        <v>4509</v>
      </c>
      <c r="B1785" s="8" t="s">
        <v>3018</v>
      </c>
      <c r="C1785" s="8" t="s">
        <v>3019</v>
      </c>
      <c r="D1785" s="8" t="s">
        <v>630</v>
      </c>
      <c r="E1785" s="8" t="s">
        <v>40</v>
      </c>
    </row>
    <row r="1786" spans="1:5">
      <c r="A1786" s="8">
        <v>4511</v>
      </c>
      <c r="B1786" s="8" t="s">
        <v>3020</v>
      </c>
      <c r="C1786" s="8" t="s">
        <v>59</v>
      </c>
      <c r="D1786" s="8" t="s">
        <v>1221</v>
      </c>
      <c r="E1786" s="8" t="s">
        <v>40</v>
      </c>
    </row>
    <row r="1787" spans="1:5">
      <c r="A1787" s="8">
        <v>4512</v>
      </c>
      <c r="B1787" s="8" t="s">
        <v>3021</v>
      </c>
      <c r="C1787" s="8" t="s">
        <v>3022</v>
      </c>
      <c r="D1787" s="8" t="s">
        <v>264</v>
      </c>
      <c r="E1787" s="8" t="s">
        <v>40</v>
      </c>
    </row>
    <row r="1788" spans="1:5">
      <c r="A1788" s="8">
        <v>4513</v>
      </c>
      <c r="B1788" s="8" t="s">
        <v>575</v>
      </c>
      <c r="C1788" s="8" t="s">
        <v>3023</v>
      </c>
      <c r="D1788" s="8" t="s">
        <v>264</v>
      </c>
      <c r="E1788" s="8" t="s">
        <v>40</v>
      </c>
    </row>
    <row r="1789" spans="1:5">
      <c r="A1789" s="8">
        <v>4514</v>
      </c>
      <c r="B1789" s="8" t="s">
        <v>3024</v>
      </c>
      <c r="C1789" s="8" t="s">
        <v>3025</v>
      </c>
      <c r="D1789" s="8" t="s">
        <v>438</v>
      </c>
      <c r="E1789" s="8" t="s">
        <v>40</v>
      </c>
    </row>
    <row r="1790" spans="1:5">
      <c r="A1790" s="8">
        <v>4516</v>
      </c>
      <c r="B1790" s="8" t="s">
        <v>2184</v>
      </c>
      <c r="C1790" s="8" t="s">
        <v>629</v>
      </c>
      <c r="D1790" s="8" t="s">
        <v>630</v>
      </c>
      <c r="E1790" s="8" t="s">
        <v>40</v>
      </c>
    </row>
    <row r="1791" spans="1:5">
      <c r="A1791" s="8">
        <v>4519</v>
      </c>
      <c r="B1791" s="8" t="s">
        <v>3026</v>
      </c>
      <c r="C1791" s="8" t="s">
        <v>607</v>
      </c>
      <c r="D1791" s="8" t="s">
        <v>238</v>
      </c>
      <c r="E1791" s="8" t="s">
        <v>239</v>
      </c>
    </row>
    <row r="1792" spans="1:5">
      <c r="A1792" s="8">
        <v>4521</v>
      </c>
      <c r="B1792" s="8" t="s">
        <v>3027</v>
      </c>
      <c r="C1792" s="8" t="s">
        <v>3028</v>
      </c>
      <c r="D1792" s="8" t="s">
        <v>81</v>
      </c>
      <c r="E1792" s="8" t="s">
        <v>40</v>
      </c>
    </row>
    <row r="1793" spans="1:5">
      <c r="A1793" s="8">
        <v>4522</v>
      </c>
      <c r="B1793" s="8" t="s">
        <v>3029</v>
      </c>
      <c r="C1793" s="8" t="s">
        <v>3030</v>
      </c>
      <c r="D1793" s="8" t="s">
        <v>691</v>
      </c>
      <c r="E1793" s="8" t="s">
        <v>40</v>
      </c>
    </row>
    <row r="1794" spans="1:5">
      <c r="A1794" s="8">
        <v>4523</v>
      </c>
      <c r="B1794" s="8" t="s">
        <v>3031</v>
      </c>
      <c r="C1794" s="8" t="s">
        <v>3032</v>
      </c>
      <c r="D1794" s="8" t="s">
        <v>69</v>
      </c>
      <c r="E1794" s="8" t="s">
        <v>40</v>
      </c>
    </row>
    <row r="1795" spans="1:5">
      <c r="A1795" s="8">
        <v>4525</v>
      </c>
      <c r="B1795" s="8" t="s">
        <v>3033</v>
      </c>
      <c r="C1795" s="8" t="s">
        <v>3034</v>
      </c>
      <c r="D1795" s="8" t="s">
        <v>238</v>
      </c>
      <c r="E1795" s="8" t="s">
        <v>239</v>
      </c>
    </row>
    <row r="1796" spans="1:5">
      <c r="A1796" s="8">
        <v>4528</v>
      </c>
      <c r="B1796" s="8" t="s">
        <v>3035</v>
      </c>
      <c r="C1796" s="8" t="s">
        <v>3036</v>
      </c>
      <c r="D1796" s="8" t="s">
        <v>54</v>
      </c>
      <c r="E1796" s="8" t="s">
        <v>40</v>
      </c>
    </row>
    <row r="1797" spans="1:5">
      <c r="A1797" s="8">
        <v>4531</v>
      </c>
      <c r="B1797" s="8" t="s">
        <v>3037</v>
      </c>
      <c r="C1797" s="8" t="s">
        <v>3038</v>
      </c>
      <c r="D1797" s="8" t="s">
        <v>132</v>
      </c>
      <c r="E1797" s="8" t="s">
        <v>40</v>
      </c>
    </row>
    <row r="1798" spans="1:5">
      <c r="A1798" s="8">
        <v>4533</v>
      </c>
      <c r="B1798" s="8" t="s">
        <v>3039</v>
      </c>
      <c r="C1798" s="8" t="s">
        <v>3040</v>
      </c>
      <c r="D1798" s="8" t="s">
        <v>319</v>
      </c>
      <c r="E1798" s="8" t="s">
        <v>40</v>
      </c>
    </row>
    <row r="1799" spans="1:5">
      <c r="A1799" s="8">
        <v>4534</v>
      </c>
      <c r="B1799" s="8" t="s">
        <v>3041</v>
      </c>
      <c r="C1799" s="8" t="s">
        <v>395</v>
      </c>
      <c r="D1799" s="8" t="s">
        <v>429</v>
      </c>
      <c r="E1799" s="8" t="s">
        <v>40</v>
      </c>
    </row>
    <row r="1800" spans="1:5">
      <c r="A1800" s="8">
        <v>4536</v>
      </c>
      <c r="B1800" s="8" t="s">
        <v>3042</v>
      </c>
      <c r="C1800" s="8" t="s">
        <v>1319</v>
      </c>
      <c r="D1800" s="8" t="s">
        <v>1221</v>
      </c>
      <c r="E1800" s="8" t="s">
        <v>40</v>
      </c>
    </row>
    <row r="1801" spans="1:5">
      <c r="A1801" s="8">
        <v>4537</v>
      </c>
      <c r="B1801" s="8" t="s">
        <v>3043</v>
      </c>
      <c r="C1801" s="8" t="s">
        <v>3044</v>
      </c>
      <c r="D1801" s="8" t="s">
        <v>3045</v>
      </c>
      <c r="E1801" s="8" t="s">
        <v>1995</v>
      </c>
    </row>
    <row r="1802" spans="1:5">
      <c r="A1802" s="8">
        <v>4539</v>
      </c>
      <c r="B1802" s="8" t="s">
        <v>3046</v>
      </c>
      <c r="C1802" s="8" t="s">
        <v>3047</v>
      </c>
      <c r="D1802" s="8" t="s">
        <v>1221</v>
      </c>
      <c r="E1802" s="8" t="s">
        <v>40</v>
      </c>
    </row>
    <row r="1803" spans="1:5">
      <c r="A1803" s="8">
        <v>4541</v>
      </c>
      <c r="B1803" s="8" t="s">
        <v>3048</v>
      </c>
      <c r="C1803" s="8" t="s">
        <v>3049</v>
      </c>
      <c r="D1803" s="8" t="s">
        <v>438</v>
      </c>
      <c r="E1803" s="8" t="s">
        <v>40</v>
      </c>
    </row>
    <row r="1804" spans="1:5">
      <c r="A1804" s="8">
        <v>4546</v>
      </c>
      <c r="B1804" s="8" t="s">
        <v>3050</v>
      </c>
      <c r="C1804" s="8" t="s">
        <v>883</v>
      </c>
      <c r="D1804" s="8" t="s">
        <v>181</v>
      </c>
      <c r="E1804" s="8" t="s">
        <v>40</v>
      </c>
    </row>
    <row r="1805" spans="1:5">
      <c r="A1805" s="8">
        <v>4547</v>
      </c>
      <c r="B1805" s="8" t="s">
        <v>3051</v>
      </c>
      <c r="C1805" s="8" t="s">
        <v>3052</v>
      </c>
      <c r="D1805" s="8" t="s">
        <v>97</v>
      </c>
      <c r="E1805" s="8" t="s">
        <v>40</v>
      </c>
    </row>
    <row r="1806" spans="1:5">
      <c r="A1806" s="8">
        <v>4549</v>
      </c>
      <c r="B1806" s="8" t="s">
        <v>3053</v>
      </c>
      <c r="C1806" s="8" t="s">
        <v>3054</v>
      </c>
      <c r="D1806" s="8" t="s">
        <v>1221</v>
      </c>
      <c r="E1806" s="8" t="s">
        <v>40</v>
      </c>
    </row>
    <row r="1807" spans="1:5">
      <c r="A1807" s="8">
        <v>4550</v>
      </c>
      <c r="B1807" s="8" t="s">
        <v>3055</v>
      </c>
      <c r="C1807" s="8" t="s">
        <v>3056</v>
      </c>
      <c r="D1807" s="8" t="s">
        <v>208</v>
      </c>
      <c r="E1807" s="8" t="s">
        <v>40</v>
      </c>
    </row>
    <row r="1808" spans="1:5">
      <c r="A1808" s="8">
        <v>4555</v>
      </c>
      <c r="B1808" s="8" t="s">
        <v>3057</v>
      </c>
      <c r="C1808" s="8" t="s">
        <v>3058</v>
      </c>
      <c r="D1808" s="8" t="s">
        <v>87</v>
      </c>
      <c r="E1808" s="8" t="s">
        <v>40</v>
      </c>
    </row>
    <row r="1809" spans="1:5">
      <c r="A1809" s="8">
        <v>4557</v>
      </c>
      <c r="B1809" s="8" t="s">
        <v>3059</v>
      </c>
      <c r="C1809" s="8" t="s">
        <v>168</v>
      </c>
      <c r="D1809" s="8" t="s">
        <v>201</v>
      </c>
      <c r="E1809" s="8" t="s">
        <v>40</v>
      </c>
    </row>
    <row r="1810" spans="1:5">
      <c r="A1810" s="8">
        <v>4561</v>
      </c>
      <c r="B1810" s="8" t="s">
        <v>3060</v>
      </c>
      <c r="C1810" s="8" t="s">
        <v>3061</v>
      </c>
      <c r="D1810" s="8" t="s">
        <v>429</v>
      </c>
      <c r="E1810" s="8" t="s">
        <v>40</v>
      </c>
    </row>
    <row r="1811" spans="1:5">
      <c r="A1811" s="8">
        <v>4562</v>
      </c>
      <c r="B1811" s="8" t="s">
        <v>3062</v>
      </c>
      <c r="C1811" s="8" t="s">
        <v>3063</v>
      </c>
      <c r="D1811" s="8" t="s">
        <v>57</v>
      </c>
      <c r="E1811" s="8" t="s">
        <v>40</v>
      </c>
    </row>
    <row r="1812" spans="1:5">
      <c r="A1812" s="8">
        <v>4564</v>
      </c>
      <c r="B1812" s="8" t="s">
        <v>3064</v>
      </c>
      <c r="C1812" s="8" t="s">
        <v>3065</v>
      </c>
      <c r="D1812" s="8" t="s">
        <v>87</v>
      </c>
      <c r="E1812" s="8" t="s">
        <v>40</v>
      </c>
    </row>
    <row r="1813" spans="1:5">
      <c r="A1813" s="8">
        <v>4565</v>
      </c>
      <c r="B1813" s="8" t="s">
        <v>530</v>
      </c>
      <c r="C1813" s="8" t="s">
        <v>1508</v>
      </c>
      <c r="D1813" s="8" t="s">
        <v>92</v>
      </c>
      <c r="E1813" s="8" t="s">
        <v>40</v>
      </c>
    </row>
    <row r="1814" spans="1:5">
      <c r="A1814" s="8">
        <v>4567</v>
      </c>
      <c r="B1814" s="8" t="s">
        <v>3066</v>
      </c>
      <c r="C1814" s="8" t="s">
        <v>3067</v>
      </c>
      <c r="D1814" s="8" t="s">
        <v>54</v>
      </c>
      <c r="E1814" s="8" t="s">
        <v>40</v>
      </c>
    </row>
    <row r="1815" spans="1:5">
      <c r="A1815" s="8">
        <v>4568</v>
      </c>
      <c r="B1815" s="8" t="s">
        <v>3068</v>
      </c>
      <c r="C1815" s="8" t="s">
        <v>3069</v>
      </c>
      <c r="D1815" s="8" t="s">
        <v>39</v>
      </c>
      <c r="E1815" s="8" t="s">
        <v>40</v>
      </c>
    </row>
    <row r="1816" spans="1:5">
      <c r="A1816" s="8">
        <v>4571</v>
      </c>
      <c r="B1816" s="8" t="s">
        <v>505</v>
      </c>
      <c r="C1816" s="8" t="s">
        <v>54</v>
      </c>
      <c r="D1816" s="8" t="s">
        <v>54</v>
      </c>
      <c r="E1816" s="8" t="s">
        <v>40</v>
      </c>
    </row>
    <row r="1817" spans="1:5">
      <c r="A1817" s="8">
        <v>4572</v>
      </c>
      <c r="B1817" s="8" t="s">
        <v>3070</v>
      </c>
      <c r="C1817" s="8" t="s">
        <v>3071</v>
      </c>
      <c r="D1817" s="8" t="s">
        <v>201</v>
      </c>
      <c r="E1817" s="8" t="s">
        <v>40</v>
      </c>
    </row>
    <row r="1818" spans="1:5">
      <c r="A1818" s="8">
        <v>4573</v>
      </c>
      <c r="B1818" s="8" t="s">
        <v>3072</v>
      </c>
      <c r="C1818" s="8" t="s">
        <v>3073</v>
      </c>
      <c r="D1818" s="8" t="s">
        <v>48</v>
      </c>
      <c r="E1818" s="8" t="s">
        <v>40</v>
      </c>
    </row>
    <row r="1819" spans="1:5">
      <c r="A1819" s="8">
        <v>4575</v>
      </c>
      <c r="B1819" s="8" t="s">
        <v>3074</v>
      </c>
      <c r="C1819" s="8" t="s">
        <v>3075</v>
      </c>
      <c r="D1819" s="8" t="s">
        <v>97</v>
      </c>
      <c r="E1819" s="8" t="s">
        <v>40</v>
      </c>
    </row>
    <row r="1820" spans="1:5">
      <c r="A1820" s="8">
        <v>4576</v>
      </c>
      <c r="B1820" s="8" t="s">
        <v>3076</v>
      </c>
      <c r="C1820" s="8" t="s">
        <v>954</v>
      </c>
      <c r="D1820" s="8" t="s">
        <v>490</v>
      </c>
      <c r="E1820" s="8" t="s">
        <v>40</v>
      </c>
    </row>
    <row r="1821" spans="1:5">
      <c r="A1821" s="8">
        <v>4578</v>
      </c>
      <c r="B1821" s="8" t="s">
        <v>3077</v>
      </c>
      <c r="C1821" s="8" t="s">
        <v>523</v>
      </c>
      <c r="D1821" s="8" t="s">
        <v>43</v>
      </c>
      <c r="E1821" s="8" t="s">
        <v>40</v>
      </c>
    </row>
    <row r="1822" spans="1:5">
      <c r="A1822" s="8">
        <v>4579</v>
      </c>
      <c r="B1822" s="8" t="s">
        <v>1968</v>
      </c>
      <c r="C1822" s="8" t="s">
        <v>2984</v>
      </c>
      <c r="D1822" s="8" t="s">
        <v>264</v>
      </c>
      <c r="E1822" s="8" t="s">
        <v>40</v>
      </c>
    </row>
    <row r="1823" spans="1:5">
      <c r="A1823" s="8">
        <v>4580</v>
      </c>
      <c r="B1823" s="8" t="s">
        <v>3078</v>
      </c>
      <c r="C1823" s="8" t="s">
        <v>286</v>
      </c>
      <c r="D1823" s="8" t="s">
        <v>79</v>
      </c>
      <c r="E1823" s="8" t="s">
        <v>40</v>
      </c>
    </row>
    <row r="1824" spans="1:5">
      <c r="A1824" s="8">
        <v>4582</v>
      </c>
      <c r="B1824" s="8" t="s">
        <v>3079</v>
      </c>
      <c r="C1824" s="8" t="s">
        <v>865</v>
      </c>
      <c r="D1824" s="8" t="s">
        <v>319</v>
      </c>
      <c r="E1824" s="8" t="s">
        <v>40</v>
      </c>
    </row>
    <row r="1825" spans="1:5">
      <c r="A1825" s="8">
        <v>4583</v>
      </c>
      <c r="B1825" s="8" t="s">
        <v>3080</v>
      </c>
      <c r="C1825" s="8" t="s">
        <v>858</v>
      </c>
      <c r="D1825" s="8" t="s">
        <v>43</v>
      </c>
      <c r="E1825" s="8" t="s">
        <v>40</v>
      </c>
    </row>
    <row r="1826" spans="1:5">
      <c r="A1826" s="8">
        <v>4584</v>
      </c>
      <c r="B1826" s="8" t="s">
        <v>3081</v>
      </c>
      <c r="C1826" s="8" t="s">
        <v>3082</v>
      </c>
      <c r="D1826" s="8" t="s">
        <v>3083</v>
      </c>
      <c r="E1826" s="8" t="s">
        <v>1461</v>
      </c>
    </row>
    <row r="1827" spans="1:5">
      <c r="A1827" s="8">
        <v>4585</v>
      </c>
      <c r="B1827" s="8" t="s">
        <v>3084</v>
      </c>
      <c r="C1827" s="8" t="s">
        <v>3085</v>
      </c>
      <c r="D1827" s="8" t="s">
        <v>1563</v>
      </c>
      <c r="E1827" s="8" t="s">
        <v>40</v>
      </c>
    </row>
    <row r="1828" spans="1:5">
      <c r="A1828" s="8">
        <v>4586</v>
      </c>
      <c r="B1828" s="8" t="s">
        <v>3086</v>
      </c>
      <c r="C1828" s="8" t="s">
        <v>3087</v>
      </c>
      <c r="D1828" s="8" t="s">
        <v>1034</v>
      </c>
      <c r="E1828" s="8" t="s">
        <v>1026</v>
      </c>
    </row>
    <row r="1829" spans="1:5">
      <c r="A1829" s="8">
        <v>4587</v>
      </c>
      <c r="B1829" s="8" t="s">
        <v>3088</v>
      </c>
      <c r="C1829" s="8" t="s">
        <v>431</v>
      </c>
      <c r="D1829" s="8" t="s">
        <v>164</v>
      </c>
      <c r="E1829" s="8" t="s">
        <v>40</v>
      </c>
    </row>
    <row r="1830" spans="1:5">
      <c r="A1830" s="8">
        <v>4590</v>
      </c>
      <c r="B1830" s="8" t="s">
        <v>3089</v>
      </c>
      <c r="C1830" s="8" t="s">
        <v>3090</v>
      </c>
      <c r="D1830" s="8" t="s">
        <v>1031</v>
      </c>
      <c r="E1830" s="8" t="s">
        <v>1026</v>
      </c>
    </row>
    <row r="1831" spans="1:5">
      <c r="A1831" s="8">
        <v>4592</v>
      </c>
      <c r="B1831" s="8" t="s">
        <v>3091</v>
      </c>
      <c r="C1831" s="8" t="s">
        <v>636</v>
      </c>
      <c r="D1831" s="8" t="s">
        <v>57</v>
      </c>
      <c r="E1831" s="8" t="s">
        <v>40</v>
      </c>
    </row>
    <row r="1832" spans="1:5">
      <c r="A1832" s="8">
        <v>4593</v>
      </c>
      <c r="B1832" s="8" t="s">
        <v>3092</v>
      </c>
      <c r="C1832" s="8" t="s">
        <v>3093</v>
      </c>
      <c r="D1832" s="8" t="s">
        <v>3094</v>
      </c>
      <c r="E1832" s="8" t="s">
        <v>40</v>
      </c>
    </row>
    <row r="1833" spans="1:5">
      <c r="A1833" s="8">
        <v>4594</v>
      </c>
      <c r="B1833" s="8" t="s">
        <v>3095</v>
      </c>
      <c r="C1833" s="8" t="s">
        <v>2196</v>
      </c>
      <c r="D1833" s="8" t="s">
        <v>335</v>
      </c>
      <c r="E1833" s="8" t="s">
        <v>239</v>
      </c>
    </row>
    <row r="1834" spans="1:5">
      <c r="A1834" s="8">
        <v>4595</v>
      </c>
      <c r="B1834" s="8" t="s">
        <v>3096</v>
      </c>
      <c r="C1834" s="8" t="s">
        <v>508</v>
      </c>
      <c r="D1834" s="8" t="s">
        <v>238</v>
      </c>
      <c r="E1834" s="8" t="s">
        <v>239</v>
      </c>
    </row>
    <row r="1835" spans="1:5">
      <c r="A1835" s="8">
        <v>4597</v>
      </c>
      <c r="B1835" s="8" t="s">
        <v>3097</v>
      </c>
      <c r="C1835" s="8" t="s">
        <v>2894</v>
      </c>
      <c r="D1835" s="8" t="s">
        <v>164</v>
      </c>
      <c r="E1835" s="8" t="s">
        <v>40</v>
      </c>
    </row>
    <row r="1836" spans="1:5">
      <c r="A1836" s="8">
        <v>4598</v>
      </c>
      <c r="B1836" s="8" t="s">
        <v>3098</v>
      </c>
      <c r="C1836" s="8" t="s">
        <v>2027</v>
      </c>
      <c r="D1836" s="8" t="s">
        <v>1563</v>
      </c>
      <c r="E1836" s="8" t="s">
        <v>40</v>
      </c>
    </row>
    <row r="1837" spans="1:5">
      <c r="A1837" s="8">
        <v>4600</v>
      </c>
      <c r="B1837" s="8" t="s">
        <v>3099</v>
      </c>
      <c r="C1837" s="8" t="s">
        <v>690</v>
      </c>
      <c r="D1837" s="8" t="s">
        <v>691</v>
      </c>
      <c r="E1837" s="8" t="s">
        <v>40</v>
      </c>
    </row>
    <row r="1838" spans="1:5">
      <c r="A1838" s="8">
        <v>4601</v>
      </c>
      <c r="B1838" s="8" t="s">
        <v>3100</v>
      </c>
      <c r="C1838" s="8" t="s">
        <v>3101</v>
      </c>
      <c r="D1838" s="8" t="s">
        <v>81</v>
      </c>
      <c r="E1838" s="8" t="s">
        <v>40</v>
      </c>
    </row>
    <row r="1839" spans="1:5">
      <c r="A1839" s="8">
        <v>4603</v>
      </c>
      <c r="B1839" s="8" t="s">
        <v>3102</v>
      </c>
      <c r="C1839" s="8" t="s">
        <v>3103</v>
      </c>
      <c r="D1839" s="8" t="s">
        <v>2910</v>
      </c>
      <c r="E1839" s="8" t="s">
        <v>1461</v>
      </c>
    </row>
    <row r="1840" spans="1:5">
      <c r="A1840" s="8">
        <v>4604</v>
      </c>
      <c r="B1840" s="8" t="s">
        <v>3104</v>
      </c>
      <c r="C1840" s="8" t="s">
        <v>963</v>
      </c>
      <c r="D1840" s="8" t="s">
        <v>964</v>
      </c>
      <c r="E1840" s="8" t="s">
        <v>239</v>
      </c>
    </row>
    <row r="1841" spans="1:5">
      <c r="A1841" s="8">
        <v>4607</v>
      </c>
      <c r="B1841" s="8" t="s">
        <v>3105</v>
      </c>
      <c r="C1841" s="8" t="s">
        <v>3106</v>
      </c>
      <c r="D1841" s="8" t="s">
        <v>1221</v>
      </c>
      <c r="E1841" s="8" t="s">
        <v>40</v>
      </c>
    </row>
    <row r="1842" spans="1:5">
      <c r="A1842" s="8">
        <v>4608</v>
      </c>
      <c r="B1842" s="8" t="s">
        <v>3107</v>
      </c>
      <c r="C1842" s="8" t="s">
        <v>3108</v>
      </c>
      <c r="D1842" s="8" t="s">
        <v>264</v>
      </c>
      <c r="E1842" s="8" t="s">
        <v>40</v>
      </c>
    </row>
    <row r="1843" spans="1:5">
      <c r="A1843" s="8">
        <v>4610</v>
      </c>
      <c r="B1843" s="8" t="s">
        <v>3109</v>
      </c>
      <c r="C1843" s="8" t="s">
        <v>3110</v>
      </c>
      <c r="D1843" s="8" t="s">
        <v>164</v>
      </c>
      <c r="E1843" s="8" t="s">
        <v>40</v>
      </c>
    </row>
    <row r="1844" spans="1:5">
      <c r="A1844" s="8">
        <v>4611</v>
      </c>
      <c r="B1844" s="8" t="s">
        <v>3111</v>
      </c>
      <c r="C1844" s="8" t="s">
        <v>3112</v>
      </c>
      <c r="D1844" s="8" t="s">
        <v>81</v>
      </c>
      <c r="E1844" s="8" t="s">
        <v>40</v>
      </c>
    </row>
    <row r="1845" spans="1:5">
      <c r="A1845" s="8">
        <v>4613</v>
      </c>
      <c r="B1845" s="8" t="s">
        <v>3113</v>
      </c>
      <c r="C1845" s="8" t="s">
        <v>1993</v>
      </c>
      <c r="D1845" s="8" t="s">
        <v>1994</v>
      </c>
      <c r="E1845" s="8" t="s">
        <v>1995</v>
      </c>
    </row>
    <row r="1846" spans="1:5">
      <c r="A1846" s="8">
        <v>4614</v>
      </c>
      <c r="B1846" s="8" t="s">
        <v>3114</v>
      </c>
      <c r="C1846" s="8" t="s">
        <v>3115</v>
      </c>
      <c r="D1846" s="8" t="s">
        <v>1994</v>
      </c>
      <c r="E1846" s="8" t="s">
        <v>1995</v>
      </c>
    </row>
    <row r="1847" spans="1:5">
      <c r="A1847" s="8">
        <v>4616</v>
      </c>
      <c r="B1847" s="8" t="s">
        <v>3116</v>
      </c>
      <c r="C1847" s="8" t="s">
        <v>858</v>
      </c>
      <c r="D1847" s="8" t="s">
        <v>43</v>
      </c>
      <c r="E1847" s="8" t="s">
        <v>40</v>
      </c>
    </row>
    <row r="1848" spans="1:5">
      <c r="A1848" s="8">
        <v>4618</v>
      </c>
      <c r="B1848" s="8" t="s">
        <v>3117</v>
      </c>
      <c r="C1848" s="8" t="s">
        <v>1325</v>
      </c>
      <c r="D1848" s="8" t="s">
        <v>238</v>
      </c>
      <c r="E1848" s="8" t="s">
        <v>239</v>
      </c>
    </row>
    <row r="1849" spans="1:5">
      <c r="A1849" s="8">
        <v>4619</v>
      </c>
      <c r="B1849" s="8" t="s">
        <v>3118</v>
      </c>
      <c r="C1849" s="8" t="s">
        <v>2853</v>
      </c>
      <c r="D1849" s="8" t="s">
        <v>43</v>
      </c>
      <c r="E1849" s="8" t="s">
        <v>40</v>
      </c>
    </row>
    <row r="1850" spans="1:5">
      <c r="A1850" s="8">
        <v>4622</v>
      </c>
      <c r="B1850" s="8" t="s">
        <v>3119</v>
      </c>
      <c r="C1850" s="8" t="s">
        <v>3120</v>
      </c>
      <c r="D1850" s="8" t="s">
        <v>57</v>
      </c>
      <c r="E1850" s="8" t="s">
        <v>40</v>
      </c>
    </row>
    <row r="1851" spans="1:5">
      <c r="A1851" s="8">
        <v>4623</v>
      </c>
      <c r="B1851" s="8" t="s">
        <v>3121</v>
      </c>
      <c r="C1851" s="8" t="s">
        <v>3122</v>
      </c>
      <c r="D1851" s="8" t="s">
        <v>1221</v>
      </c>
      <c r="E1851" s="8" t="s">
        <v>40</v>
      </c>
    </row>
    <row r="1852" spans="1:5">
      <c r="A1852" s="8">
        <v>4624</v>
      </c>
      <c r="B1852" s="8" t="s">
        <v>3123</v>
      </c>
      <c r="C1852" s="8" t="s">
        <v>3124</v>
      </c>
      <c r="D1852" s="8" t="s">
        <v>1221</v>
      </c>
      <c r="E1852" s="8" t="s">
        <v>40</v>
      </c>
    </row>
    <row r="1853" spans="1:5">
      <c r="A1853" s="8">
        <v>4625</v>
      </c>
      <c r="B1853" s="8" t="s">
        <v>3125</v>
      </c>
      <c r="C1853" s="8" t="s">
        <v>3126</v>
      </c>
      <c r="D1853" s="8" t="s">
        <v>964</v>
      </c>
      <c r="E1853" s="8" t="s">
        <v>239</v>
      </c>
    </row>
    <row r="1854" spans="1:5">
      <c r="A1854" s="8">
        <v>4626</v>
      </c>
      <c r="B1854" s="8" t="s">
        <v>3127</v>
      </c>
      <c r="C1854" s="8" t="s">
        <v>3128</v>
      </c>
      <c r="D1854" s="8" t="s">
        <v>1221</v>
      </c>
      <c r="E1854" s="8" t="s">
        <v>40</v>
      </c>
    </row>
    <row r="1855" spans="1:5">
      <c r="A1855" s="8">
        <v>4627</v>
      </c>
      <c r="B1855" s="8" t="s">
        <v>3129</v>
      </c>
      <c r="C1855" s="8" t="s">
        <v>963</v>
      </c>
      <c r="D1855" s="8" t="s">
        <v>964</v>
      </c>
      <c r="E1855" s="8" t="s">
        <v>239</v>
      </c>
    </row>
    <row r="1856" spans="1:5">
      <c r="A1856" s="8">
        <v>4630</v>
      </c>
      <c r="B1856" s="8" t="s">
        <v>3130</v>
      </c>
      <c r="C1856" s="8" t="s">
        <v>176</v>
      </c>
      <c r="D1856" s="8" t="s">
        <v>490</v>
      </c>
      <c r="E1856" s="8" t="s">
        <v>40</v>
      </c>
    </row>
    <row r="1857" spans="1:5">
      <c r="A1857" s="8">
        <v>4632</v>
      </c>
      <c r="B1857" s="8" t="s">
        <v>3131</v>
      </c>
      <c r="C1857" s="8" t="s">
        <v>3132</v>
      </c>
      <c r="D1857" s="8" t="s">
        <v>1221</v>
      </c>
      <c r="E1857" s="8" t="s">
        <v>40</v>
      </c>
    </row>
    <row r="1858" spans="1:5">
      <c r="A1858" s="8">
        <v>4635</v>
      </c>
      <c r="B1858" s="8" t="s">
        <v>3133</v>
      </c>
      <c r="C1858" s="8" t="s">
        <v>3134</v>
      </c>
      <c r="D1858" s="8" t="s">
        <v>3135</v>
      </c>
      <c r="E1858" s="8" t="s">
        <v>1461</v>
      </c>
    </row>
    <row r="1859" spans="1:5">
      <c r="A1859" s="8">
        <v>4637</v>
      </c>
      <c r="B1859" s="8" t="s">
        <v>3136</v>
      </c>
      <c r="C1859" s="8" t="s">
        <v>351</v>
      </c>
      <c r="D1859" s="8" t="s">
        <v>97</v>
      </c>
      <c r="E1859" s="8" t="s">
        <v>40</v>
      </c>
    </row>
    <row r="1860" spans="1:5">
      <c r="A1860" s="8">
        <v>4638</v>
      </c>
      <c r="B1860" s="8" t="s">
        <v>3137</v>
      </c>
      <c r="C1860" s="8" t="s">
        <v>3138</v>
      </c>
      <c r="D1860" s="8" t="s">
        <v>438</v>
      </c>
      <c r="E1860" s="8" t="s">
        <v>40</v>
      </c>
    </row>
    <row r="1861" spans="1:5">
      <c r="A1861" s="8">
        <v>4639</v>
      </c>
      <c r="B1861" s="8" t="s">
        <v>3139</v>
      </c>
      <c r="C1861" s="8" t="s">
        <v>545</v>
      </c>
      <c r="D1861" s="8" t="s">
        <v>164</v>
      </c>
      <c r="E1861" s="8" t="s">
        <v>40</v>
      </c>
    </row>
    <row r="1862" spans="1:5">
      <c r="A1862" s="8">
        <v>4640</v>
      </c>
      <c r="B1862" s="8" t="s">
        <v>3140</v>
      </c>
      <c r="C1862" s="8" t="s">
        <v>3141</v>
      </c>
      <c r="D1862" s="8" t="s">
        <v>54</v>
      </c>
      <c r="E1862" s="8" t="s">
        <v>40</v>
      </c>
    </row>
    <row r="1863" spans="1:5">
      <c r="A1863" s="8">
        <v>4641</v>
      </c>
      <c r="B1863" s="8" t="s">
        <v>3142</v>
      </c>
      <c r="C1863" s="8" t="s">
        <v>3143</v>
      </c>
      <c r="D1863" s="8" t="s">
        <v>164</v>
      </c>
      <c r="E1863" s="8" t="s">
        <v>40</v>
      </c>
    </row>
    <row r="1864" spans="1:5">
      <c r="A1864" s="8">
        <v>4643</v>
      </c>
      <c r="B1864" s="8" t="s">
        <v>3144</v>
      </c>
      <c r="C1864" s="8" t="s">
        <v>3145</v>
      </c>
      <c r="D1864" s="8" t="s">
        <v>43</v>
      </c>
      <c r="E1864" s="8" t="s">
        <v>40</v>
      </c>
    </row>
    <row r="1865" spans="1:5">
      <c r="A1865" s="8">
        <v>4645</v>
      </c>
      <c r="B1865" s="8" t="s">
        <v>3146</v>
      </c>
      <c r="C1865" s="8" t="s">
        <v>143</v>
      </c>
      <c r="D1865" s="8" t="s">
        <v>121</v>
      </c>
      <c r="E1865" s="8" t="s">
        <v>40</v>
      </c>
    </row>
    <row r="1866" spans="1:5">
      <c r="A1866" s="8">
        <v>4646</v>
      </c>
      <c r="B1866" s="8" t="s">
        <v>3147</v>
      </c>
      <c r="C1866" s="8" t="s">
        <v>3148</v>
      </c>
      <c r="D1866" s="8" t="s">
        <v>213</v>
      </c>
      <c r="E1866" s="8" t="s">
        <v>40</v>
      </c>
    </row>
    <row r="1867" spans="1:5">
      <c r="A1867" s="8">
        <v>4648</v>
      </c>
      <c r="B1867" s="8" t="s">
        <v>3149</v>
      </c>
      <c r="C1867" s="8" t="s">
        <v>3150</v>
      </c>
      <c r="D1867" s="8" t="s">
        <v>1221</v>
      </c>
      <c r="E1867" s="8" t="s">
        <v>40</v>
      </c>
    </row>
    <row r="1868" spans="1:5">
      <c r="A1868" s="8">
        <v>4649</v>
      </c>
      <c r="B1868" s="8" t="s">
        <v>3151</v>
      </c>
      <c r="C1868" s="8" t="s">
        <v>3152</v>
      </c>
      <c r="D1868" s="8" t="s">
        <v>1031</v>
      </c>
      <c r="E1868" s="8" t="s">
        <v>1026</v>
      </c>
    </row>
    <row r="1869" spans="1:5">
      <c r="A1869" s="8">
        <v>4652</v>
      </c>
      <c r="B1869" s="8" t="s">
        <v>3153</v>
      </c>
      <c r="C1869" s="8" t="s">
        <v>3154</v>
      </c>
      <c r="D1869" s="8" t="s">
        <v>48</v>
      </c>
      <c r="E1869" s="8" t="s">
        <v>40</v>
      </c>
    </row>
    <row r="1870" spans="1:5">
      <c r="A1870" s="8">
        <v>4653</v>
      </c>
      <c r="B1870" s="8" t="s">
        <v>3155</v>
      </c>
      <c r="C1870" s="8" t="s">
        <v>3154</v>
      </c>
      <c r="D1870" s="8" t="s">
        <v>48</v>
      </c>
      <c r="E1870" s="8" t="s">
        <v>40</v>
      </c>
    </row>
    <row r="1871" spans="1:5">
      <c r="A1871" s="8">
        <v>4655</v>
      </c>
      <c r="B1871" s="8" t="s">
        <v>3156</v>
      </c>
      <c r="C1871" s="8" t="s">
        <v>3157</v>
      </c>
      <c r="D1871" s="8" t="s">
        <v>121</v>
      </c>
      <c r="E1871" s="8" t="s">
        <v>40</v>
      </c>
    </row>
    <row r="1872" spans="1:5">
      <c r="A1872" s="8">
        <v>4656</v>
      </c>
      <c r="B1872" s="8" t="s">
        <v>3158</v>
      </c>
      <c r="C1872" s="8" t="s">
        <v>3159</v>
      </c>
      <c r="D1872" s="8" t="s">
        <v>1221</v>
      </c>
      <c r="E1872" s="8" t="s">
        <v>40</v>
      </c>
    </row>
    <row r="1873" spans="1:5">
      <c r="A1873" s="8">
        <v>4657</v>
      </c>
      <c r="B1873" s="8" t="s">
        <v>1251</v>
      </c>
      <c r="C1873" s="8" t="s">
        <v>3160</v>
      </c>
      <c r="D1873" s="8" t="s">
        <v>132</v>
      </c>
      <c r="E1873" s="8" t="s">
        <v>40</v>
      </c>
    </row>
    <row r="1874" spans="1:5">
      <c r="A1874" s="8">
        <v>4661</v>
      </c>
      <c r="B1874" s="8" t="s">
        <v>3161</v>
      </c>
      <c r="C1874" s="8" t="s">
        <v>3162</v>
      </c>
      <c r="D1874" s="8" t="s">
        <v>1034</v>
      </c>
      <c r="E1874" s="8" t="s">
        <v>1026</v>
      </c>
    </row>
    <row r="1875" spans="1:5">
      <c r="A1875" s="8">
        <v>4662</v>
      </c>
      <c r="B1875" s="8" t="s">
        <v>3163</v>
      </c>
      <c r="C1875" s="8" t="s">
        <v>3164</v>
      </c>
      <c r="D1875" s="8" t="s">
        <v>603</v>
      </c>
      <c r="E1875" s="8" t="s">
        <v>40</v>
      </c>
    </row>
    <row r="1876" spans="1:5">
      <c r="A1876" s="8">
        <v>4663</v>
      </c>
      <c r="B1876" s="8" t="s">
        <v>3165</v>
      </c>
      <c r="C1876" s="8" t="s">
        <v>3166</v>
      </c>
      <c r="D1876" s="8" t="s">
        <v>1221</v>
      </c>
      <c r="E1876" s="8" t="s">
        <v>40</v>
      </c>
    </row>
    <row r="1877" spans="1:5">
      <c r="A1877" s="8">
        <v>4664</v>
      </c>
      <c r="B1877" s="8" t="s">
        <v>3167</v>
      </c>
      <c r="C1877" s="8" t="s">
        <v>3168</v>
      </c>
      <c r="D1877" s="8" t="s">
        <v>1221</v>
      </c>
      <c r="E1877" s="8" t="s">
        <v>40</v>
      </c>
    </row>
    <row r="1878" spans="1:5">
      <c r="A1878" s="8">
        <v>4665</v>
      </c>
      <c r="B1878" s="8" t="s">
        <v>3169</v>
      </c>
      <c r="C1878" s="8" t="s">
        <v>3170</v>
      </c>
      <c r="D1878" s="8" t="s">
        <v>1221</v>
      </c>
      <c r="E1878" s="8" t="s">
        <v>40</v>
      </c>
    </row>
    <row r="1879" spans="1:5">
      <c r="A1879" s="8">
        <v>4669</v>
      </c>
      <c r="B1879" s="8" t="s">
        <v>3171</v>
      </c>
      <c r="C1879" s="8" t="s">
        <v>2767</v>
      </c>
      <c r="D1879" s="8" t="s">
        <v>43</v>
      </c>
      <c r="E1879" s="8" t="s">
        <v>40</v>
      </c>
    </row>
    <row r="1880" spans="1:5">
      <c r="A1880" s="8">
        <v>4674</v>
      </c>
      <c r="B1880" s="8" t="s">
        <v>3172</v>
      </c>
      <c r="C1880" s="8" t="s">
        <v>2478</v>
      </c>
      <c r="D1880" s="8" t="s">
        <v>1221</v>
      </c>
      <c r="E1880" s="8" t="s">
        <v>40</v>
      </c>
    </row>
    <row r="1881" spans="1:5">
      <c r="A1881" s="8">
        <v>4678</v>
      </c>
      <c r="B1881" s="8" t="s">
        <v>3173</v>
      </c>
      <c r="C1881" s="8" t="s">
        <v>3174</v>
      </c>
      <c r="D1881" s="8" t="s">
        <v>238</v>
      </c>
      <c r="E1881" s="8" t="s">
        <v>239</v>
      </c>
    </row>
    <row r="1882" spans="1:5">
      <c r="A1882" s="8">
        <v>4680</v>
      </c>
      <c r="B1882" s="8" t="s">
        <v>3175</v>
      </c>
      <c r="C1882" s="8" t="s">
        <v>1114</v>
      </c>
      <c r="D1882" s="8" t="s">
        <v>39</v>
      </c>
      <c r="E1882" s="8" t="s">
        <v>40</v>
      </c>
    </row>
    <row r="1883" spans="1:5">
      <c r="A1883" s="8">
        <v>4681</v>
      </c>
      <c r="B1883" s="8" t="s">
        <v>3176</v>
      </c>
      <c r="C1883" s="8" t="s">
        <v>3022</v>
      </c>
      <c r="D1883" s="8" t="s">
        <v>264</v>
      </c>
      <c r="E1883" s="8" t="s">
        <v>40</v>
      </c>
    </row>
    <row r="1884" spans="1:5">
      <c r="A1884" s="8">
        <v>4682</v>
      </c>
      <c r="B1884" s="8" t="s">
        <v>2940</v>
      </c>
      <c r="C1884" s="8" t="s">
        <v>458</v>
      </c>
      <c r="D1884" s="8" t="s">
        <v>264</v>
      </c>
      <c r="E1884" s="8" t="s">
        <v>40</v>
      </c>
    </row>
    <row r="1885" spans="1:5">
      <c r="A1885" s="8">
        <v>4683</v>
      </c>
      <c r="B1885" s="8" t="s">
        <v>3177</v>
      </c>
      <c r="C1885" s="8" t="s">
        <v>3178</v>
      </c>
      <c r="D1885" s="8" t="s">
        <v>264</v>
      </c>
      <c r="E1885" s="8" t="s">
        <v>40</v>
      </c>
    </row>
    <row r="1886" spans="1:5">
      <c r="A1886" s="8">
        <v>4688</v>
      </c>
      <c r="B1886" s="8" t="s">
        <v>3179</v>
      </c>
      <c r="C1886" s="8" t="s">
        <v>3180</v>
      </c>
      <c r="D1886" s="8" t="s">
        <v>238</v>
      </c>
      <c r="E1886" s="8" t="s">
        <v>239</v>
      </c>
    </row>
    <row r="1887" spans="1:5">
      <c r="A1887" s="8">
        <v>4692</v>
      </c>
      <c r="B1887" s="8" t="s">
        <v>3181</v>
      </c>
      <c r="C1887" s="8" t="s">
        <v>3182</v>
      </c>
      <c r="D1887" s="8" t="s">
        <v>264</v>
      </c>
      <c r="E1887" s="8" t="s">
        <v>40</v>
      </c>
    </row>
    <row r="1888" spans="1:5">
      <c r="A1888" s="8">
        <v>4693</v>
      </c>
      <c r="B1888" s="8" t="s">
        <v>3183</v>
      </c>
      <c r="C1888" s="8" t="s">
        <v>3184</v>
      </c>
      <c r="D1888" s="8" t="s">
        <v>1221</v>
      </c>
      <c r="E1888" s="8" t="s">
        <v>40</v>
      </c>
    </row>
    <row r="1889" spans="1:5">
      <c r="A1889" s="8">
        <v>4694</v>
      </c>
      <c r="B1889" s="8" t="s">
        <v>3185</v>
      </c>
      <c r="C1889" s="8" t="s">
        <v>3186</v>
      </c>
      <c r="D1889" s="8" t="s">
        <v>164</v>
      </c>
      <c r="E1889" s="8" t="s">
        <v>40</v>
      </c>
    </row>
    <row r="1890" spans="1:5">
      <c r="A1890" s="8">
        <v>4698</v>
      </c>
      <c r="B1890" s="8" t="s">
        <v>3187</v>
      </c>
      <c r="C1890" s="8" t="s">
        <v>571</v>
      </c>
      <c r="D1890" s="8" t="s">
        <v>43</v>
      </c>
      <c r="E1890" s="8" t="s">
        <v>40</v>
      </c>
    </row>
    <row r="1891" spans="1:5">
      <c r="A1891" s="8">
        <v>4701</v>
      </c>
      <c r="B1891" s="8" t="s">
        <v>3188</v>
      </c>
      <c r="C1891" s="8" t="s">
        <v>3189</v>
      </c>
      <c r="D1891" s="8" t="s">
        <v>630</v>
      </c>
      <c r="E1891" s="8" t="s">
        <v>40</v>
      </c>
    </row>
    <row r="1892" spans="1:5">
      <c r="A1892" s="8">
        <v>4702</v>
      </c>
      <c r="B1892" s="8" t="s">
        <v>3190</v>
      </c>
      <c r="C1892" s="8" t="s">
        <v>143</v>
      </c>
      <c r="D1892" s="8" t="s">
        <v>121</v>
      </c>
      <c r="E1892" s="8" t="s">
        <v>40</v>
      </c>
    </row>
    <row r="1893" spans="1:5">
      <c r="A1893" s="8">
        <v>4704</v>
      </c>
      <c r="B1893" s="8" t="s">
        <v>3191</v>
      </c>
      <c r="C1893" s="8" t="s">
        <v>3192</v>
      </c>
      <c r="D1893" s="8" t="s">
        <v>238</v>
      </c>
      <c r="E1893" s="8" t="s">
        <v>239</v>
      </c>
    </row>
    <row r="1894" spans="1:5">
      <c r="A1894" s="8">
        <v>4707</v>
      </c>
      <c r="B1894" s="8" t="s">
        <v>3193</v>
      </c>
      <c r="C1894" s="8" t="s">
        <v>2712</v>
      </c>
      <c r="D1894" s="8" t="s">
        <v>2712</v>
      </c>
      <c r="E1894" s="8" t="s">
        <v>2713</v>
      </c>
    </row>
    <row r="1895" spans="1:5">
      <c r="A1895" s="8">
        <v>4711</v>
      </c>
      <c r="B1895" s="8" t="s">
        <v>3194</v>
      </c>
      <c r="C1895" s="8" t="s">
        <v>3195</v>
      </c>
      <c r="D1895" s="8" t="s">
        <v>43</v>
      </c>
      <c r="E1895" s="8" t="s">
        <v>40</v>
      </c>
    </row>
    <row r="1896" spans="1:5">
      <c r="A1896" s="8">
        <v>4715</v>
      </c>
      <c r="B1896" s="8" t="s">
        <v>3196</v>
      </c>
      <c r="C1896" s="8" t="s">
        <v>3197</v>
      </c>
      <c r="D1896" s="8" t="s">
        <v>39</v>
      </c>
      <c r="E1896" s="8" t="s">
        <v>40</v>
      </c>
    </row>
    <row r="1897" spans="1:5">
      <c r="A1897" s="8">
        <v>4717</v>
      </c>
      <c r="B1897" s="8" t="s">
        <v>3198</v>
      </c>
      <c r="C1897" s="8" t="s">
        <v>1223</v>
      </c>
      <c r="D1897" s="8" t="s">
        <v>164</v>
      </c>
      <c r="E1897" s="8" t="s">
        <v>40</v>
      </c>
    </row>
    <row r="1898" spans="1:5">
      <c r="A1898" s="8">
        <v>4723</v>
      </c>
      <c r="B1898" s="8" t="s">
        <v>3199</v>
      </c>
      <c r="C1898" s="8" t="s">
        <v>3200</v>
      </c>
      <c r="D1898" s="8" t="s">
        <v>3200</v>
      </c>
      <c r="E1898" s="8" t="s">
        <v>1461</v>
      </c>
    </row>
    <row r="1899" spans="1:5">
      <c r="A1899" s="8">
        <v>4726</v>
      </c>
      <c r="B1899" s="8" t="s">
        <v>3201</v>
      </c>
      <c r="C1899" s="8" t="s">
        <v>3202</v>
      </c>
      <c r="D1899" s="8" t="s">
        <v>264</v>
      </c>
      <c r="E1899" s="8" t="s">
        <v>40</v>
      </c>
    </row>
    <row r="1900" spans="1:5">
      <c r="A1900" s="8">
        <v>4728</v>
      </c>
      <c r="B1900" s="8" t="s">
        <v>3203</v>
      </c>
      <c r="C1900" s="8" t="s">
        <v>3204</v>
      </c>
      <c r="D1900" s="8" t="s">
        <v>1221</v>
      </c>
      <c r="E1900" s="8" t="s">
        <v>40</v>
      </c>
    </row>
    <row r="1901" spans="1:5">
      <c r="A1901" s="8">
        <v>4729</v>
      </c>
      <c r="B1901" s="8" t="s">
        <v>3205</v>
      </c>
      <c r="C1901" s="8" t="s">
        <v>1993</v>
      </c>
      <c r="D1901" s="8" t="s">
        <v>1994</v>
      </c>
      <c r="E1901" s="8" t="s">
        <v>1995</v>
      </c>
    </row>
    <row r="1902" spans="1:5">
      <c r="A1902" s="8">
        <v>4730</v>
      </c>
      <c r="B1902" s="8" t="s">
        <v>3206</v>
      </c>
      <c r="C1902" s="8" t="s">
        <v>707</v>
      </c>
      <c r="D1902" s="8" t="s">
        <v>630</v>
      </c>
      <c r="E1902" s="8" t="s">
        <v>40</v>
      </c>
    </row>
    <row r="1903" spans="1:5">
      <c r="A1903" s="8">
        <v>4731</v>
      </c>
      <c r="B1903" s="8" t="s">
        <v>3207</v>
      </c>
      <c r="C1903" s="8" t="s">
        <v>3208</v>
      </c>
      <c r="D1903" s="8" t="s">
        <v>3209</v>
      </c>
      <c r="E1903" s="8" t="s">
        <v>1461</v>
      </c>
    </row>
    <row r="1904" spans="1:5">
      <c r="A1904" s="8">
        <v>4732</v>
      </c>
      <c r="B1904" s="8" t="s">
        <v>3210</v>
      </c>
      <c r="C1904" s="8" t="s">
        <v>3211</v>
      </c>
      <c r="D1904" s="8" t="s">
        <v>238</v>
      </c>
      <c r="E1904" s="8" t="s">
        <v>239</v>
      </c>
    </row>
    <row r="1905" spans="1:5">
      <c r="A1905" s="8">
        <v>4733</v>
      </c>
      <c r="B1905" s="8" t="s">
        <v>3212</v>
      </c>
      <c r="C1905" s="8" t="s">
        <v>963</v>
      </c>
      <c r="D1905" s="8" t="s">
        <v>964</v>
      </c>
      <c r="E1905" s="8" t="s">
        <v>239</v>
      </c>
    </row>
    <row r="1906" spans="1:5">
      <c r="A1906" s="8">
        <v>4734</v>
      </c>
      <c r="B1906" s="8" t="s">
        <v>3213</v>
      </c>
      <c r="C1906" s="8" t="s">
        <v>1223</v>
      </c>
      <c r="D1906" s="8" t="s">
        <v>164</v>
      </c>
      <c r="E1906" s="8" t="s">
        <v>40</v>
      </c>
    </row>
    <row r="1907" spans="1:5">
      <c r="A1907" s="8">
        <v>4735</v>
      </c>
      <c r="B1907" s="8" t="s">
        <v>3214</v>
      </c>
      <c r="C1907" s="8" t="s">
        <v>2953</v>
      </c>
      <c r="D1907" s="8" t="s">
        <v>2298</v>
      </c>
      <c r="E1907" s="8" t="s">
        <v>1461</v>
      </c>
    </row>
    <row r="1908" spans="1:5">
      <c r="A1908" s="8">
        <v>4737</v>
      </c>
      <c r="B1908" s="8" t="s">
        <v>3215</v>
      </c>
      <c r="C1908" s="8" t="s">
        <v>3216</v>
      </c>
      <c r="D1908" s="8" t="s">
        <v>39</v>
      </c>
      <c r="E1908" s="8" t="s">
        <v>40</v>
      </c>
    </row>
    <row r="1909" spans="1:5">
      <c r="A1909" s="8">
        <v>4738</v>
      </c>
      <c r="B1909" s="8" t="s">
        <v>3217</v>
      </c>
      <c r="C1909" s="8" t="s">
        <v>858</v>
      </c>
      <c r="D1909" s="8" t="s">
        <v>43</v>
      </c>
      <c r="E1909" s="8" t="s">
        <v>40</v>
      </c>
    </row>
    <row r="1910" spans="1:5">
      <c r="A1910" s="8">
        <v>4739</v>
      </c>
      <c r="B1910" s="8" t="s">
        <v>3218</v>
      </c>
      <c r="C1910" s="8" t="s">
        <v>3219</v>
      </c>
      <c r="D1910" s="8" t="s">
        <v>1994</v>
      </c>
      <c r="E1910" s="8" t="s">
        <v>1995</v>
      </c>
    </row>
    <row r="1911" spans="1:5">
      <c r="A1911" s="8">
        <v>4740</v>
      </c>
      <c r="B1911" s="8" t="s">
        <v>3220</v>
      </c>
      <c r="C1911" s="8" t="s">
        <v>3221</v>
      </c>
      <c r="D1911" s="8" t="s">
        <v>490</v>
      </c>
      <c r="E1911" s="8" t="s">
        <v>40</v>
      </c>
    </row>
    <row r="1912" spans="1:5">
      <c r="A1912" s="8">
        <v>4741</v>
      </c>
      <c r="B1912" s="8" t="s">
        <v>3222</v>
      </c>
      <c r="C1912" s="8" t="s">
        <v>3223</v>
      </c>
      <c r="D1912" s="8" t="s">
        <v>1221</v>
      </c>
      <c r="E1912" s="8" t="s">
        <v>40</v>
      </c>
    </row>
    <row r="1913" spans="1:5">
      <c r="A1913" s="8">
        <v>4744</v>
      </c>
      <c r="B1913" s="8" t="s">
        <v>3224</v>
      </c>
      <c r="C1913" s="8" t="s">
        <v>3225</v>
      </c>
      <c r="D1913" s="8" t="s">
        <v>1276</v>
      </c>
      <c r="E1913" s="8" t="s">
        <v>1026</v>
      </c>
    </row>
    <row r="1914" spans="1:5">
      <c r="A1914" s="8">
        <v>4746</v>
      </c>
      <c r="B1914" s="8" t="s">
        <v>3226</v>
      </c>
      <c r="C1914" s="8" t="s">
        <v>3134</v>
      </c>
      <c r="D1914" s="8" t="s">
        <v>3135</v>
      </c>
      <c r="E1914" s="8" t="s">
        <v>1461</v>
      </c>
    </row>
    <row r="1915" spans="1:5">
      <c r="A1915" s="8">
        <v>4748</v>
      </c>
      <c r="B1915" s="8" t="s">
        <v>3227</v>
      </c>
      <c r="C1915" s="8" t="s">
        <v>2829</v>
      </c>
      <c r="D1915" s="8" t="s">
        <v>319</v>
      </c>
      <c r="E1915" s="8" t="s">
        <v>40</v>
      </c>
    </row>
    <row r="1916" spans="1:5">
      <c r="A1916" s="8">
        <v>4749</v>
      </c>
      <c r="B1916" s="8" t="s">
        <v>3228</v>
      </c>
      <c r="C1916" s="8" t="s">
        <v>3229</v>
      </c>
      <c r="D1916" s="8" t="s">
        <v>630</v>
      </c>
      <c r="E1916" s="8" t="s">
        <v>40</v>
      </c>
    </row>
    <row r="1917" spans="1:5">
      <c r="A1917" s="8">
        <v>4750</v>
      </c>
      <c r="B1917" s="8" t="s">
        <v>3230</v>
      </c>
      <c r="C1917" s="8" t="s">
        <v>3231</v>
      </c>
      <c r="D1917" s="8" t="s">
        <v>48</v>
      </c>
      <c r="E1917" s="8" t="s">
        <v>40</v>
      </c>
    </row>
    <row r="1918" spans="1:5">
      <c r="A1918" s="8">
        <v>4757</v>
      </c>
      <c r="B1918" s="8" t="s">
        <v>3232</v>
      </c>
      <c r="C1918" s="8" t="s">
        <v>3233</v>
      </c>
      <c r="D1918" s="8" t="s">
        <v>1034</v>
      </c>
      <c r="E1918" s="8" t="s">
        <v>1026</v>
      </c>
    </row>
    <row r="1919" spans="1:5">
      <c r="A1919" s="8">
        <v>4758</v>
      </c>
      <c r="B1919" s="8" t="s">
        <v>3234</v>
      </c>
      <c r="C1919" s="8" t="s">
        <v>1114</v>
      </c>
      <c r="D1919" s="8" t="s">
        <v>39</v>
      </c>
      <c r="E1919" s="8" t="s">
        <v>40</v>
      </c>
    </row>
    <row r="1920" spans="1:5">
      <c r="A1920" s="8">
        <v>4761</v>
      </c>
      <c r="B1920" s="8" t="s">
        <v>3235</v>
      </c>
      <c r="C1920" s="8" t="s">
        <v>3236</v>
      </c>
      <c r="D1920" s="8" t="s">
        <v>60</v>
      </c>
      <c r="E1920" s="8" t="s">
        <v>40</v>
      </c>
    </row>
    <row r="1921" spans="1:5">
      <c r="A1921" s="8">
        <v>4762</v>
      </c>
      <c r="B1921" s="8" t="s">
        <v>3237</v>
      </c>
      <c r="C1921" s="8" t="s">
        <v>3238</v>
      </c>
      <c r="D1921" s="8" t="s">
        <v>1221</v>
      </c>
      <c r="E1921" s="8" t="s">
        <v>40</v>
      </c>
    </row>
    <row r="1922" spans="1:5">
      <c r="A1922" s="8">
        <v>4763</v>
      </c>
      <c r="B1922" s="8" t="s">
        <v>3239</v>
      </c>
      <c r="C1922" s="8" t="s">
        <v>2585</v>
      </c>
      <c r="D1922" s="8" t="s">
        <v>43</v>
      </c>
      <c r="E1922" s="8" t="s">
        <v>40</v>
      </c>
    </row>
    <row r="1923" spans="1:5">
      <c r="A1923" s="8">
        <v>4764</v>
      </c>
      <c r="B1923" s="8" t="s">
        <v>3240</v>
      </c>
      <c r="C1923" s="8" t="s">
        <v>3241</v>
      </c>
      <c r="D1923" s="8" t="s">
        <v>490</v>
      </c>
      <c r="E1923" s="8" t="s">
        <v>40</v>
      </c>
    </row>
    <row r="1924" spans="1:5">
      <c r="A1924" s="8">
        <v>4765</v>
      </c>
      <c r="B1924" s="8" t="s">
        <v>3242</v>
      </c>
      <c r="C1924" s="8" t="s">
        <v>154</v>
      </c>
      <c r="D1924" s="8" t="s">
        <v>43</v>
      </c>
      <c r="E1924" s="8" t="s">
        <v>40</v>
      </c>
    </row>
    <row r="1925" spans="1:5">
      <c r="A1925" s="8">
        <v>4767</v>
      </c>
      <c r="B1925" s="8" t="s">
        <v>3243</v>
      </c>
      <c r="C1925" s="8" t="s">
        <v>3244</v>
      </c>
      <c r="D1925" s="8" t="s">
        <v>429</v>
      </c>
      <c r="E1925" s="8" t="s">
        <v>40</v>
      </c>
    </row>
    <row r="1926" spans="1:5">
      <c r="A1926" s="8">
        <v>4768</v>
      </c>
      <c r="B1926" s="8" t="s">
        <v>3245</v>
      </c>
      <c r="C1926" s="8" t="s">
        <v>1114</v>
      </c>
      <c r="D1926" s="8" t="s">
        <v>39</v>
      </c>
      <c r="E1926" s="8" t="s">
        <v>40</v>
      </c>
    </row>
    <row r="1927" spans="1:5">
      <c r="A1927" s="8">
        <v>4769</v>
      </c>
      <c r="B1927" s="8" t="s">
        <v>3246</v>
      </c>
      <c r="C1927" s="8" t="s">
        <v>3247</v>
      </c>
      <c r="D1927" s="8" t="s">
        <v>57</v>
      </c>
      <c r="E1927" s="8" t="s">
        <v>40</v>
      </c>
    </row>
    <row r="1928" spans="1:5">
      <c r="A1928" s="8">
        <v>4773</v>
      </c>
      <c r="B1928" s="8" t="s">
        <v>3248</v>
      </c>
      <c r="C1928" s="8" t="s">
        <v>414</v>
      </c>
      <c r="D1928" s="8" t="s">
        <v>54</v>
      </c>
      <c r="E1928" s="8" t="s">
        <v>40</v>
      </c>
    </row>
    <row r="1929" spans="1:5">
      <c r="A1929" s="8">
        <v>4774</v>
      </c>
      <c r="B1929" s="8" t="s">
        <v>3249</v>
      </c>
      <c r="C1929" s="8" t="s">
        <v>1993</v>
      </c>
      <c r="D1929" s="8" t="s">
        <v>1994</v>
      </c>
      <c r="E1929" s="8" t="s">
        <v>1995</v>
      </c>
    </row>
    <row r="1930" spans="1:5">
      <c r="A1930" s="8">
        <v>4775</v>
      </c>
      <c r="B1930" s="8" t="s">
        <v>3250</v>
      </c>
      <c r="C1930" s="8" t="s">
        <v>1459</v>
      </c>
      <c r="D1930" s="8" t="s">
        <v>1460</v>
      </c>
      <c r="E1930" s="8" t="s">
        <v>1461</v>
      </c>
    </row>
    <row r="1931" spans="1:5">
      <c r="A1931" s="8">
        <v>4776</v>
      </c>
      <c r="B1931" s="8" t="s">
        <v>3251</v>
      </c>
      <c r="C1931" s="8" t="s">
        <v>3252</v>
      </c>
      <c r="D1931" s="8" t="s">
        <v>39</v>
      </c>
      <c r="E1931" s="8" t="s">
        <v>40</v>
      </c>
    </row>
    <row r="1932" spans="1:5">
      <c r="A1932" s="8">
        <v>4777</v>
      </c>
      <c r="B1932" s="8" t="s">
        <v>3253</v>
      </c>
      <c r="C1932" s="8" t="s">
        <v>829</v>
      </c>
      <c r="D1932" s="8" t="s">
        <v>238</v>
      </c>
      <c r="E1932" s="8" t="s">
        <v>239</v>
      </c>
    </row>
    <row r="1933" spans="1:5">
      <c r="A1933" s="8">
        <v>4778</v>
      </c>
      <c r="B1933" s="8" t="s">
        <v>3254</v>
      </c>
      <c r="C1933" s="8" t="s">
        <v>3255</v>
      </c>
      <c r="D1933" s="8" t="s">
        <v>1221</v>
      </c>
      <c r="E1933" s="8" t="s">
        <v>40</v>
      </c>
    </row>
    <row r="1934" spans="1:5">
      <c r="A1934" s="8">
        <v>4779</v>
      </c>
      <c r="B1934" s="8" t="s">
        <v>3256</v>
      </c>
      <c r="C1934" s="8" t="s">
        <v>3257</v>
      </c>
      <c r="D1934" s="8" t="s">
        <v>39</v>
      </c>
      <c r="E1934" s="8" t="s">
        <v>40</v>
      </c>
    </row>
    <row r="1935" spans="1:5">
      <c r="A1935" s="8">
        <v>4780</v>
      </c>
      <c r="B1935" s="8" t="s">
        <v>3258</v>
      </c>
      <c r="C1935" s="8" t="s">
        <v>166</v>
      </c>
      <c r="D1935" s="8" t="s">
        <v>81</v>
      </c>
      <c r="E1935" s="8" t="s">
        <v>40</v>
      </c>
    </row>
    <row r="1936" spans="1:5">
      <c r="A1936" s="8">
        <v>4782</v>
      </c>
      <c r="B1936" s="8" t="s">
        <v>3259</v>
      </c>
      <c r="C1936" s="8" t="s">
        <v>3260</v>
      </c>
      <c r="D1936" s="8" t="s">
        <v>3261</v>
      </c>
      <c r="E1936" s="8" t="s">
        <v>1461</v>
      </c>
    </row>
    <row r="1937" spans="1:5">
      <c r="A1937" s="8">
        <v>4783</v>
      </c>
      <c r="B1937" s="8" t="s">
        <v>814</v>
      </c>
      <c r="C1937" s="8" t="s">
        <v>3262</v>
      </c>
      <c r="D1937" s="8" t="s">
        <v>238</v>
      </c>
      <c r="E1937" s="8" t="s">
        <v>239</v>
      </c>
    </row>
    <row r="1938" spans="1:5">
      <c r="A1938" s="8">
        <v>4784</v>
      </c>
      <c r="B1938" s="8" t="s">
        <v>3263</v>
      </c>
      <c r="C1938" s="8" t="s">
        <v>3264</v>
      </c>
      <c r="D1938" s="8" t="s">
        <v>1025</v>
      </c>
      <c r="E1938" s="8" t="s">
        <v>1026</v>
      </c>
    </row>
    <row r="1939" spans="1:5">
      <c r="A1939" s="8">
        <v>4786</v>
      </c>
      <c r="B1939" s="8" t="s">
        <v>3265</v>
      </c>
      <c r="C1939" s="8" t="s">
        <v>1097</v>
      </c>
      <c r="D1939" s="8" t="s">
        <v>132</v>
      </c>
      <c r="E1939" s="8" t="s">
        <v>40</v>
      </c>
    </row>
    <row r="1940" spans="1:5">
      <c r="A1940" s="8">
        <v>4787</v>
      </c>
      <c r="B1940" s="8" t="s">
        <v>3266</v>
      </c>
      <c r="C1940" s="8" t="s">
        <v>143</v>
      </c>
      <c r="D1940" s="8" t="s">
        <v>121</v>
      </c>
      <c r="E1940" s="8" t="s">
        <v>40</v>
      </c>
    </row>
    <row r="1941" spans="1:5">
      <c r="A1941" s="8">
        <v>4792</v>
      </c>
      <c r="B1941" s="8" t="s">
        <v>3267</v>
      </c>
      <c r="C1941" s="8" t="s">
        <v>3268</v>
      </c>
      <c r="D1941" s="8" t="s">
        <v>726</v>
      </c>
      <c r="E1941" s="8" t="s">
        <v>40</v>
      </c>
    </row>
    <row r="1942" spans="1:5">
      <c r="A1942" s="8">
        <v>4795</v>
      </c>
      <c r="B1942" s="8" t="s">
        <v>3269</v>
      </c>
      <c r="C1942" s="8" t="s">
        <v>3270</v>
      </c>
      <c r="D1942" s="8" t="s">
        <v>429</v>
      </c>
      <c r="E1942" s="8" t="s">
        <v>40</v>
      </c>
    </row>
    <row r="1943" spans="1:5">
      <c r="A1943" s="8">
        <v>4796</v>
      </c>
      <c r="B1943" s="8" t="s">
        <v>3271</v>
      </c>
      <c r="C1943" s="8" t="s">
        <v>3272</v>
      </c>
      <c r="D1943" s="8" t="s">
        <v>60</v>
      </c>
      <c r="E1943" s="8" t="s">
        <v>40</v>
      </c>
    </row>
    <row r="1944" spans="1:5">
      <c r="A1944" s="8">
        <v>4799</v>
      </c>
      <c r="B1944" s="8" t="s">
        <v>3273</v>
      </c>
      <c r="C1944" s="8" t="s">
        <v>3274</v>
      </c>
      <c r="D1944" s="8" t="s">
        <v>164</v>
      </c>
      <c r="E1944" s="8" t="s">
        <v>40</v>
      </c>
    </row>
    <row r="1945" spans="1:5">
      <c r="A1945" s="8">
        <v>4801</v>
      </c>
      <c r="B1945" s="8" t="s">
        <v>3275</v>
      </c>
      <c r="C1945" s="8" t="s">
        <v>3276</v>
      </c>
      <c r="D1945" s="8" t="s">
        <v>1994</v>
      </c>
      <c r="E1945" s="8" t="s">
        <v>1995</v>
      </c>
    </row>
    <row r="1946" spans="1:5">
      <c r="A1946" s="8">
        <v>4802</v>
      </c>
      <c r="B1946" s="8" t="s">
        <v>3277</v>
      </c>
      <c r="C1946" s="8" t="s">
        <v>3276</v>
      </c>
      <c r="D1946" s="8" t="s">
        <v>1994</v>
      </c>
      <c r="E1946" s="8" t="s">
        <v>1995</v>
      </c>
    </row>
    <row r="1947" spans="1:5">
      <c r="A1947" s="8">
        <v>4804</v>
      </c>
      <c r="B1947" s="8" t="s">
        <v>3278</v>
      </c>
      <c r="C1947" s="8" t="s">
        <v>1212</v>
      </c>
      <c r="D1947" s="8" t="s">
        <v>132</v>
      </c>
      <c r="E1947" s="8" t="s">
        <v>40</v>
      </c>
    </row>
    <row r="1948" spans="1:5">
      <c r="A1948" s="8">
        <v>4809</v>
      </c>
      <c r="B1948" s="8" t="s">
        <v>3279</v>
      </c>
      <c r="C1948" s="8" t="s">
        <v>3280</v>
      </c>
      <c r="D1948" s="8" t="s">
        <v>691</v>
      </c>
      <c r="E1948" s="8" t="s">
        <v>40</v>
      </c>
    </row>
    <row r="1949" spans="1:5">
      <c r="A1949" s="8">
        <v>4810</v>
      </c>
      <c r="B1949" s="8" t="s">
        <v>3281</v>
      </c>
      <c r="C1949" s="8" t="s">
        <v>441</v>
      </c>
      <c r="D1949" s="8" t="s">
        <v>39</v>
      </c>
      <c r="E1949" s="8" t="s">
        <v>40</v>
      </c>
    </row>
    <row r="1950" spans="1:5">
      <c r="A1950" s="8">
        <v>4811</v>
      </c>
      <c r="B1950" s="8" t="s">
        <v>3282</v>
      </c>
      <c r="C1950" s="8" t="s">
        <v>685</v>
      </c>
      <c r="D1950" s="8" t="s">
        <v>39</v>
      </c>
      <c r="E1950" s="8" t="s">
        <v>40</v>
      </c>
    </row>
    <row r="1951" spans="1:5">
      <c r="A1951" s="8">
        <v>4814</v>
      </c>
      <c r="B1951" s="8" t="s">
        <v>3283</v>
      </c>
      <c r="C1951" s="8" t="s">
        <v>1205</v>
      </c>
      <c r="D1951" s="8" t="s">
        <v>238</v>
      </c>
      <c r="E1951" s="8" t="s">
        <v>239</v>
      </c>
    </row>
    <row r="1952" spans="1:5">
      <c r="A1952" s="8">
        <v>4815</v>
      </c>
      <c r="B1952" s="8" t="s">
        <v>3284</v>
      </c>
      <c r="C1952" s="8" t="s">
        <v>3285</v>
      </c>
      <c r="D1952" s="8" t="s">
        <v>39</v>
      </c>
      <c r="E1952" s="8" t="s">
        <v>40</v>
      </c>
    </row>
    <row r="1953" spans="1:5">
      <c r="A1953" s="8">
        <v>4816</v>
      </c>
      <c r="B1953" s="8" t="s">
        <v>3286</v>
      </c>
      <c r="C1953" s="8" t="s">
        <v>428</v>
      </c>
      <c r="D1953" s="8" t="s">
        <v>429</v>
      </c>
      <c r="E1953" s="8" t="s">
        <v>40</v>
      </c>
    </row>
    <row r="1954" spans="1:5">
      <c r="A1954" s="8">
        <v>4817</v>
      </c>
      <c r="B1954" s="8" t="s">
        <v>3287</v>
      </c>
      <c r="C1954" s="8" t="s">
        <v>3288</v>
      </c>
      <c r="D1954" s="8" t="s">
        <v>3289</v>
      </c>
      <c r="E1954" s="8" t="s">
        <v>3288</v>
      </c>
    </row>
    <row r="1955" spans="1:5">
      <c r="A1955" s="8">
        <v>4818</v>
      </c>
      <c r="B1955" s="8" t="s">
        <v>3290</v>
      </c>
      <c r="C1955" s="8" t="s">
        <v>3291</v>
      </c>
      <c r="D1955" s="8" t="s">
        <v>668</v>
      </c>
      <c r="E1955" s="8" t="s">
        <v>40</v>
      </c>
    </row>
    <row r="1956" spans="1:5">
      <c r="A1956" s="8">
        <v>4819</v>
      </c>
      <c r="B1956" s="8" t="s">
        <v>3292</v>
      </c>
      <c r="C1956" s="8" t="s">
        <v>3293</v>
      </c>
      <c r="D1956" s="8" t="s">
        <v>39</v>
      </c>
      <c r="E1956" s="8" t="s">
        <v>40</v>
      </c>
    </row>
    <row r="1957" spans="1:5">
      <c r="A1957" s="8">
        <v>4821</v>
      </c>
      <c r="B1957" s="8" t="s">
        <v>3294</v>
      </c>
      <c r="C1957" s="8" t="s">
        <v>264</v>
      </c>
      <c r="D1957" s="8" t="s">
        <v>947</v>
      </c>
      <c r="E1957" s="8" t="s">
        <v>40</v>
      </c>
    </row>
    <row r="1958" spans="1:5">
      <c r="A1958" s="8">
        <v>4823</v>
      </c>
      <c r="B1958" s="8" t="s">
        <v>3295</v>
      </c>
      <c r="C1958" s="8" t="s">
        <v>3296</v>
      </c>
      <c r="D1958" s="8" t="s">
        <v>319</v>
      </c>
      <c r="E1958" s="8" t="s">
        <v>40</v>
      </c>
    </row>
    <row r="1959" spans="1:5">
      <c r="A1959" s="8">
        <v>4827</v>
      </c>
      <c r="B1959" s="8" t="s">
        <v>3297</v>
      </c>
      <c r="C1959" s="8" t="s">
        <v>3298</v>
      </c>
      <c r="D1959" s="8" t="s">
        <v>39</v>
      </c>
      <c r="E1959" s="8" t="s">
        <v>40</v>
      </c>
    </row>
    <row r="1960" spans="1:5">
      <c r="A1960" s="8">
        <v>4828</v>
      </c>
      <c r="B1960" s="8" t="s">
        <v>1968</v>
      </c>
      <c r="C1960" s="8" t="s">
        <v>428</v>
      </c>
      <c r="D1960" s="8" t="s">
        <v>429</v>
      </c>
      <c r="E1960" s="8" t="s">
        <v>40</v>
      </c>
    </row>
    <row r="1961" spans="1:5">
      <c r="A1961" s="8">
        <v>4829</v>
      </c>
      <c r="B1961" s="8" t="s">
        <v>1856</v>
      </c>
      <c r="C1961" s="8" t="s">
        <v>3270</v>
      </c>
      <c r="D1961" s="8" t="s">
        <v>429</v>
      </c>
      <c r="E1961" s="8" t="s">
        <v>40</v>
      </c>
    </row>
    <row r="1962" spans="1:5">
      <c r="A1962" s="8">
        <v>4835</v>
      </c>
      <c r="B1962" s="8" t="s">
        <v>3299</v>
      </c>
      <c r="C1962" s="8" t="s">
        <v>3300</v>
      </c>
      <c r="D1962" s="8" t="s">
        <v>39</v>
      </c>
      <c r="E1962" s="8" t="s">
        <v>40</v>
      </c>
    </row>
    <row r="1963" spans="1:5">
      <c r="A1963" s="8">
        <v>4838</v>
      </c>
      <c r="B1963" s="8" t="s">
        <v>3301</v>
      </c>
      <c r="C1963" s="8" t="s">
        <v>3302</v>
      </c>
      <c r="D1963" s="8" t="s">
        <v>39</v>
      </c>
      <c r="E1963" s="8" t="s">
        <v>40</v>
      </c>
    </row>
    <row r="1964" spans="1:5">
      <c r="A1964" s="8">
        <v>4840</v>
      </c>
      <c r="B1964" s="8" t="s">
        <v>3303</v>
      </c>
      <c r="C1964" s="8" t="s">
        <v>3304</v>
      </c>
      <c r="D1964" s="8" t="s">
        <v>39</v>
      </c>
      <c r="E1964" s="8" t="s">
        <v>40</v>
      </c>
    </row>
    <row r="1965" spans="1:5">
      <c r="A1965" s="8">
        <v>4845</v>
      </c>
      <c r="B1965" s="8" t="s">
        <v>3305</v>
      </c>
      <c r="C1965" s="8" t="s">
        <v>1591</v>
      </c>
      <c r="D1965" s="8" t="s">
        <v>1221</v>
      </c>
      <c r="E1965" s="8" t="s">
        <v>40</v>
      </c>
    </row>
    <row r="1966" spans="1:5">
      <c r="A1966" s="8">
        <v>4847</v>
      </c>
      <c r="B1966" s="8" t="s">
        <v>3306</v>
      </c>
      <c r="C1966" s="8" t="s">
        <v>3307</v>
      </c>
      <c r="D1966" s="8" t="s">
        <v>319</v>
      </c>
      <c r="E1966" s="8" t="s">
        <v>40</v>
      </c>
    </row>
    <row r="1967" spans="1:5">
      <c r="A1967" s="8">
        <v>4851</v>
      </c>
      <c r="B1967" s="8" t="s">
        <v>3308</v>
      </c>
      <c r="C1967" s="8" t="s">
        <v>1114</v>
      </c>
      <c r="D1967" s="8" t="s">
        <v>39</v>
      </c>
      <c r="E1967" s="8" t="s">
        <v>40</v>
      </c>
    </row>
    <row r="1968" spans="1:5">
      <c r="A1968" s="8">
        <v>4854</v>
      </c>
      <c r="B1968" s="8" t="s">
        <v>3309</v>
      </c>
      <c r="C1968" s="8" t="s">
        <v>1114</v>
      </c>
      <c r="D1968" s="8" t="s">
        <v>39</v>
      </c>
      <c r="E1968" s="8" t="s">
        <v>40</v>
      </c>
    </row>
    <row r="1969" spans="1:5">
      <c r="A1969" s="8">
        <v>4855</v>
      </c>
      <c r="B1969" s="8" t="s">
        <v>2897</v>
      </c>
      <c r="C1969" s="8" t="s">
        <v>3310</v>
      </c>
      <c r="D1969" s="8" t="s">
        <v>39</v>
      </c>
      <c r="E1969" s="8" t="s">
        <v>40</v>
      </c>
    </row>
    <row r="1970" spans="1:5">
      <c r="A1970" s="8">
        <v>4856</v>
      </c>
      <c r="B1970" s="8" t="s">
        <v>3311</v>
      </c>
      <c r="C1970" s="8" t="s">
        <v>54</v>
      </c>
      <c r="D1970" s="8" t="s">
        <v>54</v>
      </c>
      <c r="E1970" s="8" t="s">
        <v>40</v>
      </c>
    </row>
    <row r="1971" spans="1:5">
      <c r="A1971" s="8">
        <v>4859</v>
      </c>
      <c r="B1971" s="8" t="s">
        <v>3312</v>
      </c>
      <c r="C1971" s="8" t="s">
        <v>3313</v>
      </c>
      <c r="D1971" s="8" t="s">
        <v>1221</v>
      </c>
      <c r="E1971" s="8" t="s">
        <v>40</v>
      </c>
    </row>
    <row r="1972" spans="1:5">
      <c r="A1972" s="8">
        <v>4902</v>
      </c>
      <c r="B1972" s="8" t="s">
        <v>3314</v>
      </c>
      <c r="C1972" s="8" t="s">
        <v>1421</v>
      </c>
      <c r="D1972" s="8" t="s">
        <v>238</v>
      </c>
      <c r="E1972" s="8" t="s">
        <v>239</v>
      </c>
    </row>
    <row r="1973" spans="1:5">
      <c r="A1973" s="8">
        <v>4903</v>
      </c>
      <c r="B1973" s="8" t="s">
        <v>2500</v>
      </c>
      <c r="C1973" s="8" t="s">
        <v>508</v>
      </c>
      <c r="D1973" s="8" t="s">
        <v>238</v>
      </c>
      <c r="E1973" s="8" t="s">
        <v>239</v>
      </c>
    </row>
    <row r="1974" spans="1:5">
      <c r="A1974" s="8">
        <v>4904</v>
      </c>
      <c r="B1974" s="8" t="s">
        <v>3315</v>
      </c>
      <c r="C1974" s="8" t="s">
        <v>1948</v>
      </c>
      <c r="D1974" s="8" t="s">
        <v>43</v>
      </c>
      <c r="E1974" s="8" t="s">
        <v>40</v>
      </c>
    </row>
    <row r="1975" spans="1:5">
      <c r="A1975" s="8">
        <v>4905</v>
      </c>
      <c r="B1975" s="8" t="s">
        <v>3316</v>
      </c>
      <c r="C1975" s="8" t="s">
        <v>3317</v>
      </c>
      <c r="D1975" s="8" t="s">
        <v>60</v>
      </c>
      <c r="E1975" s="8" t="s">
        <v>40</v>
      </c>
    </row>
    <row r="1976" spans="1:5">
      <c r="A1976" s="8">
        <v>4906</v>
      </c>
      <c r="B1976" s="8" t="s">
        <v>3318</v>
      </c>
      <c r="C1976" s="8" t="s">
        <v>3319</v>
      </c>
      <c r="D1976" s="8" t="s">
        <v>87</v>
      </c>
      <c r="E1976" s="8" t="s">
        <v>40</v>
      </c>
    </row>
    <row r="1977" spans="1:5">
      <c r="A1977" s="8">
        <v>4907</v>
      </c>
      <c r="B1977" s="8" t="s">
        <v>3320</v>
      </c>
      <c r="C1977" s="8" t="s">
        <v>3034</v>
      </c>
      <c r="D1977" s="8" t="s">
        <v>238</v>
      </c>
      <c r="E1977" s="8" t="s">
        <v>239</v>
      </c>
    </row>
    <row r="1978" spans="1:5">
      <c r="A1978" s="8">
        <v>4908</v>
      </c>
      <c r="B1978" s="8" t="s">
        <v>3321</v>
      </c>
      <c r="C1978" s="8" t="s">
        <v>3322</v>
      </c>
      <c r="D1978" s="8" t="s">
        <v>60</v>
      </c>
      <c r="E1978" s="8" t="s">
        <v>40</v>
      </c>
    </row>
    <row r="1979" spans="1:5">
      <c r="A1979" s="8">
        <v>4909</v>
      </c>
      <c r="B1979" s="8" t="s">
        <v>3323</v>
      </c>
      <c r="C1979" s="8" t="s">
        <v>3324</v>
      </c>
      <c r="D1979" s="8" t="s">
        <v>60</v>
      </c>
      <c r="E1979" s="8" t="s">
        <v>40</v>
      </c>
    </row>
    <row r="1980" spans="1:5">
      <c r="A1980" s="8">
        <v>4910</v>
      </c>
      <c r="B1980" s="8" t="s">
        <v>3325</v>
      </c>
      <c r="C1980" s="8" t="s">
        <v>734</v>
      </c>
      <c r="D1980" s="8" t="s">
        <v>630</v>
      </c>
      <c r="E1980" s="8" t="s">
        <v>40</v>
      </c>
    </row>
    <row r="1981" spans="1:5">
      <c r="A1981" s="8">
        <v>4911</v>
      </c>
      <c r="B1981" s="8" t="s">
        <v>246</v>
      </c>
      <c r="C1981" s="8" t="s">
        <v>458</v>
      </c>
      <c r="D1981" s="8" t="s">
        <v>264</v>
      </c>
      <c r="E1981" s="8" t="s">
        <v>40</v>
      </c>
    </row>
    <row r="1982" spans="1:5">
      <c r="A1982" s="8">
        <v>4913</v>
      </c>
      <c r="B1982" s="8" t="s">
        <v>3326</v>
      </c>
      <c r="C1982" s="8" t="s">
        <v>2147</v>
      </c>
      <c r="D1982" s="8" t="s">
        <v>43</v>
      </c>
      <c r="E1982" s="8" t="s">
        <v>40</v>
      </c>
    </row>
    <row r="1983" spans="1:5">
      <c r="A1983" s="8">
        <v>4914</v>
      </c>
      <c r="B1983" s="8" t="s">
        <v>3301</v>
      </c>
      <c r="C1983" s="8" t="s">
        <v>531</v>
      </c>
      <c r="D1983" s="8" t="s">
        <v>238</v>
      </c>
      <c r="E1983" s="8" t="s">
        <v>239</v>
      </c>
    </row>
    <row r="1984" spans="1:5">
      <c r="A1984" s="8">
        <v>4915</v>
      </c>
      <c r="B1984" s="8" t="s">
        <v>3327</v>
      </c>
      <c r="C1984" s="8" t="s">
        <v>3328</v>
      </c>
      <c r="D1984" s="8" t="s">
        <v>264</v>
      </c>
      <c r="E1984" s="8" t="s">
        <v>40</v>
      </c>
    </row>
    <row r="1985" spans="1:5">
      <c r="A1985" s="8">
        <v>4917</v>
      </c>
      <c r="B1985" s="8" t="s">
        <v>3329</v>
      </c>
      <c r="C1985" s="8" t="s">
        <v>2499</v>
      </c>
      <c r="D1985" s="8" t="s">
        <v>238</v>
      </c>
      <c r="E1985" s="8" t="s">
        <v>239</v>
      </c>
    </row>
    <row r="1986" spans="1:5">
      <c r="A1986" s="8">
        <v>4918</v>
      </c>
      <c r="B1986" s="8" t="s">
        <v>3330</v>
      </c>
      <c r="C1986" s="8" t="s">
        <v>3331</v>
      </c>
      <c r="D1986" s="8" t="s">
        <v>264</v>
      </c>
      <c r="E1986" s="8" t="s">
        <v>40</v>
      </c>
    </row>
    <row r="1987" spans="1:5">
      <c r="A1987" s="8">
        <v>4919</v>
      </c>
      <c r="B1987" s="8" t="s">
        <v>3332</v>
      </c>
      <c r="C1987" s="8" t="s">
        <v>3333</v>
      </c>
      <c r="D1987" s="8" t="s">
        <v>43</v>
      </c>
      <c r="E1987" s="8" t="s">
        <v>40</v>
      </c>
    </row>
    <row r="1988" spans="1:5">
      <c r="A1988" s="8">
        <v>4920</v>
      </c>
      <c r="B1988" s="8" t="s">
        <v>3334</v>
      </c>
      <c r="C1988" s="8" t="s">
        <v>3180</v>
      </c>
      <c r="D1988" s="8" t="s">
        <v>238</v>
      </c>
      <c r="E1988" s="8" t="s">
        <v>239</v>
      </c>
    </row>
    <row r="1989" spans="1:5">
      <c r="A1989" s="8">
        <v>4924</v>
      </c>
      <c r="B1989" s="8" t="s">
        <v>3335</v>
      </c>
      <c r="C1989" s="8" t="s">
        <v>3336</v>
      </c>
      <c r="D1989" s="8" t="s">
        <v>490</v>
      </c>
      <c r="E1989" s="8" t="s">
        <v>40</v>
      </c>
    </row>
    <row r="1990" spans="1:5">
      <c r="A1990" s="8">
        <v>4925</v>
      </c>
      <c r="B1990" s="8" t="s">
        <v>3337</v>
      </c>
      <c r="C1990" s="8" t="s">
        <v>3338</v>
      </c>
      <c r="D1990" s="8" t="s">
        <v>181</v>
      </c>
      <c r="E1990" s="8" t="s">
        <v>40</v>
      </c>
    </row>
    <row r="1991" spans="1:5">
      <c r="A1991" s="8">
        <v>4926</v>
      </c>
      <c r="B1991" s="8" t="s">
        <v>3339</v>
      </c>
      <c r="C1991" s="8" t="s">
        <v>563</v>
      </c>
      <c r="D1991" s="8" t="s">
        <v>79</v>
      </c>
      <c r="E1991" s="8" t="s">
        <v>40</v>
      </c>
    </row>
    <row r="1992" spans="1:5">
      <c r="A1992" s="8">
        <v>4929</v>
      </c>
      <c r="B1992" s="8" t="s">
        <v>3340</v>
      </c>
      <c r="C1992" s="8" t="s">
        <v>3341</v>
      </c>
      <c r="D1992" s="8" t="s">
        <v>60</v>
      </c>
      <c r="E1992" s="8" t="s">
        <v>40</v>
      </c>
    </row>
    <row r="1993" spans="1:5">
      <c r="A1993" s="8">
        <v>4930</v>
      </c>
      <c r="B1993" s="8" t="s">
        <v>3342</v>
      </c>
      <c r="C1993" s="8" t="s">
        <v>2646</v>
      </c>
      <c r="D1993" s="8" t="s">
        <v>54</v>
      </c>
      <c r="E1993" s="8" t="s">
        <v>40</v>
      </c>
    </row>
    <row r="1994" spans="1:5">
      <c r="A1994" s="8">
        <v>4931</v>
      </c>
      <c r="B1994" s="8" t="s">
        <v>3343</v>
      </c>
      <c r="C1994" s="8" t="s">
        <v>3344</v>
      </c>
      <c r="D1994" s="8" t="s">
        <v>121</v>
      </c>
      <c r="E1994" s="8" t="s">
        <v>40</v>
      </c>
    </row>
    <row r="1995" spans="1:5">
      <c r="A1995" s="8">
        <v>4932</v>
      </c>
      <c r="B1995" s="8" t="s">
        <v>543</v>
      </c>
      <c r="C1995" s="8" t="s">
        <v>3345</v>
      </c>
      <c r="D1995" s="8" t="s">
        <v>238</v>
      </c>
      <c r="E1995" s="8" t="s">
        <v>239</v>
      </c>
    </row>
    <row r="1996" spans="1:5">
      <c r="A1996" s="8">
        <v>4933</v>
      </c>
      <c r="B1996" s="8" t="s">
        <v>3346</v>
      </c>
      <c r="C1996" s="8" t="s">
        <v>3347</v>
      </c>
      <c r="D1996" s="8" t="s">
        <v>69</v>
      </c>
      <c r="E1996" s="8" t="s">
        <v>40</v>
      </c>
    </row>
    <row r="1997" spans="1:5">
      <c r="A1997" s="8">
        <v>4935</v>
      </c>
      <c r="B1997" s="8" t="s">
        <v>3348</v>
      </c>
      <c r="C1997" s="8" t="s">
        <v>2281</v>
      </c>
      <c r="D1997" s="8" t="s">
        <v>429</v>
      </c>
      <c r="E1997" s="8" t="s">
        <v>40</v>
      </c>
    </row>
    <row r="1998" spans="1:5">
      <c r="A1998" s="8">
        <v>4936</v>
      </c>
      <c r="B1998" s="8" t="s">
        <v>3349</v>
      </c>
      <c r="C1998" s="8" t="s">
        <v>2486</v>
      </c>
      <c r="D1998" s="8" t="s">
        <v>238</v>
      </c>
      <c r="E1998" s="8" t="s">
        <v>239</v>
      </c>
    </row>
    <row r="1999" spans="1:5">
      <c r="A1999" s="8">
        <v>4938</v>
      </c>
      <c r="B1999" s="8" t="s">
        <v>2900</v>
      </c>
      <c r="C1999" s="8" t="s">
        <v>508</v>
      </c>
      <c r="D1999" s="8" t="s">
        <v>238</v>
      </c>
      <c r="E1999" s="8" t="s">
        <v>239</v>
      </c>
    </row>
    <row r="2000" spans="1:5">
      <c r="A2000" s="8">
        <v>4939</v>
      </c>
      <c r="B2000" s="8" t="s">
        <v>3350</v>
      </c>
      <c r="C2000" s="8" t="s">
        <v>2331</v>
      </c>
      <c r="D2000" s="8" t="s">
        <v>238</v>
      </c>
      <c r="E2000" s="8" t="s">
        <v>239</v>
      </c>
    </row>
    <row r="2001" spans="1:5">
      <c r="A2001" s="8">
        <v>4940</v>
      </c>
      <c r="B2001" s="8" t="s">
        <v>2033</v>
      </c>
      <c r="C2001" s="8" t="s">
        <v>508</v>
      </c>
      <c r="D2001" s="8" t="s">
        <v>238</v>
      </c>
      <c r="E2001" s="8" t="s">
        <v>239</v>
      </c>
    </row>
    <row r="2002" spans="1:5">
      <c r="A2002" s="8">
        <v>4941</v>
      </c>
      <c r="B2002" s="8" t="s">
        <v>3351</v>
      </c>
      <c r="C2002" s="8" t="s">
        <v>3352</v>
      </c>
      <c r="D2002" s="8" t="s">
        <v>630</v>
      </c>
      <c r="E2002" s="8" t="s">
        <v>40</v>
      </c>
    </row>
    <row r="2003" spans="1:5">
      <c r="A2003" s="8">
        <v>4942</v>
      </c>
      <c r="B2003" s="8" t="s">
        <v>3353</v>
      </c>
      <c r="C2003" s="8" t="s">
        <v>1687</v>
      </c>
      <c r="D2003" s="8" t="s">
        <v>335</v>
      </c>
      <c r="E2003" s="8" t="s">
        <v>239</v>
      </c>
    </row>
    <row r="2004" spans="1:5">
      <c r="A2004" s="8">
        <v>4944</v>
      </c>
      <c r="B2004" s="8" t="s">
        <v>3354</v>
      </c>
      <c r="C2004" s="8" t="s">
        <v>3355</v>
      </c>
      <c r="D2004" s="8" t="s">
        <v>208</v>
      </c>
      <c r="E2004" s="8" t="s">
        <v>40</v>
      </c>
    </row>
    <row r="2005" spans="1:5">
      <c r="A2005" s="8">
        <v>4946</v>
      </c>
      <c r="B2005" s="8" t="s">
        <v>3356</v>
      </c>
      <c r="C2005" s="8" t="s">
        <v>1183</v>
      </c>
      <c r="D2005" s="8" t="s">
        <v>238</v>
      </c>
      <c r="E2005" s="8" t="s">
        <v>239</v>
      </c>
    </row>
    <row r="2006" spans="1:5">
      <c r="A2006" s="8">
        <v>4947</v>
      </c>
      <c r="B2006" s="8" t="s">
        <v>3357</v>
      </c>
      <c r="C2006" s="8" t="s">
        <v>3358</v>
      </c>
      <c r="D2006" s="8" t="s">
        <v>335</v>
      </c>
      <c r="E2006" s="8" t="s">
        <v>239</v>
      </c>
    </row>
    <row r="2007" spans="1:5">
      <c r="A2007" s="8">
        <v>4949</v>
      </c>
      <c r="B2007" s="8" t="s">
        <v>3359</v>
      </c>
      <c r="C2007" s="8" t="s">
        <v>3360</v>
      </c>
      <c r="D2007" s="8" t="s">
        <v>438</v>
      </c>
      <c r="E2007" s="8" t="s">
        <v>40</v>
      </c>
    </row>
    <row r="2008" spans="1:5">
      <c r="A2008" s="8">
        <v>4950</v>
      </c>
      <c r="B2008" s="8" t="s">
        <v>3361</v>
      </c>
      <c r="C2008" s="8" t="s">
        <v>3362</v>
      </c>
      <c r="D2008" s="8" t="s">
        <v>335</v>
      </c>
      <c r="E2008" s="8" t="s">
        <v>239</v>
      </c>
    </row>
    <row r="2009" spans="1:5">
      <c r="A2009" s="8">
        <v>4951</v>
      </c>
      <c r="B2009" s="8" t="s">
        <v>3363</v>
      </c>
      <c r="C2009" s="8" t="s">
        <v>3364</v>
      </c>
      <c r="D2009" s="8" t="s">
        <v>238</v>
      </c>
      <c r="E2009" s="8" t="s">
        <v>239</v>
      </c>
    </row>
    <row r="2010" spans="1:5">
      <c r="A2010" s="8">
        <v>4952</v>
      </c>
      <c r="B2010" s="8" t="s">
        <v>3365</v>
      </c>
      <c r="C2010" s="8" t="s">
        <v>3366</v>
      </c>
      <c r="D2010" s="8" t="s">
        <v>335</v>
      </c>
      <c r="E2010" s="8" t="s">
        <v>239</v>
      </c>
    </row>
    <row r="2011" spans="1:5">
      <c r="A2011" s="8">
        <v>4954</v>
      </c>
      <c r="B2011" s="8" t="s">
        <v>3367</v>
      </c>
      <c r="C2011" s="8" t="s">
        <v>3368</v>
      </c>
      <c r="D2011" s="8" t="s">
        <v>396</v>
      </c>
      <c r="E2011" s="8" t="s">
        <v>40</v>
      </c>
    </row>
    <row r="2012" spans="1:5">
      <c r="A2012" s="8">
        <v>4955</v>
      </c>
      <c r="B2012" s="8" t="s">
        <v>3369</v>
      </c>
      <c r="C2012" s="8" t="s">
        <v>3370</v>
      </c>
      <c r="D2012" s="8" t="s">
        <v>335</v>
      </c>
      <c r="E2012" s="8" t="s">
        <v>239</v>
      </c>
    </row>
    <row r="2013" spans="1:5">
      <c r="A2013" s="8">
        <v>4956</v>
      </c>
      <c r="B2013" s="8" t="s">
        <v>3371</v>
      </c>
      <c r="C2013" s="8" t="s">
        <v>3372</v>
      </c>
      <c r="D2013" s="8" t="s">
        <v>39</v>
      </c>
      <c r="E2013" s="8" t="s">
        <v>40</v>
      </c>
    </row>
    <row r="2014" spans="1:5">
      <c r="A2014" s="8">
        <v>4957</v>
      </c>
      <c r="B2014" s="8" t="s">
        <v>3373</v>
      </c>
      <c r="C2014" s="8" t="s">
        <v>334</v>
      </c>
      <c r="D2014" s="8" t="s">
        <v>335</v>
      </c>
      <c r="E2014" s="8" t="s">
        <v>239</v>
      </c>
    </row>
    <row r="2015" spans="1:5">
      <c r="A2015" s="8">
        <v>4958</v>
      </c>
      <c r="B2015" s="8" t="s">
        <v>1110</v>
      </c>
      <c r="C2015" s="8" t="s">
        <v>3374</v>
      </c>
      <c r="D2015" s="8" t="s">
        <v>181</v>
      </c>
      <c r="E2015" s="8" t="s">
        <v>40</v>
      </c>
    </row>
    <row r="2016" spans="1:5">
      <c r="A2016" s="8">
        <v>4959</v>
      </c>
      <c r="B2016" s="8" t="s">
        <v>2399</v>
      </c>
      <c r="C2016" s="8" t="s">
        <v>1179</v>
      </c>
      <c r="D2016" s="8" t="s">
        <v>691</v>
      </c>
      <c r="E2016" s="8" t="s">
        <v>40</v>
      </c>
    </row>
    <row r="2017" spans="1:5">
      <c r="A2017" s="8">
        <v>4961</v>
      </c>
      <c r="B2017" s="8" t="s">
        <v>3375</v>
      </c>
      <c r="C2017" s="8" t="s">
        <v>3376</v>
      </c>
      <c r="D2017" s="8" t="s">
        <v>39</v>
      </c>
      <c r="E2017" s="8" t="s">
        <v>40</v>
      </c>
    </row>
    <row r="2018" spans="1:5">
      <c r="A2018" s="8">
        <v>4964</v>
      </c>
      <c r="B2018" s="8" t="s">
        <v>3377</v>
      </c>
      <c r="C2018" s="8" t="s">
        <v>523</v>
      </c>
      <c r="D2018" s="8" t="s">
        <v>43</v>
      </c>
      <c r="E2018" s="8" t="s">
        <v>40</v>
      </c>
    </row>
    <row r="2019" spans="1:5">
      <c r="A2019" s="8">
        <v>4965</v>
      </c>
      <c r="B2019" s="8" t="s">
        <v>3378</v>
      </c>
      <c r="C2019" s="8" t="s">
        <v>435</v>
      </c>
      <c r="D2019" s="8" t="s">
        <v>319</v>
      </c>
      <c r="E2019" s="8" t="s">
        <v>40</v>
      </c>
    </row>
    <row r="2020" spans="1:5">
      <c r="A2020" s="8">
        <v>4967</v>
      </c>
      <c r="B2020" s="8" t="s">
        <v>3379</v>
      </c>
      <c r="C2020" s="8" t="s">
        <v>249</v>
      </c>
      <c r="D2020" s="8" t="s">
        <v>39</v>
      </c>
      <c r="E2020" s="8" t="s">
        <v>40</v>
      </c>
    </row>
    <row r="2021" spans="1:5">
      <c r="A2021" s="8">
        <v>4968</v>
      </c>
      <c r="B2021" s="8" t="s">
        <v>375</v>
      </c>
      <c r="C2021" s="8" t="s">
        <v>3380</v>
      </c>
      <c r="D2021" s="8" t="s">
        <v>238</v>
      </c>
      <c r="E2021" s="8" t="s">
        <v>239</v>
      </c>
    </row>
    <row r="2022" spans="1:5">
      <c r="A2022" s="8">
        <v>4970</v>
      </c>
      <c r="B2022" s="8" t="s">
        <v>3381</v>
      </c>
      <c r="C2022" s="8" t="s">
        <v>3382</v>
      </c>
      <c r="D2022" s="8" t="s">
        <v>39</v>
      </c>
      <c r="E2022" s="8" t="s">
        <v>40</v>
      </c>
    </row>
    <row r="2023" spans="1:5">
      <c r="A2023" s="8">
        <v>4972</v>
      </c>
      <c r="B2023" s="8" t="s">
        <v>3383</v>
      </c>
      <c r="C2023" s="8" t="s">
        <v>3384</v>
      </c>
      <c r="D2023" s="8" t="s">
        <v>1834</v>
      </c>
      <c r="E2023" s="8" t="s">
        <v>1835</v>
      </c>
    </row>
    <row r="2024" spans="1:5">
      <c r="A2024" s="8">
        <v>4973</v>
      </c>
      <c r="B2024" s="8" t="s">
        <v>3385</v>
      </c>
      <c r="C2024" s="8" t="s">
        <v>2767</v>
      </c>
      <c r="D2024" s="8" t="s">
        <v>43</v>
      </c>
      <c r="E2024" s="8" t="s">
        <v>40</v>
      </c>
    </row>
    <row r="2025" spans="1:5">
      <c r="A2025" s="8">
        <v>4976</v>
      </c>
      <c r="B2025" s="8" t="s">
        <v>3386</v>
      </c>
      <c r="C2025" s="8" t="s">
        <v>3387</v>
      </c>
      <c r="D2025" s="8" t="s">
        <v>238</v>
      </c>
      <c r="E2025" s="8" t="s">
        <v>239</v>
      </c>
    </row>
    <row r="2026" spans="1:5">
      <c r="A2026" s="8">
        <v>4978</v>
      </c>
      <c r="B2026" s="8" t="s">
        <v>2577</v>
      </c>
      <c r="C2026" s="8" t="s">
        <v>2169</v>
      </c>
      <c r="D2026" s="8" t="s">
        <v>1226</v>
      </c>
      <c r="E2026" s="8" t="s">
        <v>40</v>
      </c>
    </row>
    <row r="2027" spans="1:5">
      <c r="A2027" s="8">
        <v>4979</v>
      </c>
      <c r="B2027" s="8" t="s">
        <v>3388</v>
      </c>
      <c r="C2027" s="8" t="s">
        <v>3389</v>
      </c>
      <c r="D2027" s="8" t="s">
        <v>121</v>
      </c>
      <c r="E2027" s="8" t="s">
        <v>40</v>
      </c>
    </row>
    <row r="2028" spans="1:5">
      <c r="A2028" s="8">
        <v>4980</v>
      </c>
      <c r="B2028" s="8" t="s">
        <v>3390</v>
      </c>
      <c r="C2028" s="8" t="s">
        <v>3391</v>
      </c>
      <c r="D2028" s="8" t="s">
        <v>264</v>
      </c>
      <c r="E2028" s="8" t="s">
        <v>40</v>
      </c>
    </row>
    <row r="2029" spans="1:5">
      <c r="A2029" s="8">
        <v>4982</v>
      </c>
      <c r="B2029" s="8" t="s">
        <v>3392</v>
      </c>
      <c r="C2029" s="8" t="s">
        <v>3393</v>
      </c>
      <c r="D2029" s="8" t="s">
        <v>79</v>
      </c>
      <c r="E2029" s="8" t="s">
        <v>40</v>
      </c>
    </row>
    <row r="2030" spans="1:5">
      <c r="A2030" s="8">
        <v>4983</v>
      </c>
      <c r="B2030" s="8" t="s">
        <v>3394</v>
      </c>
      <c r="C2030" s="8" t="s">
        <v>3395</v>
      </c>
      <c r="D2030" s="8" t="s">
        <v>39</v>
      </c>
      <c r="E2030" s="8" t="s">
        <v>40</v>
      </c>
    </row>
    <row r="2031" spans="1:5">
      <c r="A2031" s="8">
        <v>4984</v>
      </c>
      <c r="B2031" s="8" t="s">
        <v>3396</v>
      </c>
      <c r="C2031" s="8" t="s">
        <v>2247</v>
      </c>
      <c r="D2031" s="8" t="s">
        <v>43</v>
      </c>
      <c r="E2031" s="8" t="s">
        <v>40</v>
      </c>
    </row>
    <row r="2032" spans="1:5">
      <c r="A2032" s="8">
        <v>4987</v>
      </c>
      <c r="B2032" s="8" t="s">
        <v>3397</v>
      </c>
      <c r="C2032" s="8" t="s">
        <v>241</v>
      </c>
      <c r="D2032" s="8" t="s">
        <v>60</v>
      </c>
      <c r="E2032" s="8" t="s">
        <v>40</v>
      </c>
    </row>
    <row r="2033" spans="1:5">
      <c r="A2033" s="8">
        <v>4988</v>
      </c>
      <c r="B2033" s="8" t="s">
        <v>3398</v>
      </c>
      <c r="C2033" s="8" t="s">
        <v>3399</v>
      </c>
      <c r="D2033" s="8" t="s">
        <v>39</v>
      </c>
      <c r="E2033" s="8" t="s">
        <v>40</v>
      </c>
    </row>
    <row r="2034" spans="1:5">
      <c r="A2034" s="8">
        <v>4990</v>
      </c>
      <c r="B2034" s="8" t="s">
        <v>3400</v>
      </c>
      <c r="C2034" s="8" t="s">
        <v>3401</v>
      </c>
      <c r="D2034" s="8" t="s">
        <v>43</v>
      </c>
      <c r="E2034" s="8" t="s">
        <v>40</v>
      </c>
    </row>
    <row r="2035" spans="1:5">
      <c r="A2035" s="8">
        <v>4991</v>
      </c>
      <c r="B2035" s="8" t="s">
        <v>613</v>
      </c>
      <c r="C2035" s="8" t="s">
        <v>3402</v>
      </c>
      <c r="D2035" s="8" t="s">
        <v>97</v>
      </c>
      <c r="E2035" s="8" t="s">
        <v>40</v>
      </c>
    </row>
    <row r="2036" spans="1:5">
      <c r="A2036" s="8">
        <v>4992</v>
      </c>
      <c r="B2036" s="8" t="s">
        <v>3403</v>
      </c>
      <c r="C2036" s="8" t="s">
        <v>2338</v>
      </c>
      <c r="D2036" s="8" t="s">
        <v>238</v>
      </c>
      <c r="E2036" s="8" t="s">
        <v>239</v>
      </c>
    </row>
    <row r="2037" spans="1:5">
      <c r="A2037" s="8">
        <v>4994</v>
      </c>
      <c r="B2037" s="8" t="s">
        <v>3404</v>
      </c>
      <c r="C2037" s="8" t="s">
        <v>1734</v>
      </c>
      <c r="D2037" s="8" t="s">
        <v>39</v>
      </c>
      <c r="E2037" s="8" t="s">
        <v>40</v>
      </c>
    </row>
    <row r="2038" spans="1:5">
      <c r="A2038" s="8">
        <v>4998</v>
      </c>
      <c r="B2038" s="8" t="s">
        <v>3405</v>
      </c>
      <c r="C2038" s="8" t="s">
        <v>345</v>
      </c>
      <c r="D2038" s="8" t="s">
        <v>39</v>
      </c>
      <c r="E2038" s="8" t="s">
        <v>40</v>
      </c>
    </row>
    <row r="2039" spans="1:5">
      <c r="A2039" s="8">
        <v>4999</v>
      </c>
      <c r="B2039" s="8" t="s">
        <v>2455</v>
      </c>
      <c r="C2039" s="8" t="s">
        <v>3406</v>
      </c>
      <c r="D2039" s="8" t="s">
        <v>43</v>
      </c>
      <c r="E2039" s="8" t="s">
        <v>40</v>
      </c>
    </row>
    <row r="2040" spans="1:5">
      <c r="A2040" s="8">
        <v>5000</v>
      </c>
      <c r="B2040" s="8" t="s">
        <v>273</v>
      </c>
      <c r="C2040" s="8" t="s">
        <v>3407</v>
      </c>
      <c r="D2040" s="8" t="s">
        <v>60</v>
      </c>
      <c r="E2040" s="8" t="s">
        <v>40</v>
      </c>
    </row>
    <row r="2041" spans="1:5">
      <c r="A2041" s="8">
        <v>5002</v>
      </c>
      <c r="B2041" s="8" t="s">
        <v>1497</v>
      </c>
      <c r="C2041" s="8" t="s">
        <v>3408</v>
      </c>
      <c r="D2041" s="8" t="s">
        <v>490</v>
      </c>
      <c r="E2041" s="8" t="s">
        <v>40</v>
      </c>
    </row>
    <row r="2042" spans="1:5">
      <c r="A2042" s="8">
        <v>5003</v>
      </c>
      <c r="B2042" s="8" t="s">
        <v>3409</v>
      </c>
      <c r="C2042" s="8" t="s">
        <v>2644</v>
      </c>
      <c r="D2042" s="8" t="s">
        <v>132</v>
      </c>
      <c r="E2042" s="8" t="s">
        <v>40</v>
      </c>
    </row>
    <row r="2043" spans="1:5">
      <c r="A2043" s="8">
        <v>5005</v>
      </c>
      <c r="B2043" s="8" t="s">
        <v>3410</v>
      </c>
      <c r="C2043" s="8" t="s">
        <v>3336</v>
      </c>
      <c r="D2043" s="8" t="s">
        <v>490</v>
      </c>
      <c r="E2043" s="8" t="s">
        <v>40</v>
      </c>
    </row>
    <row r="2044" spans="1:5">
      <c r="A2044" s="8">
        <v>5006</v>
      </c>
      <c r="B2044" s="8" t="s">
        <v>3411</v>
      </c>
      <c r="C2044" s="8" t="s">
        <v>489</v>
      </c>
      <c r="D2044" s="8" t="s">
        <v>51</v>
      </c>
      <c r="E2044" s="8" t="s">
        <v>40</v>
      </c>
    </row>
    <row r="2045" spans="1:5">
      <c r="A2045" s="8">
        <v>5010</v>
      </c>
      <c r="B2045" s="8" t="s">
        <v>3412</v>
      </c>
      <c r="C2045" s="8" t="s">
        <v>3413</v>
      </c>
      <c r="D2045" s="8" t="s">
        <v>79</v>
      </c>
      <c r="E2045" s="8" t="s">
        <v>40</v>
      </c>
    </row>
    <row r="2046" spans="1:5">
      <c r="A2046" s="8">
        <v>5012</v>
      </c>
      <c r="B2046" s="8" t="s">
        <v>3414</v>
      </c>
      <c r="C2046" s="8" t="s">
        <v>3415</v>
      </c>
      <c r="D2046" s="8" t="s">
        <v>43</v>
      </c>
      <c r="E2046" s="8" t="s">
        <v>40</v>
      </c>
    </row>
    <row r="2047" spans="1:5">
      <c r="A2047" s="8">
        <v>5013</v>
      </c>
      <c r="B2047" s="8" t="s">
        <v>3309</v>
      </c>
      <c r="C2047" s="8" t="s">
        <v>1179</v>
      </c>
      <c r="D2047" s="8" t="s">
        <v>691</v>
      </c>
      <c r="E2047" s="8" t="s">
        <v>40</v>
      </c>
    </row>
    <row r="2048" spans="1:5">
      <c r="A2048" s="8">
        <v>5015</v>
      </c>
      <c r="B2048" s="8" t="s">
        <v>3416</v>
      </c>
      <c r="C2048" s="8" t="s">
        <v>3417</v>
      </c>
      <c r="D2048" s="8" t="s">
        <v>964</v>
      </c>
      <c r="E2048" s="8" t="s">
        <v>239</v>
      </c>
    </row>
    <row r="2049" spans="1:5">
      <c r="A2049" s="8">
        <v>5016</v>
      </c>
      <c r="B2049" s="8" t="s">
        <v>3418</v>
      </c>
      <c r="C2049" s="8" t="s">
        <v>970</v>
      </c>
      <c r="D2049" s="8" t="s">
        <v>54</v>
      </c>
      <c r="E2049" s="8" t="s">
        <v>40</v>
      </c>
    </row>
    <row r="2050" spans="1:5">
      <c r="A2050" s="8">
        <v>5019</v>
      </c>
      <c r="B2050" s="8" t="s">
        <v>3419</v>
      </c>
      <c r="C2050" s="8" t="s">
        <v>3420</v>
      </c>
      <c r="D2050" s="8" t="s">
        <v>132</v>
      </c>
      <c r="E2050" s="8" t="s">
        <v>40</v>
      </c>
    </row>
    <row r="2051" spans="1:5">
      <c r="A2051" s="8">
        <v>5022</v>
      </c>
      <c r="B2051" s="8" t="s">
        <v>3421</v>
      </c>
      <c r="C2051" s="8" t="s">
        <v>3422</v>
      </c>
      <c r="D2051" s="8" t="s">
        <v>490</v>
      </c>
      <c r="E2051" s="8" t="s">
        <v>40</v>
      </c>
    </row>
    <row r="2052" spans="1:5">
      <c r="A2052" s="8">
        <v>5024</v>
      </c>
      <c r="B2052" s="8" t="s">
        <v>984</v>
      </c>
      <c r="C2052" s="8" t="s">
        <v>1205</v>
      </c>
      <c r="D2052" s="8" t="s">
        <v>238</v>
      </c>
      <c r="E2052" s="8" t="s">
        <v>239</v>
      </c>
    </row>
    <row r="2053" spans="1:5">
      <c r="A2053" s="8">
        <v>5025</v>
      </c>
      <c r="B2053" s="8" t="s">
        <v>3423</v>
      </c>
      <c r="C2053" s="8" t="s">
        <v>858</v>
      </c>
      <c r="D2053" s="8" t="s">
        <v>43</v>
      </c>
      <c r="E2053" s="8" t="s">
        <v>40</v>
      </c>
    </row>
    <row r="2054" spans="1:5">
      <c r="A2054" s="8">
        <v>5026</v>
      </c>
      <c r="B2054" s="8" t="s">
        <v>3424</v>
      </c>
      <c r="C2054" s="8" t="s">
        <v>3401</v>
      </c>
      <c r="D2054" s="8" t="s">
        <v>43</v>
      </c>
      <c r="E2054" s="8" t="s">
        <v>40</v>
      </c>
    </row>
    <row r="2055" spans="1:5">
      <c r="A2055" s="8">
        <v>5027</v>
      </c>
      <c r="B2055" s="8" t="s">
        <v>2083</v>
      </c>
      <c r="C2055" s="8" t="s">
        <v>304</v>
      </c>
      <c r="D2055" s="8" t="s">
        <v>43</v>
      </c>
      <c r="E2055" s="8" t="s">
        <v>40</v>
      </c>
    </row>
    <row r="2056" spans="1:5">
      <c r="A2056" s="8">
        <v>5030</v>
      </c>
      <c r="B2056" s="8" t="s">
        <v>3425</v>
      </c>
      <c r="C2056" s="8" t="s">
        <v>3426</v>
      </c>
      <c r="D2056" s="8" t="s">
        <v>54</v>
      </c>
      <c r="E2056" s="8" t="s">
        <v>40</v>
      </c>
    </row>
    <row r="2057" spans="1:5">
      <c r="A2057" s="8">
        <v>5031</v>
      </c>
      <c r="B2057" s="8" t="s">
        <v>3427</v>
      </c>
      <c r="C2057" s="8" t="s">
        <v>531</v>
      </c>
      <c r="D2057" s="8" t="s">
        <v>238</v>
      </c>
      <c r="E2057" s="8" t="s">
        <v>239</v>
      </c>
    </row>
    <row r="2058" spans="1:5">
      <c r="A2058" s="8">
        <v>5032</v>
      </c>
      <c r="B2058" s="8" t="s">
        <v>2900</v>
      </c>
      <c r="C2058" s="8" t="s">
        <v>829</v>
      </c>
      <c r="D2058" s="8" t="s">
        <v>238</v>
      </c>
      <c r="E2058" s="8" t="s">
        <v>239</v>
      </c>
    </row>
    <row r="2059" spans="1:5">
      <c r="A2059" s="8">
        <v>5033</v>
      </c>
      <c r="B2059" s="8" t="s">
        <v>3428</v>
      </c>
      <c r="C2059" s="8" t="s">
        <v>2706</v>
      </c>
      <c r="D2059" s="8" t="s">
        <v>238</v>
      </c>
      <c r="E2059" s="8" t="s">
        <v>239</v>
      </c>
    </row>
    <row r="2060" spans="1:5">
      <c r="A2060" s="8">
        <v>5036</v>
      </c>
      <c r="B2060" s="8" t="s">
        <v>3429</v>
      </c>
      <c r="C2060" s="8" t="s">
        <v>835</v>
      </c>
      <c r="D2060" s="8" t="s">
        <v>238</v>
      </c>
      <c r="E2060" s="8" t="s">
        <v>239</v>
      </c>
    </row>
    <row r="2061" spans="1:5">
      <c r="A2061" s="8">
        <v>5038</v>
      </c>
      <c r="B2061" s="8" t="s">
        <v>3430</v>
      </c>
      <c r="C2061" s="8" t="s">
        <v>3431</v>
      </c>
      <c r="D2061" s="8" t="s">
        <v>1025</v>
      </c>
      <c r="E2061" s="8" t="s">
        <v>1026</v>
      </c>
    </row>
    <row r="2062" spans="1:5">
      <c r="A2062" s="8">
        <v>5039</v>
      </c>
      <c r="B2062" s="8" t="s">
        <v>3432</v>
      </c>
      <c r="C2062" s="8" t="s">
        <v>3433</v>
      </c>
      <c r="D2062" s="8" t="s">
        <v>238</v>
      </c>
      <c r="E2062" s="8" t="s">
        <v>239</v>
      </c>
    </row>
    <row r="2063" spans="1:5">
      <c r="A2063" s="8">
        <v>5041</v>
      </c>
      <c r="B2063" s="8" t="s">
        <v>3434</v>
      </c>
      <c r="C2063" s="8" t="s">
        <v>3435</v>
      </c>
      <c r="D2063" s="8" t="s">
        <v>213</v>
      </c>
      <c r="E2063" s="8" t="s">
        <v>40</v>
      </c>
    </row>
    <row r="2064" spans="1:5">
      <c r="A2064" s="8">
        <v>5045</v>
      </c>
      <c r="B2064" s="8" t="s">
        <v>3436</v>
      </c>
      <c r="C2064" s="8" t="s">
        <v>3241</v>
      </c>
      <c r="D2064" s="8" t="s">
        <v>490</v>
      </c>
      <c r="E2064" s="8" t="s">
        <v>40</v>
      </c>
    </row>
    <row r="2065" spans="1:5">
      <c r="A2065" s="8">
        <v>5046</v>
      </c>
      <c r="B2065" s="8" t="s">
        <v>3437</v>
      </c>
      <c r="C2065" s="8" t="s">
        <v>3241</v>
      </c>
      <c r="D2065" s="8" t="s">
        <v>39</v>
      </c>
      <c r="E2065" s="8" t="s">
        <v>40</v>
      </c>
    </row>
    <row r="2066" spans="1:5">
      <c r="A2066" s="8">
        <v>5047</v>
      </c>
      <c r="B2066" s="8" t="s">
        <v>3438</v>
      </c>
      <c r="C2066" s="8" t="s">
        <v>1944</v>
      </c>
      <c r="D2066" s="8" t="s">
        <v>164</v>
      </c>
      <c r="E2066" s="8" t="s">
        <v>40</v>
      </c>
    </row>
    <row r="2067" spans="1:5">
      <c r="A2067" s="8">
        <v>5048</v>
      </c>
      <c r="B2067" s="8" t="s">
        <v>3327</v>
      </c>
      <c r="C2067" s="8" t="s">
        <v>3439</v>
      </c>
      <c r="D2067" s="8" t="s">
        <v>39</v>
      </c>
      <c r="E2067" s="8" t="s">
        <v>40</v>
      </c>
    </row>
    <row r="2068" spans="1:5">
      <c r="A2068" s="8">
        <v>5049</v>
      </c>
      <c r="B2068" s="8" t="s">
        <v>3440</v>
      </c>
      <c r="C2068" s="8" t="s">
        <v>725</v>
      </c>
      <c r="D2068" s="8" t="s">
        <v>726</v>
      </c>
      <c r="E2068" s="8" t="s">
        <v>40</v>
      </c>
    </row>
    <row r="2069" spans="1:5">
      <c r="A2069" s="8">
        <v>5050</v>
      </c>
      <c r="B2069" s="8" t="s">
        <v>3441</v>
      </c>
      <c r="C2069" s="8" t="s">
        <v>3442</v>
      </c>
      <c r="D2069" s="8" t="s">
        <v>39</v>
      </c>
      <c r="E2069" s="8" t="s">
        <v>40</v>
      </c>
    </row>
    <row r="2070" spans="1:5">
      <c r="A2070" s="8">
        <v>5052</v>
      </c>
      <c r="B2070" s="8" t="s">
        <v>3443</v>
      </c>
      <c r="C2070" s="8" t="s">
        <v>3444</v>
      </c>
      <c r="D2070" s="8" t="s">
        <v>164</v>
      </c>
      <c r="E2070" s="8" t="s">
        <v>40</v>
      </c>
    </row>
    <row r="2071" spans="1:5">
      <c r="A2071" s="8">
        <v>5053</v>
      </c>
      <c r="B2071" s="8" t="s">
        <v>3445</v>
      </c>
      <c r="C2071" s="8" t="s">
        <v>1677</v>
      </c>
      <c r="D2071" s="8" t="s">
        <v>39</v>
      </c>
      <c r="E2071" s="8" t="s">
        <v>40</v>
      </c>
    </row>
    <row r="2072" spans="1:5">
      <c r="A2072" s="8">
        <v>5056</v>
      </c>
      <c r="B2072" s="8" t="s">
        <v>3446</v>
      </c>
      <c r="C2072" s="8" t="s">
        <v>2572</v>
      </c>
      <c r="D2072" s="8" t="s">
        <v>39</v>
      </c>
      <c r="E2072" s="8" t="s">
        <v>40</v>
      </c>
    </row>
    <row r="2073" spans="1:5">
      <c r="A2073" s="8">
        <v>5057</v>
      </c>
      <c r="B2073" s="8" t="s">
        <v>3447</v>
      </c>
      <c r="C2073" s="8" t="s">
        <v>1794</v>
      </c>
      <c r="D2073" s="8" t="s">
        <v>164</v>
      </c>
      <c r="E2073" s="8" t="s">
        <v>40</v>
      </c>
    </row>
    <row r="2074" spans="1:5">
      <c r="A2074" s="8">
        <v>5058</v>
      </c>
      <c r="B2074" s="8" t="s">
        <v>3448</v>
      </c>
      <c r="C2074" s="8" t="s">
        <v>3336</v>
      </c>
      <c r="D2074" s="8" t="s">
        <v>490</v>
      </c>
      <c r="E2074" s="8" t="s">
        <v>40</v>
      </c>
    </row>
    <row r="2075" spans="1:5">
      <c r="A2075" s="8">
        <v>5059</v>
      </c>
      <c r="B2075" s="8" t="s">
        <v>3449</v>
      </c>
      <c r="C2075" s="8" t="s">
        <v>3450</v>
      </c>
      <c r="D2075" s="8" t="s">
        <v>92</v>
      </c>
      <c r="E2075" s="8" t="s">
        <v>40</v>
      </c>
    </row>
    <row r="2076" spans="1:5">
      <c r="A2076" s="8">
        <v>5060</v>
      </c>
      <c r="B2076" s="8" t="s">
        <v>3451</v>
      </c>
      <c r="C2076" s="8" t="s">
        <v>229</v>
      </c>
      <c r="D2076" s="8" t="s">
        <v>691</v>
      </c>
      <c r="E2076" s="8" t="s">
        <v>40</v>
      </c>
    </row>
    <row r="2077" spans="1:5">
      <c r="A2077" s="8">
        <v>5063</v>
      </c>
      <c r="B2077" s="8" t="s">
        <v>3452</v>
      </c>
      <c r="C2077" s="8" t="s">
        <v>3453</v>
      </c>
      <c r="D2077" s="8" t="s">
        <v>319</v>
      </c>
      <c r="E2077" s="8" t="s">
        <v>40</v>
      </c>
    </row>
    <row r="2078" spans="1:5">
      <c r="A2078" s="8">
        <v>5065</v>
      </c>
      <c r="B2078" s="8" t="s">
        <v>1860</v>
      </c>
      <c r="C2078" s="8" t="s">
        <v>3454</v>
      </c>
      <c r="D2078" s="8" t="s">
        <v>39</v>
      </c>
      <c r="E2078" s="8" t="s">
        <v>40</v>
      </c>
    </row>
    <row r="2079" spans="1:5">
      <c r="A2079" s="8">
        <v>5066</v>
      </c>
      <c r="B2079" s="8" t="s">
        <v>3455</v>
      </c>
      <c r="C2079" s="8" t="s">
        <v>3456</v>
      </c>
      <c r="D2079" s="8" t="s">
        <v>39</v>
      </c>
      <c r="E2079" s="8" t="s">
        <v>40</v>
      </c>
    </row>
    <row r="2080" spans="1:5">
      <c r="A2080" s="8">
        <v>5067</v>
      </c>
      <c r="B2080" s="8" t="s">
        <v>3457</v>
      </c>
      <c r="C2080" s="8" t="s">
        <v>627</v>
      </c>
      <c r="D2080" s="8" t="s">
        <v>39</v>
      </c>
      <c r="E2080" s="8" t="s">
        <v>40</v>
      </c>
    </row>
    <row r="2081" spans="1:5">
      <c r="A2081" s="8">
        <v>5069</v>
      </c>
      <c r="B2081" s="8" t="s">
        <v>3458</v>
      </c>
      <c r="C2081" s="8" t="s">
        <v>3459</v>
      </c>
      <c r="D2081" s="8" t="s">
        <v>39</v>
      </c>
      <c r="E2081" s="8" t="s">
        <v>40</v>
      </c>
    </row>
    <row r="2082" spans="1:5">
      <c r="A2082" s="8">
        <v>5070</v>
      </c>
      <c r="B2082" s="8" t="s">
        <v>3460</v>
      </c>
      <c r="C2082" s="8" t="s">
        <v>431</v>
      </c>
      <c r="D2082" s="8" t="s">
        <v>164</v>
      </c>
      <c r="E2082" s="8" t="s">
        <v>40</v>
      </c>
    </row>
    <row r="2083" spans="1:5">
      <c r="A2083" s="8">
        <v>5071</v>
      </c>
      <c r="B2083" s="8" t="s">
        <v>2491</v>
      </c>
      <c r="C2083" s="8" t="s">
        <v>2128</v>
      </c>
      <c r="D2083" s="8" t="s">
        <v>1563</v>
      </c>
      <c r="E2083" s="8" t="s">
        <v>40</v>
      </c>
    </row>
    <row r="2084" spans="1:5">
      <c r="A2084" s="8">
        <v>5072</v>
      </c>
      <c r="B2084" s="8" t="s">
        <v>984</v>
      </c>
      <c r="C2084" s="8" t="s">
        <v>3461</v>
      </c>
      <c r="D2084" s="8" t="s">
        <v>39</v>
      </c>
      <c r="E2084" s="8" t="s">
        <v>40</v>
      </c>
    </row>
    <row r="2085" spans="1:5">
      <c r="A2085" s="8">
        <v>5074</v>
      </c>
      <c r="B2085" s="8" t="s">
        <v>3462</v>
      </c>
      <c r="C2085" s="8" t="s">
        <v>3463</v>
      </c>
      <c r="D2085" s="8" t="s">
        <v>630</v>
      </c>
      <c r="E2085" s="8" t="s">
        <v>40</v>
      </c>
    </row>
    <row r="2086" spans="1:5">
      <c r="A2086" s="8">
        <v>5077</v>
      </c>
      <c r="B2086" s="8" t="s">
        <v>3464</v>
      </c>
      <c r="C2086" s="8" t="s">
        <v>2050</v>
      </c>
      <c r="D2086" s="8" t="s">
        <v>81</v>
      </c>
      <c r="E2086" s="8" t="s">
        <v>40</v>
      </c>
    </row>
    <row r="2087" spans="1:5">
      <c r="A2087" s="8">
        <v>5078</v>
      </c>
      <c r="B2087" s="8" t="s">
        <v>3465</v>
      </c>
      <c r="C2087" s="8" t="s">
        <v>963</v>
      </c>
      <c r="D2087" s="8" t="s">
        <v>964</v>
      </c>
      <c r="E2087" s="8" t="s">
        <v>239</v>
      </c>
    </row>
    <row r="2088" spans="1:5">
      <c r="A2088" s="8">
        <v>5082</v>
      </c>
      <c r="B2088" s="8" t="s">
        <v>3466</v>
      </c>
      <c r="C2088" s="8" t="s">
        <v>1179</v>
      </c>
      <c r="D2088" s="8" t="s">
        <v>691</v>
      </c>
      <c r="E2088" s="8" t="s">
        <v>40</v>
      </c>
    </row>
    <row r="2089" spans="1:5">
      <c r="A2089" s="8">
        <v>5084</v>
      </c>
      <c r="B2089" s="8" t="s">
        <v>3467</v>
      </c>
      <c r="C2089" s="8" t="s">
        <v>3468</v>
      </c>
      <c r="D2089" s="8" t="s">
        <v>39</v>
      </c>
      <c r="E2089" s="8" t="s">
        <v>40</v>
      </c>
    </row>
    <row r="2090" spans="1:5">
      <c r="A2090" s="8">
        <v>5085</v>
      </c>
      <c r="B2090" s="8" t="s">
        <v>3469</v>
      </c>
      <c r="C2090" s="8" t="s">
        <v>3470</v>
      </c>
      <c r="D2090" s="8" t="s">
        <v>603</v>
      </c>
      <c r="E2090" s="8" t="s">
        <v>40</v>
      </c>
    </row>
    <row r="2091" spans="1:5">
      <c r="A2091" s="8">
        <v>5086</v>
      </c>
      <c r="B2091" s="8" t="s">
        <v>3471</v>
      </c>
      <c r="C2091" s="8" t="s">
        <v>3472</v>
      </c>
      <c r="D2091" s="8" t="s">
        <v>39</v>
      </c>
      <c r="E2091" s="8" t="s">
        <v>40</v>
      </c>
    </row>
    <row r="2092" spans="1:5">
      <c r="A2092" s="8">
        <v>5089</v>
      </c>
      <c r="B2092" s="8" t="s">
        <v>3473</v>
      </c>
      <c r="C2092" s="8" t="s">
        <v>523</v>
      </c>
      <c r="D2092" s="8" t="s">
        <v>43</v>
      </c>
      <c r="E2092" s="8" t="s">
        <v>40</v>
      </c>
    </row>
    <row r="2093" spans="1:5">
      <c r="A2093" s="8">
        <v>5090</v>
      </c>
      <c r="B2093" s="8" t="s">
        <v>3474</v>
      </c>
      <c r="C2093" s="8" t="s">
        <v>1302</v>
      </c>
      <c r="D2093" s="8" t="s">
        <v>39</v>
      </c>
      <c r="E2093" s="8" t="s">
        <v>40</v>
      </c>
    </row>
    <row r="2094" spans="1:5">
      <c r="A2094" s="8">
        <v>5093</v>
      </c>
      <c r="B2094" s="8" t="s">
        <v>3475</v>
      </c>
      <c r="C2094" s="8" t="s">
        <v>3476</v>
      </c>
      <c r="D2094" s="8" t="s">
        <v>3477</v>
      </c>
      <c r="E2094" s="8" t="s">
        <v>1461</v>
      </c>
    </row>
    <row r="2095" spans="1:5">
      <c r="A2095" s="8">
        <v>5095</v>
      </c>
      <c r="B2095" s="8" t="s">
        <v>3478</v>
      </c>
      <c r="C2095" s="8" t="s">
        <v>3479</v>
      </c>
      <c r="D2095" s="8" t="s">
        <v>335</v>
      </c>
      <c r="E2095" s="8" t="s">
        <v>239</v>
      </c>
    </row>
    <row r="2096" spans="1:5">
      <c r="A2096" s="8">
        <v>5096</v>
      </c>
      <c r="B2096" s="8" t="s">
        <v>3480</v>
      </c>
      <c r="C2096" s="8" t="s">
        <v>3138</v>
      </c>
      <c r="D2096" s="8" t="s">
        <v>132</v>
      </c>
      <c r="E2096" s="8" t="s">
        <v>40</v>
      </c>
    </row>
    <row r="2097" spans="1:5">
      <c r="A2097" s="8">
        <v>5098</v>
      </c>
      <c r="B2097" s="8" t="s">
        <v>3481</v>
      </c>
      <c r="C2097" s="8" t="s">
        <v>1179</v>
      </c>
      <c r="D2097" s="8" t="s">
        <v>691</v>
      </c>
      <c r="E2097" s="8" t="s">
        <v>40</v>
      </c>
    </row>
    <row r="2098" spans="1:5">
      <c r="A2098" s="8">
        <v>5099</v>
      </c>
      <c r="B2098" s="8" t="s">
        <v>3482</v>
      </c>
      <c r="C2098" s="8" t="s">
        <v>3483</v>
      </c>
      <c r="D2098" s="8" t="s">
        <v>54</v>
      </c>
      <c r="E2098" s="8" t="s">
        <v>40</v>
      </c>
    </row>
    <row r="2099" spans="1:5">
      <c r="A2099" s="8">
        <v>5102</v>
      </c>
      <c r="B2099" s="8" t="s">
        <v>3484</v>
      </c>
      <c r="C2099" s="8" t="s">
        <v>3485</v>
      </c>
      <c r="D2099" s="8" t="s">
        <v>43</v>
      </c>
      <c r="E2099" s="8" t="s">
        <v>40</v>
      </c>
    </row>
    <row r="2100" spans="1:5">
      <c r="A2100" s="8">
        <v>5103</v>
      </c>
      <c r="B2100" s="8" t="s">
        <v>3486</v>
      </c>
      <c r="C2100" s="8" t="s">
        <v>3487</v>
      </c>
      <c r="D2100" s="8" t="s">
        <v>164</v>
      </c>
      <c r="E2100" s="8" t="s">
        <v>40</v>
      </c>
    </row>
    <row r="2101" spans="1:5">
      <c r="A2101" s="8">
        <v>5104</v>
      </c>
      <c r="B2101" s="8" t="s">
        <v>3488</v>
      </c>
      <c r="C2101" s="8" t="s">
        <v>3489</v>
      </c>
      <c r="D2101" s="8" t="s">
        <v>43</v>
      </c>
      <c r="E2101" s="8" t="s">
        <v>40</v>
      </c>
    </row>
    <row r="2102" spans="1:5">
      <c r="A2102" s="8">
        <v>5107</v>
      </c>
      <c r="B2102" s="8" t="s">
        <v>3490</v>
      </c>
      <c r="C2102" s="8" t="s">
        <v>3491</v>
      </c>
      <c r="D2102" s="8" t="s">
        <v>43</v>
      </c>
      <c r="E2102" s="8" t="s">
        <v>40</v>
      </c>
    </row>
    <row r="2103" spans="1:5">
      <c r="A2103" s="8">
        <v>5109</v>
      </c>
      <c r="B2103" s="8" t="s">
        <v>3492</v>
      </c>
      <c r="C2103" s="8" t="s">
        <v>1105</v>
      </c>
      <c r="D2103" s="8" t="s">
        <v>630</v>
      </c>
      <c r="E2103" s="8" t="s">
        <v>40</v>
      </c>
    </row>
    <row r="2104" spans="1:5">
      <c r="A2104" s="8">
        <v>5110</v>
      </c>
      <c r="B2104" s="8" t="s">
        <v>3493</v>
      </c>
      <c r="C2104" s="8" t="s">
        <v>3494</v>
      </c>
      <c r="D2104" s="8" t="s">
        <v>39</v>
      </c>
      <c r="E2104" s="8" t="s">
        <v>40</v>
      </c>
    </row>
    <row r="2105" spans="1:5">
      <c r="A2105" s="8">
        <v>5112</v>
      </c>
      <c r="B2105" s="8" t="s">
        <v>3495</v>
      </c>
      <c r="C2105" s="8" t="s">
        <v>3496</v>
      </c>
      <c r="D2105" s="8" t="s">
        <v>116</v>
      </c>
      <c r="E2105" s="8" t="s">
        <v>40</v>
      </c>
    </row>
    <row r="2106" spans="1:5">
      <c r="A2106" s="8">
        <v>5113</v>
      </c>
      <c r="B2106" s="8" t="s">
        <v>3497</v>
      </c>
      <c r="C2106" s="8" t="s">
        <v>3498</v>
      </c>
      <c r="D2106" s="8" t="s">
        <v>48</v>
      </c>
      <c r="E2106" s="8" t="s">
        <v>40</v>
      </c>
    </row>
    <row r="2107" spans="1:5">
      <c r="A2107" s="8">
        <v>5114</v>
      </c>
      <c r="B2107" s="8" t="s">
        <v>1856</v>
      </c>
      <c r="C2107" s="8" t="s">
        <v>895</v>
      </c>
      <c r="D2107" s="8" t="s">
        <v>39</v>
      </c>
      <c r="E2107" s="8" t="s">
        <v>40</v>
      </c>
    </row>
    <row r="2108" spans="1:5">
      <c r="A2108" s="8">
        <v>5115</v>
      </c>
      <c r="B2108" s="8" t="s">
        <v>3499</v>
      </c>
      <c r="C2108" s="8" t="s">
        <v>437</v>
      </c>
      <c r="D2108" s="8" t="s">
        <v>438</v>
      </c>
      <c r="E2108" s="8" t="s">
        <v>40</v>
      </c>
    </row>
    <row r="2109" spans="1:5">
      <c r="A2109" s="8">
        <v>5118</v>
      </c>
      <c r="B2109" s="8" t="s">
        <v>3500</v>
      </c>
      <c r="C2109" s="8" t="s">
        <v>3501</v>
      </c>
      <c r="D2109" s="8" t="s">
        <v>964</v>
      </c>
      <c r="E2109" s="8" t="s">
        <v>239</v>
      </c>
    </row>
    <row r="2110" spans="1:5">
      <c r="A2110" s="8">
        <v>5119</v>
      </c>
      <c r="B2110" s="8" t="s">
        <v>3502</v>
      </c>
      <c r="C2110" s="8" t="s">
        <v>845</v>
      </c>
      <c r="D2110" s="8" t="s">
        <v>696</v>
      </c>
      <c r="E2110" s="8" t="s">
        <v>40</v>
      </c>
    </row>
    <row r="2111" spans="1:5">
      <c r="A2111" s="8">
        <v>5122</v>
      </c>
      <c r="B2111" s="8" t="s">
        <v>3503</v>
      </c>
      <c r="C2111" s="8" t="s">
        <v>3504</v>
      </c>
      <c r="D2111" s="8" t="s">
        <v>87</v>
      </c>
      <c r="E2111" s="8" t="s">
        <v>40</v>
      </c>
    </row>
    <row r="2112" spans="1:5">
      <c r="A2112" s="8">
        <v>5123</v>
      </c>
      <c r="B2112" s="8" t="s">
        <v>3505</v>
      </c>
      <c r="C2112" s="8" t="s">
        <v>1473</v>
      </c>
      <c r="D2112" s="8" t="s">
        <v>54</v>
      </c>
      <c r="E2112" s="8" t="s">
        <v>40</v>
      </c>
    </row>
    <row r="2113" spans="1:5">
      <c r="A2113" s="8">
        <v>5124</v>
      </c>
      <c r="B2113" s="8" t="s">
        <v>3506</v>
      </c>
      <c r="C2113" s="8" t="s">
        <v>818</v>
      </c>
      <c r="D2113" s="8" t="s">
        <v>43</v>
      </c>
      <c r="E2113" s="8" t="s">
        <v>40</v>
      </c>
    </row>
    <row r="2114" spans="1:5">
      <c r="A2114" s="8">
        <v>5125</v>
      </c>
      <c r="B2114" s="8" t="s">
        <v>3507</v>
      </c>
      <c r="C2114" s="8" t="s">
        <v>143</v>
      </c>
      <c r="D2114" s="8" t="s">
        <v>121</v>
      </c>
      <c r="E2114" s="8" t="s">
        <v>40</v>
      </c>
    </row>
    <row r="2115" spans="1:5">
      <c r="A2115" s="8">
        <v>5126</v>
      </c>
      <c r="B2115" s="8" t="s">
        <v>3508</v>
      </c>
      <c r="C2115" s="8" t="s">
        <v>1572</v>
      </c>
      <c r="D2115" s="8" t="s">
        <v>691</v>
      </c>
      <c r="E2115" s="8" t="s">
        <v>40</v>
      </c>
    </row>
    <row r="2116" spans="1:5">
      <c r="A2116" s="8">
        <v>5129</v>
      </c>
      <c r="B2116" s="8" t="s">
        <v>3509</v>
      </c>
      <c r="C2116" s="8" t="s">
        <v>3510</v>
      </c>
      <c r="D2116" s="8" t="s">
        <v>201</v>
      </c>
      <c r="E2116" s="8" t="s">
        <v>40</v>
      </c>
    </row>
    <row r="2117" spans="1:5">
      <c r="A2117" s="8">
        <v>5130</v>
      </c>
      <c r="B2117" s="8" t="s">
        <v>3511</v>
      </c>
      <c r="C2117" s="8" t="s">
        <v>3512</v>
      </c>
      <c r="D2117" s="8" t="s">
        <v>319</v>
      </c>
      <c r="E2117" s="8" t="s">
        <v>40</v>
      </c>
    </row>
    <row r="2118" spans="1:5">
      <c r="A2118" s="8">
        <v>5132</v>
      </c>
      <c r="B2118" s="8" t="s">
        <v>3513</v>
      </c>
      <c r="C2118" s="8" t="s">
        <v>3514</v>
      </c>
      <c r="D2118" s="8" t="s">
        <v>630</v>
      </c>
      <c r="E2118" s="8" t="s">
        <v>40</v>
      </c>
    </row>
    <row r="2119" spans="1:5">
      <c r="A2119" s="8">
        <v>5133</v>
      </c>
      <c r="B2119" s="8" t="s">
        <v>3515</v>
      </c>
      <c r="C2119" s="8" t="s">
        <v>3516</v>
      </c>
      <c r="D2119" s="8" t="s">
        <v>3516</v>
      </c>
      <c r="E2119" s="8" t="s">
        <v>1461</v>
      </c>
    </row>
    <row r="2120" spans="1:5">
      <c r="A2120" s="8">
        <v>5134</v>
      </c>
      <c r="B2120" s="8" t="s">
        <v>2414</v>
      </c>
      <c r="C2120" s="8" t="s">
        <v>1093</v>
      </c>
      <c r="D2120" s="8" t="s">
        <v>43</v>
      </c>
      <c r="E2120" s="8" t="s">
        <v>40</v>
      </c>
    </row>
    <row r="2121" spans="1:5">
      <c r="A2121" s="8">
        <v>5135</v>
      </c>
      <c r="B2121" s="8" t="s">
        <v>3517</v>
      </c>
      <c r="C2121" s="8" t="s">
        <v>3518</v>
      </c>
      <c r="D2121" s="8" t="s">
        <v>1034</v>
      </c>
      <c r="E2121" s="8" t="s">
        <v>1026</v>
      </c>
    </row>
    <row r="2122" spans="1:5">
      <c r="A2122" s="8">
        <v>5136</v>
      </c>
      <c r="B2122" s="8" t="s">
        <v>3519</v>
      </c>
      <c r="C2122" s="8" t="s">
        <v>3520</v>
      </c>
      <c r="D2122" s="8" t="s">
        <v>43</v>
      </c>
      <c r="E2122" s="8" t="s">
        <v>40</v>
      </c>
    </row>
    <row r="2123" spans="1:5">
      <c r="A2123" s="8">
        <v>5137</v>
      </c>
      <c r="B2123" s="8" t="s">
        <v>3521</v>
      </c>
      <c r="C2123" s="8" t="s">
        <v>2428</v>
      </c>
      <c r="D2123" s="8" t="s">
        <v>43</v>
      </c>
      <c r="E2123" s="8" t="s">
        <v>40</v>
      </c>
    </row>
    <row r="2124" spans="1:5">
      <c r="A2124" s="8">
        <v>5141</v>
      </c>
      <c r="B2124" s="8" t="s">
        <v>3522</v>
      </c>
      <c r="C2124" s="8" t="s">
        <v>1179</v>
      </c>
      <c r="D2124" s="8" t="s">
        <v>691</v>
      </c>
      <c r="E2124" s="8" t="s">
        <v>40</v>
      </c>
    </row>
    <row r="2125" spans="1:5">
      <c r="A2125" s="8">
        <v>5142</v>
      </c>
      <c r="B2125" s="8" t="s">
        <v>3523</v>
      </c>
      <c r="C2125" s="8" t="s">
        <v>3524</v>
      </c>
      <c r="D2125" s="8" t="s">
        <v>201</v>
      </c>
      <c r="E2125" s="8" t="s">
        <v>40</v>
      </c>
    </row>
    <row r="2126" spans="1:5">
      <c r="A2126" s="8">
        <v>5143</v>
      </c>
      <c r="B2126" s="8" t="s">
        <v>3525</v>
      </c>
      <c r="C2126" s="8" t="s">
        <v>681</v>
      </c>
      <c r="D2126" s="8" t="s">
        <v>1221</v>
      </c>
      <c r="E2126" s="8" t="s">
        <v>40</v>
      </c>
    </row>
    <row r="2127" spans="1:5">
      <c r="A2127" s="8">
        <v>5144</v>
      </c>
      <c r="B2127" s="8" t="s">
        <v>3526</v>
      </c>
      <c r="C2127" s="8" t="s">
        <v>3527</v>
      </c>
      <c r="D2127" s="8" t="s">
        <v>39</v>
      </c>
      <c r="E2127" s="8" t="s">
        <v>40</v>
      </c>
    </row>
    <row r="2128" spans="1:5">
      <c r="A2128" s="8">
        <v>5145</v>
      </c>
      <c r="B2128" s="8" t="s">
        <v>3528</v>
      </c>
      <c r="C2128" s="8" t="s">
        <v>2733</v>
      </c>
      <c r="D2128" s="8" t="s">
        <v>57</v>
      </c>
      <c r="E2128" s="8" t="s">
        <v>40</v>
      </c>
    </row>
    <row r="2129" spans="1:5">
      <c r="A2129" s="8">
        <v>5147</v>
      </c>
      <c r="B2129" s="8" t="s">
        <v>3529</v>
      </c>
      <c r="C2129" s="8" t="s">
        <v>3530</v>
      </c>
      <c r="D2129" s="8" t="s">
        <v>691</v>
      </c>
      <c r="E2129" s="8" t="s">
        <v>40</v>
      </c>
    </row>
    <row r="2130" spans="1:5">
      <c r="A2130" s="8">
        <v>5148</v>
      </c>
      <c r="B2130" s="8" t="s">
        <v>3531</v>
      </c>
      <c r="C2130" s="8" t="s">
        <v>3532</v>
      </c>
      <c r="D2130" s="8" t="s">
        <v>132</v>
      </c>
      <c r="E2130" s="8" t="s">
        <v>40</v>
      </c>
    </row>
    <row r="2131" spans="1:5">
      <c r="A2131" s="8">
        <v>5149</v>
      </c>
      <c r="B2131" s="8" t="s">
        <v>3533</v>
      </c>
      <c r="C2131" s="8" t="s">
        <v>274</v>
      </c>
      <c r="D2131" s="8" t="s">
        <v>54</v>
      </c>
      <c r="E2131" s="8" t="s">
        <v>40</v>
      </c>
    </row>
    <row r="2132" spans="1:5">
      <c r="A2132" s="8">
        <v>5150</v>
      </c>
      <c r="B2132" s="8" t="s">
        <v>3534</v>
      </c>
      <c r="C2132" s="8" t="s">
        <v>345</v>
      </c>
      <c r="D2132" s="8" t="s">
        <v>39</v>
      </c>
      <c r="E2132" s="8" t="s">
        <v>40</v>
      </c>
    </row>
    <row r="2133" spans="1:5">
      <c r="A2133" s="8">
        <v>5152</v>
      </c>
      <c r="B2133" s="8" t="s">
        <v>3535</v>
      </c>
      <c r="C2133" s="8" t="s">
        <v>3536</v>
      </c>
      <c r="D2133" s="8" t="s">
        <v>39</v>
      </c>
      <c r="E2133" s="8" t="s">
        <v>40</v>
      </c>
    </row>
    <row r="2134" spans="1:5">
      <c r="A2134" s="8">
        <v>5155</v>
      </c>
      <c r="B2134" s="8" t="s">
        <v>3537</v>
      </c>
      <c r="C2134" s="8" t="s">
        <v>3538</v>
      </c>
      <c r="D2134" s="8" t="s">
        <v>39</v>
      </c>
      <c r="E2134" s="8" t="s">
        <v>40</v>
      </c>
    </row>
    <row r="2135" spans="1:5">
      <c r="A2135" s="8">
        <v>5156</v>
      </c>
      <c r="B2135" s="8" t="s">
        <v>3539</v>
      </c>
      <c r="C2135" s="8" t="s">
        <v>3540</v>
      </c>
      <c r="D2135" s="8" t="s">
        <v>39</v>
      </c>
      <c r="E2135" s="8" t="s">
        <v>40</v>
      </c>
    </row>
    <row r="2136" spans="1:5">
      <c r="A2136" s="8">
        <v>5159</v>
      </c>
      <c r="B2136" s="8" t="s">
        <v>3541</v>
      </c>
      <c r="C2136" s="8" t="s">
        <v>1902</v>
      </c>
      <c r="D2136" s="8" t="s">
        <v>1563</v>
      </c>
      <c r="E2136" s="8" t="s">
        <v>40</v>
      </c>
    </row>
    <row r="2137" spans="1:5">
      <c r="A2137" s="8">
        <v>5160</v>
      </c>
      <c r="B2137" s="8" t="s">
        <v>2491</v>
      </c>
      <c r="C2137" s="8" t="s">
        <v>2233</v>
      </c>
      <c r="D2137" s="8" t="s">
        <v>429</v>
      </c>
      <c r="E2137" s="8" t="s">
        <v>40</v>
      </c>
    </row>
    <row r="2138" spans="1:5">
      <c r="A2138" s="8">
        <v>5161</v>
      </c>
      <c r="B2138" s="8" t="s">
        <v>3542</v>
      </c>
      <c r="C2138" s="8" t="s">
        <v>3543</v>
      </c>
      <c r="D2138" s="8" t="s">
        <v>39</v>
      </c>
      <c r="E2138" s="8" t="s">
        <v>40</v>
      </c>
    </row>
    <row r="2139" spans="1:5">
      <c r="A2139" s="8">
        <v>5162</v>
      </c>
      <c r="B2139" s="8" t="s">
        <v>3544</v>
      </c>
      <c r="C2139" s="8" t="s">
        <v>3545</v>
      </c>
      <c r="D2139" s="8" t="s">
        <v>39</v>
      </c>
      <c r="E2139" s="8" t="s">
        <v>40</v>
      </c>
    </row>
    <row r="2140" spans="1:5">
      <c r="A2140" s="8">
        <v>5166</v>
      </c>
      <c r="B2140" s="8" t="s">
        <v>3546</v>
      </c>
      <c r="C2140" s="8" t="s">
        <v>3547</v>
      </c>
      <c r="D2140" s="8" t="s">
        <v>39</v>
      </c>
      <c r="E2140" s="8" t="s">
        <v>40</v>
      </c>
    </row>
    <row r="2141" spans="1:5">
      <c r="A2141" s="8">
        <v>5167</v>
      </c>
      <c r="B2141" s="8" t="s">
        <v>3548</v>
      </c>
      <c r="C2141" s="8" t="s">
        <v>2262</v>
      </c>
      <c r="D2141" s="8" t="s">
        <v>39</v>
      </c>
      <c r="E2141" s="8" t="s">
        <v>40</v>
      </c>
    </row>
    <row r="2142" spans="1:5">
      <c r="A2142" s="8">
        <v>5168</v>
      </c>
      <c r="B2142" s="8" t="s">
        <v>3549</v>
      </c>
      <c r="C2142" s="8" t="s">
        <v>2708</v>
      </c>
      <c r="D2142" s="8" t="s">
        <v>1226</v>
      </c>
      <c r="E2142" s="8" t="s">
        <v>40</v>
      </c>
    </row>
    <row r="2143" spans="1:5">
      <c r="A2143" s="8">
        <v>5171</v>
      </c>
      <c r="B2143" s="8" t="s">
        <v>3550</v>
      </c>
      <c r="C2143" s="8" t="s">
        <v>2839</v>
      </c>
      <c r="D2143" s="8" t="s">
        <v>43</v>
      </c>
      <c r="E2143" s="8" t="s">
        <v>40</v>
      </c>
    </row>
    <row r="2144" spans="1:5">
      <c r="A2144" s="8">
        <v>5172</v>
      </c>
      <c r="B2144" s="8" t="s">
        <v>1374</v>
      </c>
      <c r="C2144" s="8" t="s">
        <v>3551</v>
      </c>
      <c r="D2144" s="8" t="s">
        <v>1221</v>
      </c>
      <c r="E2144" s="8" t="s">
        <v>40</v>
      </c>
    </row>
    <row r="2145" spans="1:5">
      <c r="A2145" s="8">
        <v>5173</v>
      </c>
      <c r="B2145" s="8" t="s">
        <v>1289</v>
      </c>
      <c r="C2145" s="8" t="s">
        <v>3552</v>
      </c>
      <c r="D2145" s="8" t="s">
        <v>39</v>
      </c>
      <c r="E2145" s="8" t="s">
        <v>40</v>
      </c>
    </row>
    <row r="2146" spans="1:5">
      <c r="A2146" s="8">
        <v>5175</v>
      </c>
      <c r="B2146" s="8" t="s">
        <v>3553</v>
      </c>
      <c r="C2146" s="8" t="s">
        <v>3554</v>
      </c>
      <c r="D2146" s="8" t="s">
        <v>39</v>
      </c>
      <c r="E2146" s="8" t="s">
        <v>40</v>
      </c>
    </row>
    <row r="2147" spans="1:5">
      <c r="A2147" s="8">
        <v>5176</v>
      </c>
      <c r="B2147" s="8" t="s">
        <v>3555</v>
      </c>
      <c r="C2147" s="8" t="s">
        <v>690</v>
      </c>
      <c r="D2147" s="8" t="s">
        <v>691</v>
      </c>
      <c r="E2147" s="8" t="s">
        <v>40</v>
      </c>
    </row>
    <row r="2148" spans="1:5">
      <c r="A2148" s="8">
        <v>5178</v>
      </c>
      <c r="B2148" s="8" t="s">
        <v>3556</v>
      </c>
      <c r="C2148" s="8" t="s">
        <v>229</v>
      </c>
      <c r="D2148" s="8" t="s">
        <v>51</v>
      </c>
      <c r="E2148" s="8" t="s">
        <v>40</v>
      </c>
    </row>
    <row r="2149" spans="1:5">
      <c r="A2149" s="8">
        <v>5179</v>
      </c>
      <c r="B2149" s="8" t="s">
        <v>3557</v>
      </c>
      <c r="C2149" s="8" t="s">
        <v>3558</v>
      </c>
      <c r="D2149" s="8" t="s">
        <v>335</v>
      </c>
      <c r="E2149" s="8" t="s">
        <v>239</v>
      </c>
    </row>
    <row r="2150" spans="1:5">
      <c r="A2150" s="8">
        <v>5181</v>
      </c>
      <c r="B2150" s="8" t="s">
        <v>3559</v>
      </c>
      <c r="C2150" s="8" t="s">
        <v>3560</v>
      </c>
      <c r="D2150" s="8" t="s">
        <v>97</v>
      </c>
      <c r="E2150" s="8" t="s">
        <v>40</v>
      </c>
    </row>
    <row r="2151" spans="1:5">
      <c r="A2151" s="8">
        <v>5182</v>
      </c>
      <c r="B2151" s="8" t="s">
        <v>3561</v>
      </c>
      <c r="C2151" s="8" t="s">
        <v>3562</v>
      </c>
      <c r="D2151" s="8" t="s">
        <v>39</v>
      </c>
      <c r="E2151" s="8" t="s">
        <v>40</v>
      </c>
    </row>
    <row r="2152" spans="1:5">
      <c r="A2152" s="8">
        <v>5183</v>
      </c>
      <c r="B2152" s="8" t="s">
        <v>3563</v>
      </c>
      <c r="C2152" s="8" t="s">
        <v>3564</v>
      </c>
      <c r="D2152" s="8" t="s">
        <v>39</v>
      </c>
      <c r="E2152" s="8" t="s">
        <v>40</v>
      </c>
    </row>
    <row r="2153" spans="1:5">
      <c r="A2153" s="8">
        <v>5186</v>
      </c>
      <c r="B2153" s="8" t="s">
        <v>3565</v>
      </c>
      <c r="C2153" s="8" t="s">
        <v>3566</v>
      </c>
      <c r="D2153" s="8" t="s">
        <v>490</v>
      </c>
      <c r="E2153" s="8" t="s">
        <v>40</v>
      </c>
    </row>
    <row r="2154" spans="1:5">
      <c r="A2154" s="8">
        <v>5188</v>
      </c>
      <c r="B2154" s="8" t="s">
        <v>3567</v>
      </c>
      <c r="C2154" s="8" t="s">
        <v>3568</v>
      </c>
      <c r="D2154" s="8" t="s">
        <v>79</v>
      </c>
      <c r="E2154" s="8" t="s">
        <v>40</v>
      </c>
    </row>
    <row r="2155" spans="1:5">
      <c r="A2155" s="8">
        <v>5189</v>
      </c>
      <c r="B2155" s="8" t="s">
        <v>3569</v>
      </c>
      <c r="C2155" s="8" t="s">
        <v>1179</v>
      </c>
      <c r="D2155" s="8" t="s">
        <v>696</v>
      </c>
      <c r="E2155" s="8" t="s">
        <v>40</v>
      </c>
    </row>
    <row r="2156" spans="1:5">
      <c r="A2156" s="8">
        <v>5190</v>
      </c>
      <c r="B2156" s="8" t="s">
        <v>3570</v>
      </c>
      <c r="C2156" s="8" t="s">
        <v>2233</v>
      </c>
      <c r="D2156" s="8" t="s">
        <v>429</v>
      </c>
      <c r="E2156" s="8" t="s">
        <v>40</v>
      </c>
    </row>
    <row r="2157" spans="1:5">
      <c r="A2157" s="8">
        <v>5193</v>
      </c>
      <c r="B2157" s="8" t="s">
        <v>3571</v>
      </c>
      <c r="C2157" s="8" t="s">
        <v>583</v>
      </c>
      <c r="D2157" s="8" t="s">
        <v>39</v>
      </c>
      <c r="E2157" s="8" t="s">
        <v>40</v>
      </c>
    </row>
    <row r="2158" spans="1:5">
      <c r="A2158" s="8">
        <v>5194</v>
      </c>
      <c r="B2158" s="8" t="s">
        <v>3572</v>
      </c>
      <c r="C2158" s="8" t="s">
        <v>3573</v>
      </c>
      <c r="D2158" s="8" t="s">
        <v>39</v>
      </c>
      <c r="E2158" s="8" t="s">
        <v>40</v>
      </c>
    </row>
    <row r="2159" spans="1:5">
      <c r="A2159" s="8">
        <v>5196</v>
      </c>
      <c r="B2159" s="8" t="s">
        <v>3574</v>
      </c>
      <c r="C2159" s="8" t="s">
        <v>3575</v>
      </c>
      <c r="D2159" s="8" t="s">
        <v>57</v>
      </c>
      <c r="E2159" s="8" t="s">
        <v>40</v>
      </c>
    </row>
    <row r="2160" spans="1:5">
      <c r="A2160" s="8">
        <v>5197</v>
      </c>
      <c r="B2160" s="8" t="s">
        <v>3576</v>
      </c>
      <c r="C2160" s="8" t="s">
        <v>1114</v>
      </c>
      <c r="D2160" s="8" t="s">
        <v>39</v>
      </c>
      <c r="E2160" s="8" t="s">
        <v>40</v>
      </c>
    </row>
    <row r="2161" spans="1:5">
      <c r="A2161" s="8">
        <v>5198</v>
      </c>
      <c r="B2161" s="8" t="s">
        <v>3577</v>
      </c>
      <c r="C2161" s="8" t="s">
        <v>3578</v>
      </c>
      <c r="D2161" s="8" t="s">
        <v>603</v>
      </c>
      <c r="E2161" s="8" t="s">
        <v>40</v>
      </c>
    </row>
    <row r="2162" spans="1:5">
      <c r="A2162" s="8">
        <v>5199</v>
      </c>
      <c r="B2162" s="8" t="s">
        <v>3579</v>
      </c>
      <c r="C2162" s="8" t="s">
        <v>3580</v>
      </c>
      <c r="D2162" s="8" t="s">
        <v>43</v>
      </c>
      <c r="E2162" s="8" t="s">
        <v>40</v>
      </c>
    </row>
    <row r="2163" spans="1:5">
      <c r="A2163" s="8">
        <v>5200</v>
      </c>
      <c r="B2163" s="8" t="s">
        <v>3581</v>
      </c>
      <c r="C2163" s="8" t="s">
        <v>3582</v>
      </c>
      <c r="D2163" s="8" t="s">
        <v>92</v>
      </c>
      <c r="E2163" s="8" t="s">
        <v>40</v>
      </c>
    </row>
    <row r="2164" spans="1:5">
      <c r="A2164" s="8">
        <v>5201</v>
      </c>
      <c r="B2164" s="8" t="s">
        <v>3583</v>
      </c>
      <c r="C2164" s="8" t="s">
        <v>1940</v>
      </c>
      <c r="D2164" s="8" t="s">
        <v>39</v>
      </c>
      <c r="E2164" s="8" t="s">
        <v>40</v>
      </c>
    </row>
    <row r="2165" spans="1:5">
      <c r="A2165" s="8">
        <v>5202</v>
      </c>
      <c r="B2165" s="8" t="s">
        <v>3584</v>
      </c>
      <c r="C2165" s="8" t="s">
        <v>3585</v>
      </c>
      <c r="D2165" s="8" t="s">
        <v>54</v>
      </c>
      <c r="E2165" s="8" t="s">
        <v>40</v>
      </c>
    </row>
    <row r="2166" spans="1:5">
      <c r="A2166" s="8">
        <v>5203</v>
      </c>
      <c r="B2166" s="8" t="s">
        <v>3586</v>
      </c>
      <c r="C2166" s="8" t="s">
        <v>2222</v>
      </c>
      <c r="D2166" s="8" t="s">
        <v>39</v>
      </c>
      <c r="E2166" s="8" t="s">
        <v>40</v>
      </c>
    </row>
    <row r="2167" spans="1:5">
      <c r="A2167" s="8">
        <v>5204</v>
      </c>
      <c r="B2167" s="8" t="s">
        <v>1110</v>
      </c>
      <c r="C2167" s="8" t="s">
        <v>3587</v>
      </c>
      <c r="D2167" s="8" t="s">
        <v>39</v>
      </c>
      <c r="E2167" s="8" t="s">
        <v>40</v>
      </c>
    </row>
    <row r="2168" spans="1:5">
      <c r="A2168" s="8">
        <v>5205</v>
      </c>
      <c r="B2168" s="8" t="s">
        <v>3588</v>
      </c>
      <c r="C2168" s="8" t="s">
        <v>981</v>
      </c>
      <c r="D2168" s="8" t="s">
        <v>39</v>
      </c>
      <c r="E2168" s="8" t="s">
        <v>40</v>
      </c>
    </row>
    <row r="2169" spans="1:5">
      <c r="A2169" s="8">
        <v>5209</v>
      </c>
      <c r="B2169" s="8" t="s">
        <v>3589</v>
      </c>
      <c r="C2169" s="8" t="s">
        <v>858</v>
      </c>
      <c r="D2169" s="8" t="s">
        <v>43</v>
      </c>
      <c r="E2169" s="8" t="s">
        <v>40</v>
      </c>
    </row>
    <row r="2170" spans="1:5">
      <c r="A2170" s="8">
        <v>5212</v>
      </c>
      <c r="B2170" s="8" t="s">
        <v>3590</v>
      </c>
      <c r="C2170" s="8" t="s">
        <v>3591</v>
      </c>
      <c r="D2170" s="8" t="s">
        <v>164</v>
      </c>
      <c r="E2170" s="8" t="s">
        <v>40</v>
      </c>
    </row>
    <row r="2171" spans="1:5">
      <c r="A2171" s="8">
        <v>5213</v>
      </c>
      <c r="B2171" s="8" t="s">
        <v>3592</v>
      </c>
      <c r="C2171" s="8" t="s">
        <v>3593</v>
      </c>
      <c r="D2171" s="8" t="s">
        <v>39</v>
      </c>
      <c r="E2171" s="8" t="s">
        <v>40</v>
      </c>
    </row>
    <row r="2172" spans="1:5">
      <c r="A2172" s="8">
        <v>5214</v>
      </c>
      <c r="B2172" s="8" t="s">
        <v>3594</v>
      </c>
      <c r="C2172" s="8" t="s">
        <v>3595</v>
      </c>
      <c r="D2172" s="8" t="s">
        <v>39</v>
      </c>
      <c r="E2172" s="8" t="s">
        <v>40</v>
      </c>
    </row>
    <row r="2173" spans="1:5">
      <c r="A2173" s="8">
        <v>5215</v>
      </c>
      <c r="B2173" s="8" t="s">
        <v>3596</v>
      </c>
      <c r="C2173" s="8" t="s">
        <v>3597</v>
      </c>
      <c r="D2173" s="8" t="s">
        <v>39</v>
      </c>
      <c r="E2173" s="8" t="s">
        <v>40</v>
      </c>
    </row>
    <row r="2174" spans="1:5">
      <c r="A2174" s="8">
        <v>5216</v>
      </c>
      <c r="B2174" s="8" t="s">
        <v>3598</v>
      </c>
      <c r="C2174" s="8" t="s">
        <v>3599</v>
      </c>
      <c r="D2174" s="8" t="s">
        <v>39</v>
      </c>
      <c r="E2174" s="8" t="s">
        <v>40</v>
      </c>
    </row>
    <row r="2175" spans="1:5">
      <c r="A2175" s="8">
        <v>5217</v>
      </c>
      <c r="B2175" s="8" t="s">
        <v>1110</v>
      </c>
      <c r="C2175" s="8" t="s">
        <v>841</v>
      </c>
      <c r="D2175" s="8" t="s">
        <v>39</v>
      </c>
      <c r="E2175" s="8" t="s">
        <v>40</v>
      </c>
    </row>
    <row r="2176" spans="1:5">
      <c r="A2176" s="8">
        <v>5219</v>
      </c>
      <c r="B2176" s="8" t="s">
        <v>3600</v>
      </c>
      <c r="C2176" s="8" t="s">
        <v>3601</v>
      </c>
      <c r="D2176" s="8" t="s">
        <v>630</v>
      </c>
      <c r="E2176" s="8" t="s">
        <v>40</v>
      </c>
    </row>
    <row r="2177" spans="1:5">
      <c r="A2177" s="8">
        <v>5222</v>
      </c>
      <c r="B2177" s="8" t="s">
        <v>3602</v>
      </c>
      <c r="C2177" s="8" t="s">
        <v>583</v>
      </c>
      <c r="D2177" s="8" t="s">
        <v>39</v>
      </c>
      <c r="E2177" s="8" t="s">
        <v>40</v>
      </c>
    </row>
    <row r="2178" spans="1:5">
      <c r="A2178" s="8">
        <v>5224</v>
      </c>
      <c r="B2178" s="8" t="s">
        <v>3603</v>
      </c>
      <c r="C2178" s="8" t="s">
        <v>183</v>
      </c>
      <c r="D2178" s="8" t="s">
        <v>39</v>
      </c>
      <c r="E2178" s="8" t="s">
        <v>40</v>
      </c>
    </row>
    <row r="2179" spans="1:5">
      <c r="A2179" s="8">
        <v>5225</v>
      </c>
      <c r="B2179" s="8" t="s">
        <v>3604</v>
      </c>
      <c r="C2179" s="8" t="s">
        <v>3605</v>
      </c>
      <c r="D2179" s="8" t="s">
        <v>39</v>
      </c>
      <c r="E2179" s="8" t="s">
        <v>40</v>
      </c>
    </row>
    <row r="2180" spans="1:5">
      <c r="A2180" s="8">
        <v>5226</v>
      </c>
      <c r="B2180" s="8" t="s">
        <v>3606</v>
      </c>
      <c r="C2180" s="8" t="s">
        <v>345</v>
      </c>
      <c r="D2180" s="8" t="s">
        <v>39</v>
      </c>
      <c r="E2180" s="8" t="s">
        <v>40</v>
      </c>
    </row>
    <row r="2181" spans="1:5">
      <c r="A2181" s="8">
        <v>5227</v>
      </c>
      <c r="B2181" s="8" t="s">
        <v>3607</v>
      </c>
      <c r="C2181" s="8" t="s">
        <v>3608</v>
      </c>
      <c r="D2181" s="8" t="s">
        <v>39</v>
      </c>
      <c r="E2181" s="8" t="s">
        <v>40</v>
      </c>
    </row>
    <row r="2182" spans="1:5">
      <c r="A2182" s="8">
        <v>5229</v>
      </c>
      <c r="B2182" s="8" t="s">
        <v>3609</v>
      </c>
      <c r="C2182" s="8" t="s">
        <v>583</v>
      </c>
      <c r="D2182" s="8" t="s">
        <v>39</v>
      </c>
      <c r="E2182" s="8" t="s">
        <v>40</v>
      </c>
    </row>
    <row r="2183" spans="1:5">
      <c r="A2183" s="8">
        <v>5230</v>
      </c>
      <c r="B2183" s="8" t="s">
        <v>3610</v>
      </c>
      <c r="C2183" s="8" t="s">
        <v>3611</v>
      </c>
      <c r="D2183" s="8" t="s">
        <v>39</v>
      </c>
      <c r="E2183" s="8" t="s">
        <v>40</v>
      </c>
    </row>
    <row r="2184" spans="1:5">
      <c r="A2184" s="8">
        <v>5231</v>
      </c>
      <c r="B2184" s="8" t="s">
        <v>3612</v>
      </c>
      <c r="C2184" s="8" t="s">
        <v>3613</v>
      </c>
      <c r="D2184" s="8" t="s">
        <v>39</v>
      </c>
      <c r="E2184" s="8" t="s">
        <v>40</v>
      </c>
    </row>
    <row r="2185" spans="1:5">
      <c r="A2185" s="8">
        <v>5232</v>
      </c>
      <c r="B2185" s="8" t="s">
        <v>3614</v>
      </c>
      <c r="C2185" s="8" t="s">
        <v>3615</v>
      </c>
      <c r="D2185" s="8" t="s">
        <v>1221</v>
      </c>
      <c r="E2185" s="8" t="s">
        <v>40</v>
      </c>
    </row>
    <row r="2186" spans="1:5">
      <c r="A2186" s="8">
        <v>5234</v>
      </c>
      <c r="B2186" s="8" t="s">
        <v>3616</v>
      </c>
      <c r="C2186" s="8" t="s">
        <v>3617</v>
      </c>
      <c r="D2186" s="8" t="s">
        <v>39</v>
      </c>
      <c r="E2186" s="8" t="s">
        <v>40</v>
      </c>
    </row>
    <row r="2187" spans="1:5">
      <c r="A2187" s="8">
        <v>5235</v>
      </c>
      <c r="B2187" s="8" t="s">
        <v>3618</v>
      </c>
      <c r="C2187" s="8" t="s">
        <v>3619</v>
      </c>
      <c r="D2187" s="8" t="s">
        <v>39</v>
      </c>
      <c r="E2187" s="8" t="s">
        <v>40</v>
      </c>
    </row>
    <row r="2188" spans="1:5">
      <c r="A2188" s="8">
        <v>5238</v>
      </c>
      <c r="B2188" s="8" t="s">
        <v>3620</v>
      </c>
      <c r="C2188" s="8" t="s">
        <v>3621</v>
      </c>
      <c r="D2188" s="8" t="s">
        <v>39</v>
      </c>
      <c r="E2188" s="8" t="s">
        <v>40</v>
      </c>
    </row>
    <row r="2189" spans="1:5">
      <c r="A2189" s="8">
        <v>5239</v>
      </c>
      <c r="B2189" s="8" t="s">
        <v>3622</v>
      </c>
      <c r="C2189" s="8" t="s">
        <v>3623</v>
      </c>
      <c r="D2189" s="8" t="s">
        <v>39</v>
      </c>
      <c r="E2189" s="8" t="s">
        <v>40</v>
      </c>
    </row>
    <row r="2190" spans="1:5">
      <c r="A2190" s="8">
        <v>5241</v>
      </c>
      <c r="B2190" s="8" t="s">
        <v>3624</v>
      </c>
      <c r="C2190" s="8" t="s">
        <v>445</v>
      </c>
      <c r="D2190" s="8" t="s">
        <v>164</v>
      </c>
      <c r="E2190" s="8" t="s">
        <v>40</v>
      </c>
    </row>
    <row r="2191" spans="1:5">
      <c r="A2191" s="8">
        <v>5242</v>
      </c>
      <c r="B2191" s="8" t="s">
        <v>404</v>
      </c>
      <c r="C2191" s="8" t="s">
        <v>1794</v>
      </c>
      <c r="D2191" s="8" t="s">
        <v>164</v>
      </c>
      <c r="E2191" s="8" t="s">
        <v>40</v>
      </c>
    </row>
    <row r="2192" spans="1:5">
      <c r="A2192" s="8">
        <v>5243</v>
      </c>
      <c r="B2192" s="8" t="s">
        <v>3625</v>
      </c>
      <c r="C2192" s="8" t="s">
        <v>2152</v>
      </c>
      <c r="D2192" s="8" t="s">
        <v>159</v>
      </c>
      <c r="E2192" s="8" t="s">
        <v>40</v>
      </c>
    </row>
    <row r="2193" spans="1:5">
      <c r="A2193" s="8">
        <v>5247</v>
      </c>
      <c r="B2193" s="8" t="s">
        <v>3626</v>
      </c>
      <c r="C2193" s="8" t="s">
        <v>3627</v>
      </c>
      <c r="D2193" s="8" t="s">
        <v>39</v>
      </c>
      <c r="E2193" s="8" t="s">
        <v>40</v>
      </c>
    </row>
    <row r="2194" spans="1:5">
      <c r="A2194" s="8">
        <v>5248</v>
      </c>
      <c r="B2194" s="8" t="s">
        <v>3628</v>
      </c>
      <c r="C2194" s="8" t="s">
        <v>3629</v>
      </c>
      <c r="D2194" s="8" t="s">
        <v>39</v>
      </c>
      <c r="E2194" s="8" t="s">
        <v>40</v>
      </c>
    </row>
    <row r="2195" spans="1:5">
      <c r="A2195" s="8">
        <v>5250</v>
      </c>
      <c r="B2195" s="8" t="s">
        <v>3630</v>
      </c>
      <c r="C2195" s="8" t="s">
        <v>571</v>
      </c>
      <c r="D2195" s="8" t="s">
        <v>43</v>
      </c>
      <c r="E2195" s="8" t="s">
        <v>40</v>
      </c>
    </row>
    <row r="2196" spans="1:5">
      <c r="A2196" s="8">
        <v>5251</v>
      </c>
      <c r="B2196" s="8" t="s">
        <v>3631</v>
      </c>
      <c r="C2196" s="8" t="s">
        <v>345</v>
      </c>
      <c r="D2196" s="8" t="s">
        <v>39</v>
      </c>
      <c r="E2196" s="8" t="s">
        <v>40</v>
      </c>
    </row>
    <row r="2197" spans="1:5">
      <c r="A2197" s="8">
        <v>5253</v>
      </c>
      <c r="B2197" s="8" t="s">
        <v>3632</v>
      </c>
      <c r="C2197" s="8" t="s">
        <v>3633</v>
      </c>
      <c r="D2197" s="8" t="s">
        <v>1221</v>
      </c>
      <c r="E2197" s="8" t="s">
        <v>40</v>
      </c>
    </row>
    <row r="2198" spans="1:5">
      <c r="A2198" s="8">
        <v>5254</v>
      </c>
      <c r="B2198" s="8" t="s">
        <v>3634</v>
      </c>
      <c r="C2198" s="8" t="s">
        <v>3635</v>
      </c>
      <c r="D2198" s="8" t="s">
        <v>54</v>
      </c>
      <c r="E2198" s="8" t="s">
        <v>40</v>
      </c>
    </row>
    <row r="2199" spans="1:5">
      <c r="A2199" s="8">
        <v>5255</v>
      </c>
      <c r="B2199" s="8" t="s">
        <v>3636</v>
      </c>
      <c r="C2199" s="8" t="s">
        <v>2340</v>
      </c>
      <c r="D2199" s="8" t="s">
        <v>39</v>
      </c>
      <c r="E2199" s="8" t="s">
        <v>40</v>
      </c>
    </row>
    <row r="2200" spans="1:5">
      <c r="A2200" s="8">
        <v>5256</v>
      </c>
      <c r="B2200" s="8" t="s">
        <v>3637</v>
      </c>
      <c r="C2200" s="8" t="s">
        <v>3638</v>
      </c>
      <c r="D2200" s="8" t="s">
        <v>39</v>
      </c>
      <c r="E2200" s="8" t="s">
        <v>40</v>
      </c>
    </row>
    <row r="2201" spans="1:5">
      <c r="A2201" s="8">
        <v>5257</v>
      </c>
      <c r="B2201" s="8" t="s">
        <v>3639</v>
      </c>
      <c r="C2201" s="8" t="s">
        <v>3640</v>
      </c>
      <c r="D2201" s="8" t="s">
        <v>39</v>
      </c>
      <c r="E2201" s="8" t="s">
        <v>40</v>
      </c>
    </row>
    <row r="2202" spans="1:5">
      <c r="A2202" s="8">
        <v>5260</v>
      </c>
      <c r="B2202" s="8" t="s">
        <v>3641</v>
      </c>
      <c r="C2202" s="8" t="s">
        <v>3642</v>
      </c>
      <c r="D2202" s="8" t="s">
        <v>39</v>
      </c>
      <c r="E2202" s="8" t="s">
        <v>40</v>
      </c>
    </row>
    <row r="2203" spans="1:5">
      <c r="A2203" s="8">
        <v>5261</v>
      </c>
      <c r="B2203" s="8" t="s">
        <v>3643</v>
      </c>
      <c r="C2203" s="8" t="s">
        <v>3644</v>
      </c>
      <c r="D2203" s="8" t="s">
        <v>164</v>
      </c>
      <c r="E2203" s="8" t="s">
        <v>40</v>
      </c>
    </row>
    <row r="2204" spans="1:5">
      <c r="A2204" s="8">
        <v>5263</v>
      </c>
      <c r="B2204" s="8" t="s">
        <v>3645</v>
      </c>
      <c r="C2204" s="8" t="s">
        <v>3646</v>
      </c>
      <c r="D2204" s="8" t="s">
        <v>39</v>
      </c>
      <c r="E2204" s="8" t="s">
        <v>40</v>
      </c>
    </row>
    <row r="2205" spans="1:5">
      <c r="A2205" s="8">
        <v>5265</v>
      </c>
      <c r="B2205" s="8" t="s">
        <v>3647</v>
      </c>
      <c r="C2205" s="8" t="s">
        <v>944</v>
      </c>
      <c r="D2205" s="8" t="s">
        <v>87</v>
      </c>
      <c r="E2205" s="8" t="s">
        <v>40</v>
      </c>
    </row>
    <row r="2206" spans="1:5">
      <c r="A2206" s="8">
        <v>5268</v>
      </c>
      <c r="B2206" s="8" t="s">
        <v>3648</v>
      </c>
      <c r="C2206" s="8" t="s">
        <v>1120</v>
      </c>
      <c r="D2206" s="8" t="s">
        <v>696</v>
      </c>
      <c r="E2206" s="8" t="s">
        <v>40</v>
      </c>
    </row>
    <row r="2207" spans="1:5">
      <c r="A2207" s="8">
        <v>5274</v>
      </c>
      <c r="B2207" s="8" t="s">
        <v>1170</v>
      </c>
      <c r="C2207" s="8" t="s">
        <v>571</v>
      </c>
      <c r="D2207" s="8" t="s">
        <v>43</v>
      </c>
      <c r="E2207" s="8" t="s">
        <v>40</v>
      </c>
    </row>
    <row r="2208" spans="1:5">
      <c r="A2208" s="8">
        <v>5275</v>
      </c>
      <c r="B2208" s="8" t="s">
        <v>3649</v>
      </c>
      <c r="C2208" s="8" t="s">
        <v>3650</v>
      </c>
      <c r="D2208" s="8" t="s">
        <v>1221</v>
      </c>
      <c r="E2208" s="8" t="s">
        <v>40</v>
      </c>
    </row>
    <row r="2209" spans="1:5">
      <c r="A2209" s="8">
        <v>5276</v>
      </c>
      <c r="B2209" s="8" t="s">
        <v>3651</v>
      </c>
      <c r="C2209" s="8" t="s">
        <v>3120</v>
      </c>
      <c r="D2209" s="8" t="s">
        <v>57</v>
      </c>
      <c r="E2209" s="8" t="s">
        <v>40</v>
      </c>
    </row>
    <row r="2210" spans="1:5">
      <c r="A2210" s="8">
        <v>5278</v>
      </c>
      <c r="B2210" s="8" t="s">
        <v>3652</v>
      </c>
      <c r="C2210" s="8" t="s">
        <v>1364</v>
      </c>
      <c r="D2210" s="8" t="s">
        <v>1221</v>
      </c>
      <c r="E2210" s="8" t="s">
        <v>40</v>
      </c>
    </row>
    <row r="2211" spans="1:5">
      <c r="A2211" s="8">
        <v>5279</v>
      </c>
      <c r="B2211" s="8" t="s">
        <v>3653</v>
      </c>
      <c r="C2211" s="8" t="s">
        <v>3654</v>
      </c>
      <c r="D2211" s="8" t="s">
        <v>159</v>
      </c>
      <c r="E2211" s="8" t="s">
        <v>40</v>
      </c>
    </row>
    <row r="2212" spans="1:5">
      <c r="A2212" s="8">
        <v>5282</v>
      </c>
      <c r="B2212" s="8" t="s">
        <v>3655</v>
      </c>
      <c r="C2212" s="8" t="s">
        <v>3656</v>
      </c>
      <c r="D2212" s="8" t="s">
        <v>39</v>
      </c>
      <c r="E2212" s="8" t="s">
        <v>40</v>
      </c>
    </row>
    <row r="2213" spans="1:5">
      <c r="A2213" s="8">
        <v>5283</v>
      </c>
      <c r="B2213" s="8" t="s">
        <v>3657</v>
      </c>
      <c r="C2213" s="8" t="s">
        <v>913</v>
      </c>
      <c r="D2213" s="8" t="s">
        <v>57</v>
      </c>
      <c r="E2213" s="8" t="s">
        <v>40</v>
      </c>
    </row>
    <row r="2214" spans="1:5">
      <c r="A2214" s="8">
        <v>5285</v>
      </c>
      <c r="B2214" s="8" t="s">
        <v>3658</v>
      </c>
      <c r="C2214" s="8" t="s">
        <v>3659</v>
      </c>
      <c r="D2214" s="8" t="s">
        <v>43</v>
      </c>
      <c r="E2214" s="8" t="s">
        <v>40</v>
      </c>
    </row>
    <row r="2215" spans="1:5">
      <c r="A2215" s="8">
        <v>5288</v>
      </c>
      <c r="B2215" s="8" t="s">
        <v>712</v>
      </c>
      <c r="C2215" s="8" t="s">
        <v>1205</v>
      </c>
      <c r="D2215" s="8" t="s">
        <v>238</v>
      </c>
      <c r="E2215" s="8" t="s">
        <v>239</v>
      </c>
    </row>
    <row r="2216" spans="1:5">
      <c r="A2216" s="8">
        <v>5290</v>
      </c>
      <c r="B2216" s="8" t="s">
        <v>3660</v>
      </c>
      <c r="C2216" s="8" t="s">
        <v>1608</v>
      </c>
      <c r="D2216" s="8" t="s">
        <v>1221</v>
      </c>
      <c r="E2216" s="8" t="s">
        <v>40</v>
      </c>
    </row>
    <row r="2217" spans="1:5">
      <c r="A2217" s="8">
        <v>5291</v>
      </c>
      <c r="B2217" s="8" t="s">
        <v>3661</v>
      </c>
      <c r="C2217" s="8" t="s">
        <v>3662</v>
      </c>
      <c r="D2217" s="8" t="s">
        <v>1037</v>
      </c>
      <c r="E2217" s="8" t="s">
        <v>1026</v>
      </c>
    </row>
    <row r="2218" spans="1:5">
      <c r="A2218" s="8">
        <v>5293</v>
      </c>
      <c r="B2218" s="8" t="s">
        <v>3663</v>
      </c>
      <c r="C2218" s="8" t="s">
        <v>1591</v>
      </c>
      <c r="D2218" s="8" t="s">
        <v>630</v>
      </c>
      <c r="E2218" s="8" t="s">
        <v>40</v>
      </c>
    </row>
    <row r="2219" spans="1:5">
      <c r="A2219" s="8">
        <v>5295</v>
      </c>
      <c r="B2219" s="8" t="s">
        <v>3664</v>
      </c>
      <c r="C2219" s="8" t="s">
        <v>280</v>
      </c>
      <c r="D2219" s="8" t="s">
        <v>264</v>
      </c>
      <c r="E2219" s="8" t="s">
        <v>40</v>
      </c>
    </row>
    <row r="2220" spans="1:5">
      <c r="A2220" s="8">
        <v>5298</v>
      </c>
      <c r="B2220" s="8" t="s">
        <v>3665</v>
      </c>
      <c r="C2220" s="8" t="s">
        <v>1644</v>
      </c>
      <c r="D2220" s="8" t="s">
        <v>54</v>
      </c>
      <c r="E2220" s="8" t="s">
        <v>40</v>
      </c>
    </row>
    <row r="2221" spans="1:5">
      <c r="A2221" s="8">
        <v>5299</v>
      </c>
      <c r="B2221" s="8" t="s">
        <v>3666</v>
      </c>
      <c r="C2221" s="8" t="s">
        <v>2475</v>
      </c>
      <c r="D2221" s="8" t="s">
        <v>1221</v>
      </c>
      <c r="E2221" s="8" t="s">
        <v>40</v>
      </c>
    </row>
    <row r="2222" spans="1:5">
      <c r="A2222" s="8">
        <v>5308</v>
      </c>
      <c r="B2222" s="8" t="s">
        <v>3667</v>
      </c>
      <c r="C2222" s="8" t="s">
        <v>3668</v>
      </c>
      <c r="D2222" s="8" t="s">
        <v>3669</v>
      </c>
      <c r="E2222" s="8" t="s">
        <v>3670</v>
      </c>
    </row>
    <row r="2223" spans="1:5">
      <c r="A2223" s="8">
        <v>5310</v>
      </c>
      <c r="B2223" s="8" t="s">
        <v>3671</v>
      </c>
      <c r="C2223" s="8" t="s">
        <v>3672</v>
      </c>
      <c r="D2223" s="8" t="s">
        <v>48</v>
      </c>
      <c r="E2223" s="8" t="s">
        <v>40</v>
      </c>
    </row>
    <row r="2224" spans="1:5">
      <c r="A2224" s="8">
        <v>5312</v>
      </c>
      <c r="B2224" s="8" t="s">
        <v>3673</v>
      </c>
      <c r="C2224" s="8" t="s">
        <v>2953</v>
      </c>
      <c r="D2224" s="8" t="s">
        <v>2298</v>
      </c>
      <c r="E2224" s="8" t="s">
        <v>1461</v>
      </c>
    </row>
    <row r="2225" spans="1:5">
      <c r="A2225" s="8">
        <v>5314</v>
      </c>
      <c r="B2225" s="8" t="s">
        <v>3674</v>
      </c>
      <c r="C2225" s="8" t="s">
        <v>3675</v>
      </c>
      <c r="D2225" s="8" t="s">
        <v>39</v>
      </c>
      <c r="E2225" s="8" t="s">
        <v>40</v>
      </c>
    </row>
    <row r="2226" spans="1:5">
      <c r="A2226" s="8">
        <v>5316</v>
      </c>
      <c r="B2226" s="8" t="s">
        <v>3676</v>
      </c>
      <c r="C2226" s="8" t="s">
        <v>3677</v>
      </c>
      <c r="D2226" s="8" t="s">
        <v>39</v>
      </c>
      <c r="E2226" s="8" t="s">
        <v>40</v>
      </c>
    </row>
    <row r="2227" spans="1:5">
      <c r="A2227" s="8">
        <v>5317</v>
      </c>
      <c r="B2227" s="8" t="s">
        <v>3678</v>
      </c>
      <c r="C2227" s="8" t="s">
        <v>3679</v>
      </c>
      <c r="D2227" s="8" t="s">
        <v>319</v>
      </c>
      <c r="E2227" s="8" t="s">
        <v>40</v>
      </c>
    </row>
    <row r="2228" spans="1:5">
      <c r="A2228" s="8">
        <v>5324</v>
      </c>
      <c r="B2228" s="8" t="s">
        <v>3680</v>
      </c>
      <c r="C2228" s="8" t="s">
        <v>3681</v>
      </c>
      <c r="D2228" s="8" t="s">
        <v>238</v>
      </c>
      <c r="E2228" s="8" t="s">
        <v>239</v>
      </c>
    </row>
    <row r="2229" spans="1:5">
      <c r="A2229" s="8">
        <v>5326</v>
      </c>
      <c r="B2229" s="8" t="s">
        <v>3682</v>
      </c>
      <c r="C2229" s="8" t="s">
        <v>900</v>
      </c>
      <c r="D2229" s="8" t="s">
        <v>691</v>
      </c>
      <c r="E2229" s="8" t="s">
        <v>40</v>
      </c>
    </row>
    <row r="2230" spans="1:5">
      <c r="A2230" s="8">
        <v>5327</v>
      </c>
      <c r="B2230" s="8" t="s">
        <v>3683</v>
      </c>
      <c r="C2230" s="8" t="s">
        <v>3684</v>
      </c>
      <c r="D2230" s="8" t="s">
        <v>319</v>
      </c>
      <c r="E2230" s="8" t="s">
        <v>40</v>
      </c>
    </row>
    <row r="2231" spans="1:5">
      <c r="A2231" s="8">
        <v>5329</v>
      </c>
      <c r="B2231" s="8" t="s">
        <v>3685</v>
      </c>
      <c r="C2231" s="8" t="s">
        <v>89</v>
      </c>
      <c r="D2231" s="8" t="s">
        <v>57</v>
      </c>
      <c r="E2231" s="8" t="s">
        <v>40</v>
      </c>
    </row>
    <row r="2232" spans="1:5">
      <c r="A2232" s="8">
        <v>5331</v>
      </c>
      <c r="B2232" s="8" t="s">
        <v>3686</v>
      </c>
      <c r="C2232" s="8" t="s">
        <v>1993</v>
      </c>
      <c r="D2232" s="8" t="s">
        <v>1994</v>
      </c>
      <c r="E2232" s="8" t="s">
        <v>1995</v>
      </c>
    </row>
    <row r="2233" spans="1:5">
      <c r="A2233" s="8">
        <v>5332</v>
      </c>
      <c r="B2233" s="8" t="s">
        <v>3687</v>
      </c>
      <c r="C2233" s="8" t="s">
        <v>2650</v>
      </c>
      <c r="D2233" s="8" t="s">
        <v>630</v>
      </c>
      <c r="E2233" s="8" t="s">
        <v>40</v>
      </c>
    </row>
    <row r="2234" spans="1:5">
      <c r="A2234" s="8">
        <v>5333</v>
      </c>
      <c r="B2234" s="8" t="s">
        <v>3688</v>
      </c>
      <c r="C2234" s="8" t="s">
        <v>3689</v>
      </c>
      <c r="D2234" s="8" t="s">
        <v>3690</v>
      </c>
      <c r="E2234" s="8" t="s">
        <v>1995</v>
      </c>
    </row>
    <row r="2235" spans="1:5">
      <c r="A2235" s="8">
        <v>5338</v>
      </c>
      <c r="B2235" s="8" t="s">
        <v>3691</v>
      </c>
      <c r="C2235" s="8" t="s">
        <v>3692</v>
      </c>
      <c r="D2235" s="8" t="s">
        <v>159</v>
      </c>
      <c r="E2235" s="8" t="s">
        <v>40</v>
      </c>
    </row>
    <row r="2236" spans="1:5">
      <c r="A2236" s="8">
        <v>5339</v>
      </c>
      <c r="B2236" s="8" t="s">
        <v>3693</v>
      </c>
      <c r="C2236" s="8" t="s">
        <v>431</v>
      </c>
      <c r="D2236" s="8" t="s">
        <v>1221</v>
      </c>
      <c r="E2236" s="8" t="s">
        <v>40</v>
      </c>
    </row>
    <row r="2237" spans="1:5">
      <c r="A2237" s="8">
        <v>5340</v>
      </c>
      <c r="B2237" s="8" t="s">
        <v>3694</v>
      </c>
      <c r="C2237" s="8" t="s">
        <v>1364</v>
      </c>
      <c r="D2237" s="8" t="s">
        <v>1221</v>
      </c>
      <c r="E2237" s="8" t="s">
        <v>40</v>
      </c>
    </row>
    <row r="2238" spans="1:5">
      <c r="A2238" s="8">
        <v>5344</v>
      </c>
      <c r="B2238" s="8" t="s">
        <v>3695</v>
      </c>
      <c r="C2238" s="8" t="s">
        <v>1461</v>
      </c>
      <c r="D2238" s="8" t="s">
        <v>1460</v>
      </c>
      <c r="E2238" s="8" t="s">
        <v>1461</v>
      </c>
    </row>
    <row r="2239" spans="1:5">
      <c r="A2239" s="8">
        <v>5347</v>
      </c>
      <c r="B2239" s="8" t="s">
        <v>3696</v>
      </c>
      <c r="C2239" s="8" t="s">
        <v>3697</v>
      </c>
      <c r="D2239" s="8" t="s">
        <v>60</v>
      </c>
      <c r="E2239" s="8" t="s">
        <v>40</v>
      </c>
    </row>
    <row r="2240" spans="1:5">
      <c r="A2240" s="8">
        <v>5348</v>
      </c>
      <c r="B2240" s="8" t="s">
        <v>480</v>
      </c>
      <c r="C2240" s="8" t="s">
        <v>3698</v>
      </c>
      <c r="D2240" s="8" t="s">
        <v>1221</v>
      </c>
      <c r="E2240" s="8" t="s">
        <v>40</v>
      </c>
    </row>
    <row r="2241" spans="1:5">
      <c r="A2241" s="8">
        <v>5350</v>
      </c>
      <c r="B2241" s="8" t="s">
        <v>3699</v>
      </c>
      <c r="C2241" s="8" t="s">
        <v>143</v>
      </c>
      <c r="D2241" s="8" t="s">
        <v>121</v>
      </c>
      <c r="E2241" s="8" t="s">
        <v>40</v>
      </c>
    </row>
    <row r="2242" spans="1:5">
      <c r="A2242" s="8">
        <v>5401</v>
      </c>
      <c r="B2242" s="8" t="s">
        <v>3700</v>
      </c>
      <c r="C2242" s="8" t="s">
        <v>3701</v>
      </c>
      <c r="D2242" s="8" t="s">
        <v>97</v>
      </c>
      <c r="E2242" s="8" t="s">
        <v>40</v>
      </c>
    </row>
    <row r="2243" spans="1:5">
      <c r="A2243" s="8">
        <v>5403</v>
      </c>
      <c r="B2243" s="8" t="s">
        <v>3702</v>
      </c>
      <c r="C2243" s="8" t="s">
        <v>470</v>
      </c>
      <c r="D2243" s="8" t="s">
        <v>79</v>
      </c>
      <c r="E2243" s="8" t="s">
        <v>40</v>
      </c>
    </row>
    <row r="2244" spans="1:5">
      <c r="A2244" s="8">
        <v>5404</v>
      </c>
      <c r="B2244" s="8" t="s">
        <v>3703</v>
      </c>
      <c r="C2244" s="8" t="s">
        <v>313</v>
      </c>
      <c r="D2244" s="8" t="s">
        <v>97</v>
      </c>
      <c r="E2244" s="8" t="s">
        <v>40</v>
      </c>
    </row>
    <row r="2245" spans="1:5">
      <c r="A2245" s="8">
        <v>5406</v>
      </c>
      <c r="B2245" s="8" t="s">
        <v>3704</v>
      </c>
      <c r="C2245" s="8" t="s">
        <v>1403</v>
      </c>
      <c r="D2245" s="8" t="s">
        <v>238</v>
      </c>
      <c r="E2245" s="8" t="s">
        <v>239</v>
      </c>
    </row>
    <row r="2246" spans="1:5">
      <c r="A2246" s="8">
        <v>5407</v>
      </c>
      <c r="B2246" s="8" t="s">
        <v>2535</v>
      </c>
      <c r="C2246" s="8" t="s">
        <v>3705</v>
      </c>
      <c r="D2246" s="8" t="s">
        <v>97</v>
      </c>
      <c r="E2246" s="8" t="s">
        <v>40</v>
      </c>
    </row>
    <row r="2247" spans="1:5">
      <c r="A2247" s="8">
        <v>5408</v>
      </c>
      <c r="B2247" s="8" t="s">
        <v>3706</v>
      </c>
      <c r="C2247" s="8" t="s">
        <v>508</v>
      </c>
      <c r="D2247" s="8" t="s">
        <v>238</v>
      </c>
      <c r="E2247" s="8" t="s">
        <v>239</v>
      </c>
    </row>
    <row r="2248" spans="1:5">
      <c r="A2248" s="8">
        <v>5409</v>
      </c>
      <c r="B2248" s="8" t="s">
        <v>2491</v>
      </c>
      <c r="C2248" s="8" t="s">
        <v>607</v>
      </c>
      <c r="D2248" s="8" t="s">
        <v>238</v>
      </c>
      <c r="E2248" s="8" t="s">
        <v>239</v>
      </c>
    </row>
    <row r="2249" spans="1:5">
      <c r="A2249" s="8">
        <v>5410</v>
      </c>
      <c r="B2249" s="8" t="s">
        <v>3707</v>
      </c>
      <c r="C2249" s="8" t="s">
        <v>3575</v>
      </c>
      <c r="D2249" s="8" t="s">
        <v>57</v>
      </c>
      <c r="E2249" s="8" t="s">
        <v>40</v>
      </c>
    </row>
    <row r="2250" spans="1:5">
      <c r="A2250" s="8">
        <v>5411</v>
      </c>
      <c r="B2250" s="8" t="s">
        <v>3708</v>
      </c>
      <c r="C2250" s="8" t="s">
        <v>3709</v>
      </c>
      <c r="D2250" s="8" t="s">
        <v>164</v>
      </c>
      <c r="E2250" s="8" t="s">
        <v>40</v>
      </c>
    </row>
    <row r="2251" spans="1:5">
      <c r="A2251" s="8">
        <v>5412</v>
      </c>
      <c r="B2251" s="8" t="s">
        <v>3710</v>
      </c>
      <c r="C2251" s="8" t="s">
        <v>3711</v>
      </c>
      <c r="D2251" s="8" t="s">
        <v>3711</v>
      </c>
      <c r="E2251" s="8" t="s">
        <v>2997</v>
      </c>
    </row>
    <row r="2252" spans="1:5">
      <c r="A2252" s="8">
        <v>5413</v>
      </c>
      <c r="B2252" s="8" t="s">
        <v>3712</v>
      </c>
      <c r="C2252" s="8" t="s">
        <v>3713</v>
      </c>
      <c r="D2252" s="8" t="s">
        <v>81</v>
      </c>
      <c r="E2252" s="8" t="s">
        <v>40</v>
      </c>
    </row>
    <row r="2253" spans="1:5">
      <c r="A2253" s="8">
        <v>5414</v>
      </c>
      <c r="B2253" s="8" t="s">
        <v>3714</v>
      </c>
      <c r="C2253" s="8" t="s">
        <v>3715</v>
      </c>
      <c r="D2253" s="8" t="s">
        <v>164</v>
      </c>
      <c r="E2253" s="8" t="s">
        <v>40</v>
      </c>
    </row>
    <row r="2254" spans="1:5">
      <c r="A2254" s="8">
        <v>5417</v>
      </c>
      <c r="B2254" s="8" t="s">
        <v>415</v>
      </c>
      <c r="C2254" s="8" t="s">
        <v>3716</v>
      </c>
      <c r="D2254" s="8" t="s">
        <v>164</v>
      </c>
      <c r="E2254" s="8" t="s">
        <v>40</v>
      </c>
    </row>
    <row r="2255" spans="1:5">
      <c r="A2255" s="8">
        <v>5418</v>
      </c>
      <c r="B2255" s="8" t="s">
        <v>3717</v>
      </c>
      <c r="C2255" s="8" t="s">
        <v>3718</v>
      </c>
      <c r="D2255" s="8" t="s">
        <v>81</v>
      </c>
      <c r="E2255" s="8" t="s">
        <v>40</v>
      </c>
    </row>
    <row r="2256" spans="1:5">
      <c r="A2256" s="8">
        <v>5419</v>
      </c>
      <c r="B2256" s="8" t="s">
        <v>3719</v>
      </c>
      <c r="C2256" s="8" t="s">
        <v>3720</v>
      </c>
      <c r="D2256" s="8" t="s">
        <v>43</v>
      </c>
      <c r="E2256" s="8" t="s">
        <v>40</v>
      </c>
    </row>
    <row r="2257" spans="1:5">
      <c r="A2257" s="8">
        <v>5420</v>
      </c>
      <c r="B2257" s="8" t="s">
        <v>3721</v>
      </c>
      <c r="C2257" s="8" t="s">
        <v>3722</v>
      </c>
      <c r="D2257" s="8" t="s">
        <v>48</v>
      </c>
      <c r="E2257" s="8" t="s">
        <v>40</v>
      </c>
    </row>
    <row r="2258" spans="1:5">
      <c r="A2258" s="8">
        <v>5421</v>
      </c>
      <c r="B2258" s="8" t="s">
        <v>3723</v>
      </c>
      <c r="C2258" s="8" t="s">
        <v>54</v>
      </c>
      <c r="D2258" s="8" t="s">
        <v>54</v>
      </c>
      <c r="E2258" s="8" t="s">
        <v>40</v>
      </c>
    </row>
    <row r="2259" spans="1:5">
      <c r="A2259" s="8">
        <v>5422</v>
      </c>
      <c r="B2259" s="8" t="s">
        <v>3724</v>
      </c>
      <c r="C2259" s="8" t="s">
        <v>2241</v>
      </c>
      <c r="D2259" s="8" t="s">
        <v>60</v>
      </c>
      <c r="E2259" s="8" t="s">
        <v>40</v>
      </c>
    </row>
    <row r="2260" spans="1:5">
      <c r="A2260" s="8">
        <v>5424</v>
      </c>
      <c r="B2260" s="8" t="s">
        <v>3725</v>
      </c>
      <c r="C2260" s="8" t="s">
        <v>1683</v>
      </c>
      <c r="D2260" s="8" t="s">
        <v>39</v>
      </c>
      <c r="E2260" s="8" t="s">
        <v>40</v>
      </c>
    </row>
    <row r="2261" spans="1:5">
      <c r="A2261" s="8">
        <v>5426</v>
      </c>
      <c r="B2261" s="8" t="s">
        <v>3726</v>
      </c>
      <c r="C2261" s="8" t="s">
        <v>508</v>
      </c>
      <c r="D2261" s="8" t="s">
        <v>238</v>
      </c>
      <c r="E2261" s="8" t="s">
        <v>239</v>
      </c>
    </row>
    <row r="2262" spans="1:5">
      <c r="A2262" s="8">
        <v>5427</v>
      </c>
      <c r="B2262" s="8" t="s">
        <v>3727</v>
      </c>
      <c r="C2262" s="8" t="s">
        <v>545</v>
      </c>
      <c r="D2262" s="8" t="s">
        <v>164</v>
      </c>
      <c r="E2262" s="8" t="s">
        <v>40</v>
      </c>
    </row>
    <row r="2263" spans="1:5">
      <c r="A2263" s="8">
        <v>5428</v>
      </c>
      <c r="B2263" s="8" t="s">
        <v>3728</v>
      </c>
      <c r="C2263" s="8" t="s">
        <v>2834</v>
      </c>
      <c r="D2263" s="8" t="s">
        <v>238</v>
      </c>
      <c r="E2263" s="8" t="s">
        <v>239</v>
      </c>
    </row>
    <row r="2264" spans="1:5">
      <c r="A2264" s="8">
        <v>5429</v>
      </c>
      <c r="B2264" s="8" t="s">
        <v>3729</v>
      </c>
      <c r="C2264" s="8" t="s">
        <v>725</v>
      </c>
      <c r="D2264" s="8" t="s">
        <v>726</v>
      </c>
      <c r="E2264" s="8" t="s">
        <v>40</v>
      </c>
    </row>
    <row r="2265" spans="1:5">
      <c r="A2265" s="8">
        <v>5430</v>
      </c>
      <c r="B2265" s="8" t="s">
        <v>3730</v>
      </c>
      <c r="C2265" s="8" t="s">
        <v>3731</v>
      </c>
      <c r="D2265" s="8" t="s">
        <v>43</v>
      </c>
      <c r="E2265" s="8" t="s">
        <v>40</v>
      </c>
    </row>
    <row r="2266" spans="1:5">
      <c r="A2266" s="8">
        <v>5431</v>
      </c>
      <c r="B2266" s="8" t="s">
        <v>484</v>
      </c>
      <c r="C2266" s="8" t="s">
        <v>3732</v>
      </c>
      <c r="D2266" s="8" t="s">
        <v>164</v>
      </c>
      <c r="E2266" s="8" t="s">
        <v>40</v>
      </c>
    </row>
    <row r="2267" spans="1:5">
      <c r="A2267" s="8">
        <v>5434</v>
      </c>
      <c r="B2267" s="8" t="s">
        <v>640</v>
      </c>
      <c r="C2267" s="8" t="s">
        <v>3733</v>
      </c>
      <c r="D2267" s="8" t="s">
        <v>1221</v>
      </c>
      <c r="E2267" s="8" t="s">
        <v>40</v>
      </c>
    </row>
    <row r="2268" spans="1:5">
      <c r="A2268" s="8">
        <v>5436</v>
      </c>
      <c r="B2268" s="8" t="s">
        <v>3734</v>
      </c>
      <c r="C2268" s="8" t="s">
        <v>243</v>
      </c>
      <c r="D2268" s="8" t="s">
        <v>39</v>
      </c>
      <c r="E2268" s="8" t="s">
        <v>40</v>
      </c>
    </row>
    <row r="2269" spans="1:5">
      <c r="A2269" s="8">
        <v>5437</v>
      </c>
      <c r="B2269" s="8" t="s">
        <v>3735</v>
      </c>
      <c r="C2269" s="8" t="s">
        <v>3736</v>
      </c>
      <c r="D2269" s="8" t="s">
        <v>51</v>
      </c>
      <c r="E2269" s="8" t="s">
        <v>40</v>
      </c>
    </row>
    <row r="2270" spans="1:5">
      <c r="A2270" s="8">
        <v>5438</v>
      </c>
      <c r="B2270" s="8" t="s">
        <v>3737</v>
      </c>
      <c r="C2270" s="8" t="s">
        <v>3738</v>
      </c>
      <c r="D2270" s="8" t="s">
        <v>48</v>
      </c>
      <c r="E2270" s="8" t="s">
        <v>40</v>
      </c>
    </row>
    <row r="2271" spans="1:5">
      <c r="A2271" s="8">
        <v>5439</v>
      </c>
      <c r="B2271" s="8" t="s">
        <v>2813</v>
      </c>
      <c r="C2271" s="8" t="s">
        <v>335</v>
      </c>
      <c r="D2271" s="8" t="s">
        <v>335</v>
      </c>
      <c r="E2271" s="8" t="s">
        <v>239</v>
      </c>
    </row>
    <row r="2272" spans="1:5">
      <c r="A2272" s="8">
        <v>5440</v>
      </c>
      <c r="B2272" s="8" t="s">
        <v>3739</v>
      </c>
      <c r="C2272" s="8" t="s">
        <v>3362</v>
      </c>
      <c r="D2272" s="8" t="s">
        <v>335</v>
      </c>
      <c r="E2272" s="8" t="s">
        <v>239</v>
      </c>
    </row>
    <row r="2273" spans="1:5">
      <c r="A2273" s="8">
        <v>5442</v>
      </c>
      <c r="B2273" s="8" t="s">
        <v>3740</v>
      </c>
      <c r="C2273" s="8" t="s">
        <v>264</v>
      </c>
      <c r="D2273" s="8" t="s">
        <v>121</v>
      </c>
      <c r="E2273" s="8" t="s">
        <v>40</v>
      </c>
    </row>
    <row r="2274" spans="1:5">
      <c r="A2274" s="8">
        <v>5443</v>
      </c>
      <c r="B2274" s="8" t="s">
        <v>3741</v>
      </c>
      <c r="C2274" s="8" t="s">
        <v>334</v>
      </c>
      <c r="D2274" s="8" t="s">
        <v>335</v>
      </c>
      <c r="E2274" s="8" t="s">
        <v>239</v>
      </c>
    </row>
    <row r="2275" spans="1:5">
      <c r="A2275" s="8">
        <v>5445</v>
      </c>
      <c r="B2275" s="8" t="s">
        <v>3742</v>
      </c>
      <c r="C2275" s="8" t="s">
        <v>3743</v>
      </c>
      <c r="D2275" s="8" t="s">
        <v>3744</v>
      </c>
      <c r="E2275" s="8" t="s">
        <v>3670</v>
      </c>
    </row>
    <row r="2276" spans="1:5">
      <c r="A2276" s="8">
        <v>5447</v>
      </c>
      <c r="B2276" s="8" t="s">
        <v>3745</v>
      </c>
      <c r="C2276" s="8" t="s">
        <v>3746</v>
      </c>
      <c r="D2276" s="8" t="s">
        <v>39</v>
      </c>
      <c r="E2276" s="8" t="s">
        <v>40</v>
      </c>
    </row>
    <row r="2277" spans="1:5">
      <c r="A2277" s="8">
        <v>5448</v>
      </c>
      <c r="B2277" s="8" t="s">
        <v>3747</v>
      </c>
      <c r="C2277" s="8" t="s">
        <v>3545</v>
      </c>
      <c r="D2277" s="8" t="s">
        <v>39</v>
      </c>
      <c r="E2277" s="8" t="s">
        <v>40</v>
      </c>
    </row>
    <row r="2278" spans="1:5">
      <c r="A2278" s="8">
        <v>5449</v>
      </c>
      <c r="B2278" s="8" t="s">
        <v>3748</v>
      </c>
      <c r="C2278" s="8" t="s">
        <v>3749</v>
      </c>
      <c r="D2278" s="8" t="s">
        <v>3749</v>
      </c>
      <c r="E2278" s="8" t="s">
        <v>3670</v>
      </c>
    </row>
    <row r="2279" spans="1:5">
      <c r="A2279" s="8">
        <v>5450</v>
      </c>
      <c r="B2279" s="8" t="s">
        <v>3750</v>
      </c>
      <c r="C2279" s="8" t="s">
        <v>3751</v>
      </c>
      <c r="D2279" s="8" t="s">
        <v>603</v>
      </c>
      <c r="E2279" s="8" t="s">
        <v>40</v>
      </c>
    </row>
    <row r="2280" spans="1:5">
      <c r="A2280" s="8">
        <v>5451</v>
      </c>
      <c r="B2280" s="8" t="s">
        <v>3752</v>
      </c>
      <c r="C2280" s="8" t="s">
        <v>3749</v>
      </c>
      <c r="D2280" s="8" t="s">
        <v>3749</v>
      </c>
      <c r="E2280" s="8" t="s">
        <v>3670</v>
      </c>
    </row>
    <row r="2281" spans="1:5">
      <c r="A2281" s="8">
        <v>5453</v>
      </c>
      <c r="B2281" s="8" t="s">
        <v>3753</v>
      </c>
      <c r="C2281" s="8" t="s">
        <v>3754</v>
      </c>
      <c r="D2281" s="8" t="s">
        <v>3755</v>
      </c>
      <c r="E2281" s="8" t="s">
        <v>3670</v>
      </c>
    </row>
    <row r="2282" spans="1:5">
      <c r="A2282" s="8">
        <v>5454</v>
      </c>
      <c r="B2282" s="8" t="s">
        <v>3756</v>
      </c>
      <c r="C2282" s="8" t="s">
        <v>3757</v>
      </c>
      <c r="D2282" s="8" t="s">
        <v>51</v>
      </c>
      <c r="E2282" s="8" t="s">
        <v>40</v>
      </c>
    </row>
    <row r="2283" spans="1:5">
      <c r="A2283" s="8">
        <v>5457</v>
      </c>
      <c r="B2283" s="8" t="s">
        <v>3758</v>
      </c>
      <c r="C2283" s="8" t="s">
        <v>1421</v>
      </c>
      <c r="D2283" s="8" t="s">
        <v>48</v>
      </c>
      <c r="E2283" s="8" t="s">
        <v>40</v>
      </c>
    </row>
    <row r="2284" spans="1:5">
      <c r="A2284" s="8">
        <v>5458</v>
      </c>
      <c r="B2284" s="8" t="s">
        <v>3759</v>
      </c>
      <c r="C2284" s="8" t="s">
        <v>3760</v>
      </c>
      <c r="D2284" s="8" t="s">
        <v>43</v>
      </c>
      <c r="E2284" s="8" t="s">
        <v>40</v>
      </c>
    </row>
    <row r="2285" spans="1:5">
      <c r="A2285" s="8">
        <v>5459</v>
      </c>
      <c r="B2285" s="8" t="s">
        <v>3761</v>
      </c>
      <c r="C2285" s="8" t="s">
        <v>3762</v>
      </c>
      <c r="D2285" s="8" t="s">
        <v>60</v>
      </c>
      <c r="E2285" s="8" t="s">
        <v>40</v>
      </c>
    </row>
    <row r="2286" spans="1:5">
      <c r="A2286" s="8">
        <v>5460</v>
      </c>
      <c r="B2286" s="8" t="s">
        <v>3763</v>
      </c>
      <c r="C2286" s="8" t="s">
        <v>1107</v>
      </c>
      <c r="D2286" s="8" t="s">
        <v>39</v>
      </c>
      <c r="E2286" s="8" t="s">
        <v>40</v>
      </c>
    </row>
    <row r="2287" spans="1:5">
      <c r="A2287" s="8">
        <v>5461</v>
      </c>
      <c r="B2287" s="8" t="s">
        <v>3764</v>
      </c>
      <c r="C2287" s="8" t="s">
        <v>1362</v>
      </c>
      <c r="D2287" s="8" t="s">
        <v>1018</v>
      </c>
      <c r="E2287" s="8" t="s">
        <v>40</v>
      </c>
    </row>
    <row r="2288" spans="1:5">
      <c r="A2288" s="8">
        <v>5462</v>
      </c>
      <c r="B2288" s="8" t="s">
        <v>3765</v>
      </c>
      <c r="C2288" s="8" t="s">
        <v>3766</v>
      </c>
      <c r="D2288" s="8" t="s">
        <v>39</v>
      </c>
      <c r="E2288" s="8" t="s">
        <v>40</v>
      </c>
    </row>
    <row r="2289" spans="1:5">
      <c r="A2289" s="8">
        <v>5464</v>
      </c>
      <c r="B2289" s="8" t="s">
        <v>3767</v>
      </c>
      <c r="C2289" s="8" t="s">
        <v>139</v>
      </c>
      <c r="D2289" s="8" t="s">
        <v>1221</v>
      </c>
      <c r="E2289" s="8" t="s">
        <v>40</v>
      </c>
    </row>
    <row r="2290" spans="1:5">
      <c r="A2290" s="8">
        <v>5465</v>
      </c>
      <c r="B2290" s="8" t="s">
        <v>3768</v>
      </c>
      <c r="C2290" s="8" t="s">
        <v>577</v>
      </c>
      <c r="D2290" s="8" t="s">
        <v>92</v>
      </c>
      <c r="E2290" s="8" t="s">
        <v>40</v>
      </c>
    </row>
    <row r="2291" spans="1:5">
      <c r="A2291" s="8">
        <v>5467</v>
      </c>
      <c r="B2291" s="8" t="s">
        <v>3769</v>
      </c>
      <c r="C2291" s="8" t="s">
        <v>841</v>
      </c>
      <c r="D2291" s="8" t="s">
        <v>39</v>
      </c>
      <c r="E2291" s="8" t="s">
        <v>40</v>
      </c>
    </row>
    <row r="2292" spans="1:5">
      <c r="A2292" s="8">
        <v>5468</v>
      </c>
      <c r="B2292" s="8" t="s">
        <v>3770</v>
      </c>
      <c r="C2292" s="8" t="s">
        <v>602</v>
      </c>
      <c r="D2292" s="8" t="s">
        <v>603</v>
      </c>
      <c r="E2292" s="8" t="s">
        <v>40</v>
      </c>
    </row>
    <row r="2293" spans="1:5">
      <c r="A2293" s="8">
        <v>5470</v>
      </c>
      <c r="B2293" s="8" t="s">
        <v>3771</v>
      </c>
      <c r="C2293" s="8" t="s">
        <v>3772</v>
      </c>
      <c r="D2293" s="8" t="s">
        <v>39</v>
      </c>
      <c r="E2293" s="8" t="s">
        <v>40</v>
      </c>
    </row>
    <row r="2294" spans="1:5">
      <c r="A2294" s="8">
        <v>5471</v>
      </c>
      <c r="B2294" s="8" t="s">
        <v>3773</v>
      </c>
      <c r="C2294" s="8" t="s">
        <v>3774</v>
      </c>
      <c r="D2294" s="8" t="s">
        <v>87</v>
      </c>
      <c r="E2294" s="8" t="s">
        <v>40</v>
      </c>
    </row>
    <row r="2295" spans="1:5">
      <c r="A2295" s="8">
        <v>5472</v>
      </c>
      <c r="B2295" s="8" t="s">
        <v>3775</v>
      </c>
      <c r="C2295" s="8" t="s">
        <v>3776</v>
      </c>
      <c r="D2295" s="8" t="s">
        <v>57</v>
      </c>
      <c r="E2295" s="8" t="s">
        <v>40</v>
      </c>
    </row>
    <row r="2296" spans="1:5">
      <c r="A2296" s="8">
        <v>5473</v>
      </c>
      <c r="B2296" s="8" t="s">
        <v>3777</v>
      </c>
      <c r="C2296" s="8" t="s">
        <v>681</v>
      </c>
      <c r="D2296" s="8" t="s">
        <v>39</v>
      </c>
      <c r="E2296" s="8" t="s">
        <v>40</v>
      </c>
    </row>
    <row r="2297" spans="1:5">
      <c r="A2297" s="8">
        <v>5474</v>
      </c>
      <c r="B2297" s="8" t="s">
        <v>3778</v>
      </c>
      <c r="C2297" s="8" t="s">
        <v>858</v>
      </c>
      <c r="D2297" s="8" t="s">
        <v>43</v>
      </c>
      <c r="E2297" s="8" t="s">
        <v>40</v>
      </c>
    </row>
    <row r="2298" spans="1:5">
      <c r="A2298" s="8">
        <v>5477</v>
      </c>
      <c r="B2298" s="8" t="s">
        <v>3779</v>
      </c>
      <c r="C2298" s="8" t="s">
        <v>3001</v>
      </c>
      <c r="D2298" s="8" t="s">
        <v>43</v>
      </c>
      <c r="E2298" s="8" t="s">
        <v>40</v>
      </c>
    </row>
    <row r="2299" spans="1:5">
      <c r="A2299" s="8">
        <v>5478</v>
      </c>
      <c r="B2299" s="8" t="s">
        <v>3780</v>
      </c>
      <c r="C2299" s="8" t="s">
        <v>1114</v>
      </c>
      <c r="D2299" s="8" t="s">
        <v>39</v>
      </c>
      <c r="E2299" s="8" t="s">
        <v>40</v>
      </c>
    </row>
    <row r="2300" spans="1:5">
      <c r="A2300" s="8">
        <v>5480</v>
      </c>
      <c r="B2300" s="8" t="s">
        <v>3781</v>
      </c>
      <c r="C2300" s="8" t="s">
        <v>3782</v>
      </c>
      <c r="D2300" s="8" t="s">
        <v>726</v>
      </c>
      <c r="E2300" s="8" t="s">
        <v>40</v>
      </c>
    </row>
    <row r="2301" spans="1:5">
      <c r="A2301" s="8">
        <v>5482</v>
      </c>
      <c r="B2301" s="8" t="s">
        <v>3783</v>
      </c>
      <c r="C2301" s="8" t="s">
        <v>934</v>
      </c>
      <c r="D2301" s="8" t="s">
        <v>630</v>
      </c>
      <c r="E2301" s="8" t="s">
        <v>40</v>
      </c>
    </row>
    <row r="2302" spans="1:5">
      <c r="A2302" s="8">
        <v>5483</v>
      </c>
      <c r="B2302" s="8" t="s">
        <v>3784</v>
      </c>
      <c r="C2302" s="8" t="s">
        <v>1205</v>
      </c>
      <c r="D2302" s="8" t="s">
        <v>238</v>
      </c>
      <c r="E2302" s="8" t="s">
        <v>239</v>
      </c>
    </row>
    <row r="2303" spans="1:5">
      <c r="A2303" s="8">
        <v>5484</v>
      </c>
      <c r="B2303" s="8" t="s">
        <v>3785</v>
      </c>
      <c r="C2303" s="8" t="s">
        <v>2539</v>
      </c>
      <c r="D2303" s="8" t="s">
        <v>79</v>
      </c>
      <c r="E2303" s="8" t="s">
        <v>40</v>
      </c>
    </row>
    <row r="2304" spans="1:5">
      <c r="A2304" s="8">
        <v>5486</v>
      </c>
      <c r="B2304" s="8" t="s">
        <v>3786</v>
      </c>
      <c r="C2304" s="8" t="s">
        <v>3787</v>
      </c>
      <c r="D2304" s="8" t="s">
        <v>39</v>
      </c>
      <c r="E2304" s="8" t="s">
        <v>40</v>
      </c>
    </row>
    <row r="2305" spans="1:5">
      <c r="A2305" s="8">
        <v>5490</v>
      </c>
      <c r="B2305" s="8" t="s">
        <v>3788</v>
      </c>
      <c r="C2305" s="8" t="s">
        <v>3789</v>
      </c>
      <c r="D2305" s="8" t="s">
        <v>97</v>
      </c>
      <c r="E2305" s="8" t="s">
        <v>40</v>
      </c>
    </row>
    <row r="2306" spans="1:5">
      <c r="A2306" s="8">
        <v>5491</v>
      </c>
      <c r="B2306" s="8" t="s">
        <v>3790</v>
      </c>
      <c r="C2306" s="8" t="s">
        <v>3791</v>
      </c>
      <c r="D2306" s="8" t="s">
        <v>60</v>
      </c>
      <c r="E2306" s="8" t="s">
        <v>40</v>
      </c>
    </row>
    <row r="2307" spans="1:5">
      <c r="A2307" s="8">
        <v>5492</v>
      </c>
      <c r="B2307" s="8" t="s">
        <v>3792</v>
      </c>
      <c r="C2307" s="8" t="s">
        <v>833</v>
      </c>
      <c r="D2307" s="8" t="s">
        <v>495</v>
      </c>
      <c r="E2307" s="8" t="s">
        <v>40</v>
      </c>
    </row>
    <row r="2308" spans="1:5">
      <c r="A2308" s="8">
        <v>5493</v>
      </c>
      <c r="B2308" s="8" t="s">
        <v>3793</v>
      </c>
      <c r="C2308" s="8" t="s">
        <v>3794</v>
      </c>
      <c r="D2308" s="8" t="s">
        <v>208</v>
      </c>
      <c r="E2308" s="8" t="s">
        <v>40</v>
      </c>
    </row>
    <row r="2309" spans="1:5">
      <c r="A2309" s="8">
        <v>5494</v>
      </c>
      <c r="B2309" s="8" t="s">
        <v>3795</v>
      </c>
      <c r="C2309" s="8" t="s">
        <v>3796</v>
      </c>
      <c r="D2309" s="8" t="s">
        <v>60</v>
      </c>
      <c r="E2309" s="8" t="s">
        <v>40</v>
      </c>
    </row>
    <row r="2310" spans="1:5">
      <c r="A2310" s="8">
        <v>5496</v>
      </c>
      <c r="B2310" s="8" t="s">
        <v>946</v>
      </c>
      <c r="C2310" s="8" t="s">
        <v>1351</v>
      </c>
      <c r="D2310" s="8" t="s">
        <v>43</v>
      </c>
      <c r="E2310" s="8" t="s">
        <v>40</v>
      </c>
    </row>
    <row r="2311" spans="1:5">
      <c r="A2311" s="8">
        <v>5498</v>
      </c>
      <c r="B2311" s="8" t="s">
        <v>3797</v>
      </c>
      <c r="C2311" s="8" t="s">
        <v>3798</v>
      </c>
      <c r="D2311" s="8" t="s">
        <v>39</v>
      </c>
      <c r="E2311" s="8" t="s">
        <v>40</v>
      </c>
    </row>
    <row r="2312" spans="1:5">
      <c r="A2312" s="8">
        <v>5499</v>
      </c>
      <c r="B2312" s="8" t="s">
        <v>3799</v>
      </c>
      <c r="C2312" s="8" t="s">
        <v>3720</v>
      </c>
      <c r="D2312" s="8" t="s">
        <v>43</v>
      </c>
      <c r="E2312" s="8" t="s">
        <v>40</v>
      </c>
    </row>
    <row r="2313" spans="1:5">
      <c r="A2313" s="8">
        <v>5500</v>
      </c>
      <c r="B2313" s="8" t="s">
        <v>3800</v>
      </c>
      <c r="C2313" s="8" t="s">
        <v>3406</v>
      </c>
      <c r="D2313" s="8" t="s">
        <v>43</v>
      </c>
      <c r="E2313" s="8" t="s">
        <v>40</v>
      </c>
    </row>
    <row r="2314" spans="1:5">
      <c r="A2314" s="8">
        <v>5501</v>
      </c>
      <c r="B2314" s="8" t="s">
        <v>3801</v>
      </c>
      <c r="C2314" s="8" t="s">
        <v>3802</v>
      </c>
      <c r="D2314" s="8" t="s">
        <v>39</v>
      </c>
      <c r="E2314" s="8" t="s">
        <v>40</v>
      </c>
    </row>
    <row r="2315" spans="1:5">
      <c r="A2315" s="8">
        <v>5502</v>
      </c>
      <c r="B2315" s="8" t="s">
        <v>3803</v>
      </c>
      <c r="C2315" s="8" t="s">
        <v>3804</v>
      </c>
      <c r="D2315" s="8" t="s">
        <v>39</v>
      </c>
      <c r="E2315" s="8" t="s">
        <v>40</v>
      </c>
    </row>
    <row r="2316" spans="1:5">
      <c r="A2316" s="8">
        <v>5503</v>
      </c>
      <c r="B2316" s="8" t="s">
        <v>3805</v>
      </c>
      <c r="C2316" s="8" t="s">
        <v>1214</v>
      </c>
      <c r="D2316" s="8" t="s">
        <v>164</v>
      </c>
      <c r="E2316" s="8" t="s">
        <v>40</v>
      </c>
    </row>
    <row r="2317" spans="1:5">
      <c r="A2317" s="8">
        <v>5504</v>
      </c>
      <c r="B2317" s="8" t="s">
        <v>3806</v>
      </c>
      <c r="C2317" s="8" t="s">
        <v>3807</v>
      </c>
      <c r="D2317" s="8" t="s">
        <v>39</v>
      </c>
      <c r="E2317" s="8" t="s">
        <v>40</v>
      </c>
    </row>
    <row r="2318" spans="1:5">
      <c r="A2318" s="8">
        <v>5505</v>
      </c>
      <c r="B2318" s="8" t="s">
        <v>3808</v>
      </c>
      <c r="C2318" s="8" t="s">
        <v>3809</v>
      </c>
      <c r="D2318" s="8" t="s">
        <v>39</v>
      </c>
      <c r="E2318" s="8" t="s">
        <v>40</v>
      </c>
    </row>
    <row r="2319" spans="1:5">
      <c r="A2319" s="8">
        <v>5506</v>
      </c>
      <c r="B2319" s="8" t="s">
        <v>3810</v>
      </c>
      <c r="C2319" s="8" t="s">
        <v>3811</v>
      </c>
      <c r="D2319" s="8" t="s">
        <v>87</v>
      </c>
      <c r="E2319" s="8" t="s">
        <v>40</v>
      </c>
    </row>
    <row r="2320" spans="1:5">
      <c r="A2320" s="8">
        <v>5507</v>
      </c>
      <c r="B2320" s="8" t="s">
        <v>384</v>
      </c>
      <c r="C2320" s="8" t="s">
        <v>2767</v>
      </c>
      <c r="D2320" s="8" t="s">
        <v>43</v>
      </c>
      <c r="E2320" s="8" t="s">
        <v>40</v>
      </c>
    </row>
    <row r="2321" spans="1:5">
      <c r="A2321" s="8">
        <v>5508</v>
      </c>
      <c r="B2321" s="8" t="s">
        <v>3812</v>
      </c>
      <c r="C2321" s="8" t="s">
        <v>954</v>
      </c>
      <c r="D2321" s="8" t="s">
        <v>490</v>
      </c>
      <c r="E2321" s="8" t="s">
        <v>40</v>
      </c>
    </row>
    <row r="2322" spans="1:5">
      <c r="A2322" s="8">
        <v>5509</v>
      </c>
      <c r="B2322" s="8" t="s">
        <v>3813</v>
      </c>
      <c r="C2322" s="8" t="s">
        <v>1683</v>
      </c>
      <c r="D2322" s="8" t="s">
        <v>39</v>
      </c>
      <c r="E2322" s="8" t="s">
        <v>40</v>
      </c>
    </row>
    <row r="2323" spans="1:5">
      <c r="A2323" s="8">
        <v>5510</v>
      </c>
      <c r="B2323" s="8" t="s">
        <v>3814</v>
      </c>
      <c r="C2323" s="8" t="s">
        <v>523</v>
      </c>
      <c r="D2323" s="8" t="s">
        <v>43</v>
      </c>
      <c r="E2323" s="8" t="s">
        <v>40</v>
      </c>
    </row>
    <row r="2324" spans="1:5">
      <c r="A2324" s="8">
        <v>5511</v>
      </c>
      <c r="B2324" s="8" t="s">
        <v>3815</v>
      </c>
      <c r="C2324" s="8" t="s">
        <v>2233</v>
      </c>
      <c r="D2324" s="8" t="s">
        <v>429</v>
      </c>
      <c r="E2324" s="8" t="s">
        <v>40</v>
      </c>
    </row>
    <row r="2325" spans="1:5">
      <c r="A2325" s="8">
        <v>5512</v>
      </c>
      <c r="B2325" s="8" t="s">
        <v>3816</v>
      </c>
      <c r="C2325" s="8" t="s">
        <v>3817</v>
      </c>
      <c r="D2325" s="8" t="s">
        <v>1639</v>
      </c>
      <c r="E2325" s="8" t="s">
        <v>1640</v>
      </c>
    </row>
    <row r="2326" spans="1:5">
      <c r="A2326" s="8">
        <v>5514</v>
      </c>
      <c r="B2326" s="8" t="s">
        <v>3818</v>
      </c>
      <c r="C2326" s="8" t="s">
        <v>3819</v>
      </c>
      <c r="D2326" s="8" t="s">
        <v>43</v>
      </c>
      <c r="E2326" s="8" t="s">
        <v>40</v>
      </c>
    </row>
    <row r="2327" spans="1:5">
      <c r="A2327" s="8">
        <v>5515</v>
      </c>
      <c r="B2327" s="8" t="s">
        <v>3820</v>
      </c>
      <c r="C2327" s="8" t="s">
        <v>3821</v>
      </c>
      <c r="D2327" s="8" t="s">
        <v>3821</v>
      </c>
      <c r="E2327" s="8" t="s">
        <v>3670</v>
      </c>
    </row>
    <row r="2328" spans="1:5">
      <c r="A2328" s="8">
        <v>5516</v>
      </c>
      <c r="B2328" s="8" t="s">
        <v>3822</v>
      </c>
      <c r="C2328" s="8" t="s">
        <v>3754</v>
      </c>
      <c r="D2328" s="8" t="s">
        <v>3755</v>
      </c>
      <c r="E2328" s="8" t="s">
        <v>3670</v>
      </c>
    </row>
    <row r="2329" spans="1:5">
      <c r="A2329" s="8">
        <v>5517</v>
      </c>
      <c r="B2329" s="8" t="s">
        <v>3823</v>
      </c>
      <c r="C2329" s="8" t="s">
        <v>3824</v>
      </c>
      <c r="D2329" s="8" t="s">
        <v>39</v>
      </c>
      <c r="E2329" s="8" t="s">
        <v>40</v>
      </c>
    </row>
    <row r="2330" spans="1:5">
      <c r="A2330" s="8">
        <v>5518</v>
      </c>
      <c r="B2330" s="8" t="s">
        <v>3825</v>
      </c>
      <c r="C2330" s="8" t="s">
        <v>1327</v>
      </c>
      <c r="D2330" s="8" t="s">
        <v>429</v>
      </c>
      <c r="E2330" s="8" t="s">
        <v>40</v>
      </c>
    </row>
    <row r="2331" spans="1:5">
      <c r="A2331" s="8">
        <v>5519</v>
      </c>
      <c r="B2331" s="8" t="s">
        <v>3826</v>
      </c>
      <c r="C2331" s="8" t="s">
        <v>2331</v>
      </c>
      <c r="D2331" s="8" t="s">
        <v>238</v>
      </c>
      <c r="E2331" s="8" t="s">
        <v>239</v>
      </c>
    </row>
    <row r="2332" spans="1:5">
      <c r="A2332" s="8">
        <v>5522</v>
      </c>
      <c r="B2332" s="8" t="s">
        <v>3827</v>
      </c>
      <c r="C2332" s="8" t="s">
        <v>3828</v>
      </c>
      <c r="D2332" s="8" t="s">
        <v>3755</v>
      </c>
      <c r="E2332" s="8" t="s">
        <v>3670</v>
      </c>
    </row>
    <row r="2333" spans="1:5">
      <c r="A2333" s="8">
        <v>5523</v>
      </c>
      <c r="B2333" s="8" t="s">
        <v>75</v>
      </c>
      <c r="C2333" s="8" t="s">
        <v>3829</v>
      </c>
      <c r="D2333" s="8" t="s">
        <v>39</v>
      </c>
      <c r="E2333" s="8" t="s">
        <v>40</v>
      </c>
    </row>
    <row r="2334" spans="1:5">
      <c r="A2334" s="8">
        <v>5524</v>
      </c>
      <c r="B2334" s="8" t="s">
        <v>3830</v>
      </c>
      <c r="C2334" s="8" t="s">
        <v>3831</v>
      </c>
      <c r="D2334" s="8" t="s">
        <v>39</v>
      </c>
      <c r="E2334" s="8" t="s">
        <v>40</v>
      </c>
    </row>
    <row r="2335" spans="1:5">
      <c r="A2335" s="8">
        <v>5525</v>
      </c>
      <c r="B2335" s="8" t="s">
        <v>3832</v>
      </c>
      <c r="C2335" s="8" t="s">
        <v>2100</v>
      </c>
      <c r="D2335" s="8" t="s">
        <v>39</v>
      </c>
      <c r="E2335" s="8" t="s">
        <v>40</v>
      </c>
    </row>
    <row r="2336" spans="1:5">
      <c r="A2336" s="8">
        <v>5526</v>
      </c>
      <c r="B2336" s="8" t="s">
        <v>3833</v>
      </c>
      <c r="C2336" s="8" t="s">
        <v>2953</v>
      </c>
      <c r="D2336" s="8" t="s">
        <v>2298</v>
      </c>
      <c r="E2336" s="8" t="s">
        <v>1461</v>
      </c>
    </row>
    <row r="2337" spans="1:5">
      <c r="A2337" s="8">
        <v>5527</v>
      </c>
      <c r="B2337" s="8" t="s">
        <v>3834</v>
      </c>
      <c r="C2337" s="8" t="s">
        <v>345</v>
      </c>
      <c r="D2337" s="8" t="s">
        <v>39</v>
      </c>
      <c r="E2337" s="8" t="s">
        <v>40</v>
      </c>
    </row>
    <row r="2338" spans="1:5">
      <c r="A2338" s="8">
        <v>5528</v>
      </c>
      <c r="B2338" s="8" t="s">
        <v>3835</v>
      </c>
      <c r="C2338" s="8" t="s">
        <v>3836</v>
      </c>
      <c r="D2338" s="8" t="s">
        <v>335</v>
      </c>
      <c r="E2338" s="8" t="s">
        <v>239</v>
      </c>
    </row>
    <row r="2339" spans="1:5">
      <c r="A2339" s="8">
        <v>5530</v>
      </c>
      <c r="B2339" s="8" t="s">
        <v>3837</v>
      </c>
      <c r="C2339" s="8" t="s">
        <v>627</v>
      </c>
      <c r="D2339" s="8" t="s">
        <v>39</v>
      </c>
      <c r="E2339" s="8" t="s">
        <v>40</v>
      </c>
    </row>
    <row r="2340" spans="1:5">
      <c r="A2340" s="8">
        <v>5531</v>
      </c>
      <c r="B2340" s="8" t="s">
        <v>3838</v>
      </c>
      <c r="C2340" s="8" t="s">
        <v>841</v>
      </c>
      <c r="D2340" s="8" t="s">
        <v>39</v>
      </c>
      <c r="E2340" s="8" t="s">
        <v>40</v>
      </c>
    </row>
    <row r="2341" spans="1:5">
      <c r="A2341" s="8">
        <v>5532</v>
      </c>
      <c r="B2341" s="8" t="s">
        <v>3839</v>
      </c>
      <c r="C2341" s="8" t="s">
        <v>1114</v>
      </c>
      <c r="D2341" s="8" t="s">
        <v>39</v>
      </c>
      <c r="E2341" s="8" t="s">
        <v>40</v>
      </c>
    </row>
    <row r="2342" spans="1:5">
      <c r="A2342" s="8">
        <v>5533</v>
      </c>
      <c r="B2342" s="8" t="s">
        <v>3840</v>
      </c>
      <c r="C2342" s="8" t="s">
        <v>3841</v>
      </c>
      <c r="D2342" s="8" t="s">
        <v>39</v>
      </c>
      <c r="E2342" s="8" t="s">
        <v>40</v>
      </c>
    </row>
    <row r="2343" spans="1:5">
      <c r="A2343" s="8">
        <v>5534</v>
      </c>
      <c r="B2343" s="8" t="s">
        <v>3842</v>
      </c>
      <c r="C2343" s="8" t="s">
        <v>3843</v>
      </c>
      <c r="D2343" s="8" t="s">
        <v>39</v>
      </c>
      <c r="E2343" s="8" t="s">
        <v>40</v>
      </c>
    </row>
    <row r="2344" spans="1:5">
      <c r="A2344" s="8">
        <v>5535</v>
      </c>
      <c r="B2344" s="8" t="s">
        <v>3844</v>
      </c>
      <c r="C2344" s="8" t="s">
        <v>3845</v>
      </c>
      <c r="D2344" s="8" t="s">
        <v>39</v>
      </c>
      <c r="E2344" s="8" t="s">
        <v>40</v>
      </c>
    </row>
    <row r="2345" spans="1:5">
      <c r="A2345" s="8">
        <v>5538</v>
      </c>
      <c r="B2345" s="8" t="s">
        <v>3846</v>
      </c>
      <c r="C2345" s="8" t="s">
        <v>583</v>
      </c>
      <c r="D2345" s="8" t="s">
        <v>39</v>
      </c>
      <c r="E2345" s="8" t="s">
        <v>40</v>
      </c>
    </row>
    <row r="2346" spans="1:5">
      <c r="A2346" s="8">
        <v>5539</v>
      </c>
      <c r="B2346" s="8" t="s">
        <v>3847</v>
      </c>
      <c r="C2346" s="8" t="s">
        <v>736</v>
      </c>
      <c r="D2346" s="8" t="s">
        <v>92</v>
      </c>
      <c r="E2346" s="8" t="s">
        <v>40</v>
      </c>
    </row>
    <row r="2347" spans="1:5">
      <c r="A2347" s="8">
        <v>5541</v>
      </c>
      <c r="B2347" s="8" t="s">
        <v>3848</v>
      </c>
      <c r="C2347" s="8" t="s">
        <v>3849</v>
      </c>
      <c r="D2347" s="8" t="s">
        <v>1221</v>
      </c>
      <c r="E2347" s="8" t="s">
        <v>40</v>
      </c>
    </row>
    <row r="2348" spans="1:5">
      <c r="A2348" s="8">
        <v>5542</v>
      </c>
      <c r="B2348" s="8" t="s">
        <v>3850</v>
      </c>
      <c r="C2348" s="8" t="s">
        <v>2646</v>
      </c>
      <c r="D2348" s="8" t="s">
        <v>1221</v>
      </c>
      <c r="E2348" s="8" t="s">
        <v>40</v>
      </c>
    </row>
    <row r="2349" spans="1:5">
      <c r="A2349" s="8">
        <v>5544</v>
      </c>
      <c r="B2349" s="8" t="s">
        <v>3851</v>
      </c>
      <c r="C2349" s="8" t="s">
        <v>3852</v>
      </c>
      <c r="D2349" s="8" t="s">
        <v>429</v>
      </c>
      <c r="E2349" s="8" t="s">
        <v>40</v>
      </c>
    </row>
    <row r="2350" spans="1:5">
      <c r="A2350" s="8">
        <v>5546</v>
      </c>
      <c r="B2350" s="8" t="s">
        <v>3853</v>
      </c>
      <c r="C2350" s="8" t="s">
        <v>2630</v>
      </c>
      <c r="D2350" s="8" t="s">
        <v>159</v>
      </c>
      <c r="E2350" s="8" t="s">
        <v>40</v>
      </c>
    </row>
    <row r="2351" spans="1:5">
      <c r="A2351" s="8">
        <v>5547</v>
      </c>
      <c r="B2351" s="8" t="s">
        <v>3854</v>
      </c>
      <c r="C2351" s="8" t="s">
        <v>3855</v>
      </c>
      <c r="D2351" s="8" t="s">
        <v>39</v>
      </c>
      <c r="E2351" s="8" t="s">
        <v>40</v>
      </c>
    </row>
    <row r="2352" spans="1:5">
      <c r="A2352" s="8">
        <v>5549</v>
      </c>
      <c r="B2352" s="8" t="s">
        <v>3400</v>
      </c>
      <c r="C2352" s="8" t="s">
        <v>936</v>
      </c>
      <c r="D2352" s="8" t="s">
        <v>159</v>
      </c>
      <c r="E2352" s="8" t="s">
        <v>40</v>
      </c>
    </row>
    <row r="2353" spans="1:5">
      <c r="A2353" s="8">
        <v>5550</v>
      </c>
      <c r="B2353" s="8" t="s">
        <v>3856</v>
      </c>
      <c r="C2353" s="8" t="s">
        <v>3857</v>
      </c>
      <c r="D2353" s="8" t="s">
        <v>69</v>
      </c>
      <c r="E2353" s="8" t="s">
        <v>40</v>
      </c>
    </row>
    <row r="2354" spans="1:5">
      <c r="A2354" s="8">
        <v>5553</v>
      </c>
      <c r="B2354" s="8" t="s">
        <v>3858</v>
      </c>
      <c r="C2354" s="8" t="s">
        <v>3859</v>
      </c>
      <c r="D2354" s="8" t="s">
        <v>3860</v>
      </c>
      <c r="E2354" s="8" t="s">
        <v>3861</v>
      </c>
    </row>
    <row r="2355" spans="1:5">
      <c r="A2355" s="8">
        <v>5554</v>
      </c>
      <c r="B2355" s="8" t="s">
        <v>3862</v>
      </c>
      <c r="C2355" s="8" t="s">
        <v>3863</v>
      </c>
      <c r="D2355" s="8" t="s">
        <v>1034</v>
      </c>
      <c r="E2355" s="8" t="s">
        <v>1026</v>
      </c>
    </row>
    <row r="2356" spans="1:5">
      <c r="A2356" s="8">
        <v>5555</v>
      </c>
      <c r="B2356" s="8" t="s">
        <v>3403</v>
      </c>
      <c r="C2356" s="8" t="s">
        <v>76</v>
      </c>
      <c r="D2356" s="8" t="s">
        <v>39</v>
      </c>
      <c r="E2356" s="8" t="s">
        <v>40</v>
      </c>
    </row>
    <row r="2357" spans="1:5">
      <c r="A2357" s="8">
        <v>5556</v>
      </c>
      <c r="B2357" s="8" t="s">
        <v>3864</v>
      </c>
      <c r="C2357" s="8" t="s">
        <v>3865</v>
      </c>
      <c r="D2357" s="8" t="s">
        <v>60</v>
      </c>
      <c r="E2357" s="8" t="s">
        <v>40</v>
      </c>
    </row>
    <row r="2358" spans="1:5">
      <c r="A2358" s="8">
        <v>5557</v>
      </c>
      <c r="B2358" s="8" t="s">
        <v>3866</v>
      </c>
      <c r="C2358" s="8" t="s">
        <v>89</v>
      </c>
      <c r="D2358" s="8" t="s">
        <v>57</v>
      </c>
      <c r="E2358" s="8" t="s">
        <v>40</v>
      </c>
    </row>
    <row r="2359" spans="1:5">
      <c r="A2359" s="8">
        <v>5558</v>
      </c>
      <c r="B2359" s="8" t="s">
        <v>3867</v>
      </c>
      <c r="C2359" s="8" t="s">
        <v>3868</v>
      </c>
      <c r="D2359" s="8" t="s">
        <v>3868</v>
      </c>
      <c r="E2359" s="8" t="s">
        <v>1835</v>
      </c>
    </row>
    <row r="2360" spans="1:5">
      <c r="A2360" s="8">
        <v>5559</v>
      </c>
      <c r="B2360" s="8" t="s">
        <v>3869</v>
      </c>
      <c r="C2360" s="8" t="s">
        <v>3870</v>
      </c>
      <c r="D2360" s="8" t="s">
        <v>39</v>
      </c>
      <c r="E2360" s="8" t="s">
        <v>40</v>
      </c>
    </row>
    <row r="2361" spans="1:5">
      <c r="A2361" s="8">
        <v>5560</v>
      </c>
      <c r="B2361" s="8" t="s">
        <v>3871</v>
      </c>
      <c r="C2361" s="8" t="s">
        <v>3872</v>
      </c>
      <c r="D2361" s="8" t="s">
        <v>39</v>
      </c>
      <c r="E2361" s="8" t="s">
        <v>40</v>
      </c>
    </row>
    <row r="2362" spans="1:5">
      <c r="A2362" s="8">
        <v>5561</v>
      </c>
      <c r="B2362" s="8" t="s">
        <v>984</v>
      </c>
      <c r="C2362" s="8" t="s">
        <v>1662</v>
      </c>
      <c r="D2362" s="8" t="s">
        <v>39</v>
      </c>
      <c r="E2362" s="8" t="s">
        <v>40</v>
      </c>
    </row>
    <row r="2363" spans="1:5">
      <c r="A2363" s="8">
        <v>5562</v>
      </c>
      <c r="B2363" s="8" t="s">
        <v>3873</v>
      </c>
      <c r="C2363" s="8" t="s">
        <v>3874</v>
      </c>
      <c r="D2363" s="8" t="s">
        <v>39</v>
      </c>
      <c r="E2363" s="8" t="s">
        <v>40</v>
      </c>
    </row>
    <row r="2364" spans="1:5">
      <c r="A2364" s="8">
        <v>5563</v>
      </c>
      <c r="B2364" s="8" t="s">
        <v>3875</v>
      </c>
      <c r="C2364" s="8" t="s">
        <v>1177</v>
      </c>
      <c r="D2364" s="8" t="s">
        <v>60</v>
      </c>
      <c r="E2364" s="8" t="s">
        <v>40</v>
      </c>
    </row>
    <row r="2365" spans="1:5">
      <c r="A2365" s="8">
        <v>5564</v>
      </c>
      <c r="B2365" s="8" t="s">
        <v>3876</v>
      </c>
      <c r="C2365" s="8" t="s">
        <v>2858</v>
      </c>
      <c r="D2365" s="8" t="s">
        <v>1994</v>
      </c>
      <c r="E2365" s="8" t="s">
        <v>1995</v>
      </c>
    </row>
    <row r="2366" spans="1:5">
      <c r="A2366" s="8">
        <v>5567</v>
      </c>
      <c r="B2366" s="8" t="s">
        <v>3877</v>
      </c>
      <c r="C2366" s="8" t="s">
        <v>1451</v>
      </c>
      <c r="D2366" s="8" t="s">
        <v>39</v>
      </c>
      <c r="E2366" s="8" t="s">
        <v>40</v>
      </c>
    </row>
    <row r="2367" spans="1:5">
      <c r="A2367" s="8">
        <v>5568</v>
      </c>
      <c r="B2367" s="8" t="s">
        <v>3878</v>
      </c>
      <c r="C2367" s="8" t="s">
        <v>3879</v>
      </c>
      <c r="D2367" s="8" t="s">
        <v>51</v>
      </c>
      <c r="E2367" s="8" t="s">
        <v>40</v>
      </c>
    </row>
    <row r="2368" spans="1:5">
      <c r="A2368" s="8">
        <v>5570</v>
      </c>
      <c r="B2368" s="8" t="s">
        <v>3880</v>
      </c>
      <c r="C2368" s="8" t="s">
        <v>334</v>
      </c>
      <c r="D2368" s="8" t="s">
        <v>335</v>
      </c>
      <c r="E2368" s="8" t="s">
        <v>239</v>
      </c>
    </row>
    <row r="2369" spans="1:5">
      <c r="A2369" s="8">
        <v>5572</v>
      </c>
      <c r="B2369" s="8" t="s">
        <v>3881</v>
      </c>
      <c r="C2369" s="8" t="s">
        <v>445</v>
      </c>
      <c r="D2369" s="8" t="s">
        <v>164</v>
      </c>
      <c r="E2369" s="8" t="s">
        <v>40</v>
      </c>
    </row>
    <row r="2370" spans="1:5">
      <c r="A2370" s="8">
        <v>5576</v>
      </c>
      <c r="B2370" s="8" t="s">
        <v>3882</v>
      </c>
      <c r="C2370" s="8" t="s">
        <v>3883</v>
      </c>
      <c r="D2370" s="8" t="s">
        <v>213</v>
      </c>
      <c r="E2370" s="8" t="s">
        <v>40</v>
      </c>
    </row>
    <row r="2371" spans="1:5">
      <c r="A2371" s="8">
        <v>5577</v>
      </c>
      <c r="B2371" s="8" t="s">
        <v>3884</v>
      </c>
      <c r="C2371" s="8" t="s">
        <v>1114</v>
      </c>
      <c r="D2371" s="8" t="s">
        <v>39</v>
      </c>
      <c r="E2371" s="8" t="s">
        <v>40</v>
      </c>
    </row>
    <row r="2372" spans="1:5">
      <c r="A2372" s="8">
        <v>5578</v>
      </c>
      <c r="B2372" s="8" t="s">
        <v>3885</v>
      </c>
      <c r="C2372" s="8" t="s">
        <v>1015</v>
      </c>
      <c r="D2372" s="8" t="s">
        <v>69</v>
      </c>
      <c r="E2372" s="8" t="s">
        <v>40</v>
      </c>
    </row>
    <row r="2373" spans="1:5">
      <c r="A2373" s="8">
        <v>5582</v>
      </c>
      <c r="B2373" s="8" t="s">
        <v>3886</v>
      </c>
      <c r="C2373" s="8" t="s">
        <v>3887</v>
      </c>
      <c r="D2373" s="8" t="s">
        <v>630</v>
      </c>
      <c r="E2373" s="8" t="s">
        <v>40</v>
      </c>
    </row>
    <row r="2374" spans="1:5">
      <c r="A2374" s="8">
        <v>5583</v>
      </c>
      <c r="B2374" s="8" t="s">
        <v>3888</v>
      </c>
      <c r="C2374" s="8" t="s">
        <v>690</v>
      </c>
      <c r="D2374" s="8" t="s">
        <v>691</v>
      </c>
      <c r="E2374" s="8" t="s">
        <v>40</v>
      </c>
    </row>
    <row r="2375" spans="1:5">
      <c r="A2375" s="8">
        <v>5584</v>
      </c>
      <c r="B2375" s="8" t="s">
        <v>3889</v>
      </c>
      <c r="C2375" s="8" t="s">
        <v>3890</v>
      </c>
      <c r="D2375" s="8" t="s">
        <v>2803</v>
      </c>
      <c r="E2375" s="8" t="s">
        <v>1995</v>
      </c>
    </row>
    <row r="2376" spans="1:5">
      <c r="A2376" s="8">
        <v>5586</v>
      </c>
      <c r="B2376" s="8" t="s">
        <v>3891</v>
      </c>
      <c r="C2376" s="8" t="s">
        <v>3892</v>
      </c>
      <c r="D2376" s="8" t="s">
        <v>132</v>
      </c>
      <c r="E2376" s="8" t="s">
        <v>40</v>
      </c>
    </row>
    <row r="2377" spans="1:5">
      <c r="A2377" s="8">
        <v>5587</v>
      </c>
      <c r="B2377" s="8" t="s">
        <v>484</v>
      </c>
      <c r="C2377" s="8" t="s">
        <v>537</v>
      </c>
      <c r="D2377" s="8" t="s">
        <v>159</v>
      </c>
      <c r="E2377" s="8" t="s">
        <v>40</v>
      </c>
    </row>
    <row r="2378" spans="1:5">
      <c r="A2378" s="8">
        <v>5588</v>
      </c>
      <c r="B2378" s="8" t="s">
        <v>3893</v>
      </c>
      <c r="C2378" s="8" t="s">
        <v>458</v>
      </c>
      <c r="D2378" s="8" t="s">
        <v>264</v>
      </c>
      <c r="E2378" s="8" t="s">
        <v>40</v>
      </c>
    </row>
    <row r="2379" spans="1:5">
      <c r="A2379" s="8">
        <v>5589</v>
      </c>
      <c r="B2379" s="8" t="s">
        <v>903</v>
      </c>
      <c r="C2379" s="8" t="s">
        <v>3894</v>
      </c>
      <c r="D2379" s="8" t="s">
        <v>238</v>
      </c>
      <c r="E2379" s="8" t="s">
        <v>239</v>
      </c>
    </row>
    <row r="2380" spans="1:5">
      <c r="A2380" s="8">
        <v>5590</v>
      </c>
      <c r="B2380" s="8" t="s">
        <v>3895</v>
      </c>
      <c r="C2380" s="8" t="s">
        <v>2646</v>
      </c>
      <c r="D2380" s="8" t="s">
        <v>54</v>
      </c>
      <c r="E2380" s="8" t="s">
        <v>40</v>
      </c>
    </row>
    <row r="2381" spans="1:5">
      <c r="A2381" s="8">
        <v>5593</v>
      </c>
      <c r="B2381" s="8" t="s">
        <v>3896</v>
      </c>
      <c r="C2381" s="8" t="s">
        <v>3897</v>
      </c>
      <c r="D2381" s="8" t="s">
        <v>3898</v>
      </c>
      <c r="E2381" s="8" t="s">
        <v>1995</v>
      </c>
    </row>
    <row r="2382" spans="1:5">
      <c r="A2382" s="8">
        <v>5595</v>
      </c>
      <c r="B2382" s="8" t="s">
        <v>3899</v>
      </c>
      <c r="C2382" s="8" t="s">
        <v>3900</v>
      </c>
      <c r="D2382" s="8" t="s">
        <v>132</v>
      </c>
      <c r="E2382" s="8" t="s">
        <v>40</v>
      </c>
    </row>
    <row r="2383" spans="1:5">
      <c r="A2383" s="8">
        <v>5596</v>
      </c>
      <c r="B2383" s="8" t="s">
        <v>1170</v>
      </c>
      <c r="C2383" s="8" t="s">
        <v>237</v>
      </c>
      <c r="D2383" s="8" t="s">
        <v>238</v>
      </c>
      <c r="E2383" s="8" t="s">
        <v>239</v>
      </c>
    </row>
    <row r="2384" spans="1:5">
      <c r="A2384" s="8">
        <v>5599</v>
      </c>
      <c r="B2384" s="8" t="s">
        <v>3901</v>
      </c>
      <c r="C2384" s="8" t="s">
        <v>3902</v>
      </c>
      <c r="D2384" s="8" t="s">
        <v>54</v>
      </c>
      <c r="E2384" s="8" t="s">
        <v>40</v>
      </c>
    </row>
    <row r="2385" spans="1:5">
      <c r="A2385" s="8">
        <v>5600</v>
      </c>
      <c r="B2385" s="8" t="s">
        <v>3903</v>
      </c>
      <c r="C2385" s="8" t="s">
        <v>3749</v>
      </c>
      <c r="D2385" s="8" t="s">
        <v>3749</v>
      </c>
      <c r="E2385" s="8" t="s">
        <v>3670</v>
      </c>
    </row>
    <row r="2386" spans="1:5">
      <c r="A2386" s="8">
        <v>5601</v>
      </c>
      <c r="B2386" s="8" t="s">
        <v>3904</v>
      </c>
      <c r="C2386" s="8" t="s">
        <v>3821</v>
      </c>
      <c r="D2386" s="8" t="s">
        <v>3821</v>
      </c>
      <c r="E2386" s="8" t="s">
        <v>3670</v>
      </c>
    </row>
    <row r="2387" spans="1:5">
      <c r="A2387" s="8">
        <v>5603</v>
      </c>
      <c r="B2387" s="8" t="s">
        <v>3905</v>
      </c>
      <c r="C2387" s="8" t="s">
        <v>1839</v>
      </c>
      <c r="D2387" s="8" t="s">
        <v>39</v>
      </c>
      <c r="E2387" s="8" t="s">
        <v>40</v>
      </c>
    </row>
    <row r="2388" spans="1:5">
      <c r="A2388" s="8">
        <v>5605</v>
      </c>
      <c r="B2388" s="8" t="s">
        <v>3906</v>
      </c>
      <c r="C2388" s="8" t="s">
        <v>3907</v>
      </c>
      <c r="D2388" s="8" t="s">
        <v>3908</v>
      </c>
      <c r="E2388" s="8" t="s">
        <v>3670</v>
      </c>
    </row>
    <row r="2389" spans="1:5">
      <c r="A2389" s="8">
        <v>5606</v>
      </c>
      <c r="B2389" s="8" t="s">
        <v>3909</v>
      </c>
      <c r="C2389" s="8" t="s">
        <v>3910</v>
      </c>
      <c r="D2389" s="8" t="s">
        <v>3911</v>
      </c>
      <c r="E2389" s="8" t="s">
        <v>3670</v>
      </c>
    </row>
    <row r="2390" spans="1:5">
      <c r="A2390" s="8">
        <v>5607</v>
      </c>
      <c r="B2390" s="8" t="s">
        <v>3912</v>
      </c>
      <c r="C2390" s="8" t="s">
        <v>428</v>
      </c>
      <c r="D2390" s="8" t="s">
        <v>429</v>
      </c>
      <c r="E2390" s="8" t="s">
        <v>40</v>
      </c>
    </row>
    <row r="2391" spans="1:5">
      <c r="A2391" s="8">
        <v>5608</v>
      </c>
      <c r="B2391" s="8" t="s">
        <v>3913</v>
      </c>
      <c r="C2391" s="8" t="s">
        <v>734</v>
      </c>
      <c r="D2391" s="8" t="s">
        <v>630</v>
      </c>
      <c r="E2391" s="8" t="s">
        <v>40</v>
      </c>
    </row>
    <row r="2392" spans="1:5">
      <c r="A2392" s="8">
        <v>5610</v>
      </c>
      <c r="B2392" s="8" t="s">
        <v>3914</v>
      </c>
      <c r="C2392" s="8" t="s">
        <v>3915</v>
      </c>
      <c r="D2392" s="8" t="s">
        <v>39</v>
      </c>
      <c r="E2392" s="8" t="s">
        <v>40</v>
      </c>
    </row>
    <row r="2393" spans="1:5">
      <c r="A2393" s="8">
        <v>5611</v>
      </c>
      <c r="B2393" s="8" t="s">
        <v>3916</v>
      </c>
      <c r="C2393" s="8" t="s">
        <v>3917</v>
      </c>
      <c r="D2393" s="8" t="s">
        <v>69</v>
      </c>
      <c r="E2393" s="8" t="s">
        <v>40</v>
      </c>
    </row>
    <row r="2394" spans="1:5">
      <c r="A2394" s="8">
        <v>5612</v>
      </c>
      <c r="B2394" s="8" t="s">
        <v>2401</v>
      </c>
      <c r="C2394" s="8" t="s">
        <v>3824</v>
      </c>
      <c r="D2394" s="8" t="s">
        <v>39</v>
      </c>
      <c r="E2394" s="8" t="s">
        <v>40</v>
      </c>
    </row>
    <row r="2395" spans="1:5">
      <c r="A2395" s="8">
        <v>5613</v>
      </c>
      <c r="B2395" s="8" t="s">
        <v>3918</v>
      </c>
      <c r="C2395" s="8" t="s">
        <v>3919</v>
      </c>
      <c r="D2395" s="8" t="s">
        <v>809</v>
      </c>
      <c r="E2395" s="8" t="s">
        <v>40</v>
      </c>
    </row>
    <row r="2396" spans="1:5">
      <c r="A2396" s="8">
        <v>5614</v>
      </c>
      <c r="B2396" s="8" t="s">
        <v>3920</v>
      </c>
      <c r="C2396" s="8" t="s">
        <v>3921</v>
      </c>
      <c r="D2396" s="8" t="s">
        <v>1031</v>
      </c>
      <c r="E2396" s="8" t="s">
        <v>1026</v>
      </c>
    </row>
    <row r="2397" spans="1:5">
      <c r="A2397" s="8">
        <v>5616</v>
      </c>
      <c r="B2397" s="8" t="s">
        <v>3922</v>
      </c>
      <c r="C2397" s="8" t="s">
        <v>3923</v>
      </c>
      <c r="D2397" s="8" t="s">
        <v>57</v>
      </c>
      <c r="E2397" s="8" t="s">
        <v>40</v>
      </c>
    </row>
    <row r="2398" spans="1:5">
      <c r="A2398" s="8">
        <v>5618</v>
      </c>
      <c r="B2398" s="8" t="s">
        <v>3924</v>
      </c>
      <c r="C2398" s="8" t="s">
        <v>3925</v>
      </c>
      <c r="D2398" s="8" t="s">
        <v>335</v>
      </c>
      <c r="E2398" s="8" t="s">
        <v>239</v>
      </c>
    </row>
    <row r="2399" spans="1:5">
      <c r="A2399" s="8">
        <v>5619</v>
      </c>
      <c r="B2399" s="8" t="s">
        <v>3926</v>
      </c>
      <c r="C2399" s="8" t="s">
        <v>1114</v>
      </c>
      <c r="D2399" s="8" t="s">
        <v>39</v>
      </c>
      <c r="E2399" s="8" t="s">
        <v>40</v>
      </c>
    </row>
    <row r="2400" spans="1:5">
      <c r="A2400" s="8">
        <v>5621</v>
      </c>
      <c r="B2400" s="8" t="s">
        <v>3927</v>
      </c>
      <c r="C2400" s="8" t="s">
        <v>1488</v>
      </c>
      <c r="D2400" s="8" t="s">
        <v>69</v>
      </c>
      <c r="E2400" s="8" t="s">
        <v>40</v>
      </c>
    </row>
    <row r="2401" spans="1:5">
      <c r="A2401" s="8">
        <v>5622</v>
      </c>
      <c r="B2401" s="8" t="s">
        <v>3928</v>
      </c>
      <c r="C2401" s="8" t="s">
        <v>3929</v>
      </c>
      <c r="D2401" s="8" t="s">
        <v>39</v>
      </c>
      <c r="E2401" s="8" t="s">
        <v>40</v>
      </c>
    </row>
    <row r="2402" spans="1:5">
      <c r="A2402" s="8">
        <v>5623</v>
      </c>
      <c r="B2402" s="8" t="s">
        <v>3930</v>
      </c>
      <c r="C2402" s="8" t="s">
        <v>2806</v>
      </c>
      <c r="D2402" s="8" t="s">
        <v>39</v>
      </c>
      <c r="E2402" s="8" t="s">
        <v>40</v>
      </c>
    </row>
    <row r="2403" spans="1:5">
      <c r="A2403" s="8">
        <v>5624</v>
      </c>
      <c r="B2403" s="8" t="s">
        <v>3931</v>
      </c>
      <c r="C2403" s="8" t="s">
        <v>3932</v>
      </c>
      <c r="D2403" s="8" t="s">
        <v>48</v>
      </c>
      <c r="E2403" s="8" t="s">
        <v>40</v>
      </c>
    </row>
    <row r="2404" spans="1:5">
      <c r="A2404" s="8">
        <v>5625</v>
      </c>
      <c r="B2404" s="8" t="s">
        <v>3933</v>
      </c>
      <c r="C2404" s="8" t="s">
        <v>1528</v>
      </c>
      <c r="D2404" s="8" t="s">
        <v>388</v>
      </c>
      <c r="E2404" s="8" t="s">
        <v>40</v>
      </c>
    </row>
    <row r="2405" spans="1:5">
      <c r="A2405" s="8">
        <v>5626</v>
      </c>
      <c r="B2405" s="8" t="s">
        <v>3934</v>
      </c>
      <c r="C2405" s="8" t="s">
        <v>3935</v>
      </c>
      <c r="D2405" s="8" t="s">
        <v>1221</v>
      </c>
      <c r="E2405" s="8" t="s">
        <v>40</v>
      </c>
    </row>
    <row r="2406" spans="1:5">
      <c r="A2406" s="8">
        <v>5627</v>
      </c>
      <c r="B2406" s="8" t="s">
        <v>3936</v>
      </c>
      <c r="C2406" s="8" t="s">
        <v>858</v>
      </c>
      <c r="D2406" s="8" t="s">
        <v>43</v>
      </c>
      <c r="E2406" s="8" t="s">
        <v>40</v>
      </c>
    </row>
    <row r="2407" spans="1:5">
      <c r="A2407" s="8">
        <v>5630</v>
      </c>
      <c r="B2407" s="8" t="s">
        <v>3937</v>
      </c>
      <c r="C2407" s="8" t="s">
        <v>963</v>
      </c>
      <c r="D2407" s="8" t="s">
        <v>964</v>
      </c>
      <c r="E2407" s="8" t="s">
        <v>239</v>
      </c>
    </row>
    <row r="2408" spans="1:5">
      <c r="A2408" s="8">
        <v>5632</v>
      </c>
      <c r="B2408" s="8" t="s">
        <v>3938</v>
      </c>
      <c r="C2408" s="8" t="s">
        <v>3939</v>
      </c>
      <c r="D2408" s="8" t="s">
        <v>630</v>
      </c>
      <c r="E2408" s="8" t="s">
        <v>40</v>
      </c>
    </row>
    <row r="2409" spans="1:5">
      <c r="A2409" s="8">
        <v>5633</v>
      </c>
      <c r="B2409" s="8" t="s">
        <v>3940</v>
      </c>
      <c r="C2409" s="8" t="s">
        <v>3941</v>
      </c>
      <c r="D2409" s="8" t="s">
        <v>87</v>
      </c>
      <c r="E2409" s="8" t="s">
        <v>40</v>
      </c>
    </row>
    <row r="2410" spans="1:5">
      <c r="A2410" s="8">
        <v>5634</v>
      </c>
      <c r="B2410" s="8" t="s">
        <v>3942</v>
      </c>
      <c r="C2410" s="8" t="s">
        <v>1398</v>
      </c>
      <c r="D2410" s="8" t="s">
        <v>43</v>
      </c>
      <c r="E2410" s="8" t="s">
        <v>40</v>
      </c>
    </row>
    <row r="2411" spans="1:5">
      <c r="A2411" s="8">
        <v>5635</v>
      </c>
      <c r="B2411" s="8" t="s">
        <v>3943</v>
      </c>
      <c r="C2411" s="8" t="s">
        <v>3944</v>
      </c>
      <c r="D2411" s="8" t="s">
        <v>1034</v>
      </c>
      <c r="E2411" s="8" t="s">
        <v>1026</v>
      </c>
    </row>
    <row r="2412" spans="1:5">
      <c r="A2412" s="8">
        <v>5636</v>
      </c>
      <c r="B2412" s="8" t="s">
        <v>3945</v>
      </c>
      <c r="C2412" s="8" t="s">
        <v>3946</v>
      </c>
      <c r="D2412" s="8" t="s">
        <v>1025</v>
      </c>
      <c r="E2412" s="8" t="s">
        <v>1026</v>
      </c>
    </row>
    <row r="2413" spans="1:5">
      <c r="A2413" s="8">
        <v>5637</v>
      </c>
      <c r="B2413" s="8" t="s">
        <v>3947</v>
      </c>
      <c r="C2413" s="8" t="s">
        <v>1364</v>
      </c>
      <c r="D2413" s="8" t="s">
        <v>1221</v>
      </c>
      <c r="E2413" s="8" t="s">
        <v>40</v>
      </c>
    </row>
    <row r="2414" spans="1:5">
      <c r="A2414" s="8">
        <v>5638</v>
      </c>
      <c r="B2414" s="8" t="s">
        <v>3948</v>
      </c>
      <c r="C2414" s="8" t="s">
        <v>881</v>
      </c>
      <c r="D2414" s="8" t="s">
        <v>1221</v>
      </c>
      <c r="E2414" s="8" t="s">
        <v>40</v>
      </c>
    </row>
    <row r="2415" spans="1:5">
      <c r="A2415" s="8">
        <v>5641</v>
      </c>
      <c r="B2415" s="8" t="s">
        <v>3949</v>
      </c>
      <c r="C2415" s="8" t="s">
        <v>3313</v>
      </c>
      <c r="D2415" s="8" t="s">
        <v>39</v>
      </c>
      <c r="E2415" s="8" t="s">
        <v>40</v>
      </c>
    </row>
    <row r="2416" spans="1:5">
      <c r="A2416" s="8">
        <v>5642</v>
      </c>
      <c r="B2416" s="8" t="s">
        <v>3950</v>
      </c>
      <c r="C2416" s="8" t="s">
        <v>1114</v>
      </c>
      <c r="D2416" s="8" t="s">
        <v>39</v>
      </c>
      <c r="E2416" s="8" t="s">
        <v>40</v>
      </c>
    </row>
    <row r="2417" spans="1:5">
      <c r="A2417" s="8">
        <v>5648</v>
      </c>
      <c r="B2417" s="8" t="s">
        <v>3951</v>
      </c>
      <c r="C2417" s="8" t="s">
        <v>3952</v>
      </c>
      <c r="D2417" s="8" t="s">
        <v>2803</v>
      </c>
      <c r="E2417" s="8" t="s">
        <v>1995</v>
      </c>
    </row>
    <row r="2418" spans="1:5">
      <c r="A2418" s="8">
        <v>5651</v>
      </c>
      <c r="B2418" s="8" t="s">
        <v>3953</v>
      </c>
      <c r="C2418" s="8" t="s">
        <v>934</v>
      </c>
      <c r="D2418" s="8" t="s">
        <v>630</v>
      </c>
      <c r="E2418" s="8" t="s">
        <v>40</v>
      </c>
    </row>
    <row r="2419" spans="1:5">
      <c r="A2419" s="8">
        <v>5653</v>
      </c>
      <c r="B2419" s="8" t="s">
        <v>3954</v>
      </c>
      <c r="C2419" s="8" t="s">
        <v>3955</v>
      </c>
      <c r="D2419" s="8" t="s">
        <v>1221</v>
      </c>
      <c r="E2419" s="8" t="s">
        <v>40</v>
      </c>
    </row>
    <row r="2420" spans="1:5">
      <c r="A2420" s="8">
        <v>5654</v>
      </c>
      <c r="B2420" s="8" t="s">
        <v>641</v>
      </c>
      <c r="C2420" s="8" t="s">
        <v>3956</v>
      </c>
      <c r="D2420" s="8" t="s">
        <v>1037</v>
      </c>
      <c r="E2420" s="8" t="s">
        <v>1026</v>
      </c>
    </row>
    <row r="2421" spans="1:5">
      <c r="A2421" s="8">
        <v>5655</v>
      </c>
      <c r="B2421" s="8" t="s">
        <v>3957</v>
      </c>
      <c r="C2421" s="8" t="s">
        <v>1834</v>
      </c>
      <c r="D2421" s="8" t="s">
        <v>1834</v>
      </c>
      <c r="E2421" s="8" t="s">
        <v>1835</v>
      </c>
    </row>
    <row r="2422" spans="1:5">
      <c r="A2422" s="8">
        <v>5657</v>
      </c>
      <c r="B2422" s="8" t="s">
        <v>3958</v>
      </c>
      <c r="C2422" s="8" t="s">
        <v>3959</v>
      </c>
      <c r="D2422" s="8" t="s">
        <v>654</v>
      </c>
      <c r="E2422" s="8" t="s">
        <v>40</v>
      </c>
    </row>
    <row r="2423" spans="1:5">
      <c r="A2423" s="8">
        <v>5658</v>
      </c>
      <c r="B2423" s="8" t="s">
        <v>3960</v>
      </c>
      <c r="C2423" s="8" t="s">
        <v>3961</v>
      </c>
      <c r="D2423" s="8" t="s">
        <v>1221</v>
      </c>
      <c r="E2423" s="8" t="s">
        <v>40</v>
      </c>
    </row>
    <row r="2424" spans="1:5">
      <c r="A2424" s="8">
        <v>5659</v>
      </c>
      <c r="B2424" s="8" t="s">
        <v>3962</v>
      </c>
      <c r="C2424" s="8" t="s">
        <v>3963</v>
      </c>
      <c r="D2424" s="8" t="s">
        <v>54</v>
      </c>
      <c r="E2424" s="8" t="s">
        <v>40</v>
      </c>
    </row>
    <row r="2425" spans="1:5">
      <c r="A2425" s="8">
        <v>5660</v>
      </c>
      <c r="B2425" s="8" t="s">
        <v>3964</v>
      </c>
      <c r="C2425" s="8" t="s">
        <v>3824</v>
      </c>
      <c r="D2425" s="8" t="s">
        <v>39</v>
      </c>
      <c r="E2425" s="8" t="s">
        <v>40</v>
      </c>
    </row>
    <row r="2426" spans="1:5">
      <c r="A2426" s="8">
        <v>5661</v>
      </c>
      <c r="B2426" s="8" t="s">
        <v>3464</v>
      </c>
      <c r="C2426" s="8" t="s">
        <v>3965</v>
      </c>
      <c r="D2426" s="8" t="s">
        <v>39</v>
      </c>
      <c r="E2426" s="8" t="s">
        <v>40</v>
      </c>
    </row>
    <row r="2427" spans="1:5">
      <c r="A2427" s="8">
        <v>5662</v>
      </c>
      <c r="B2427" s="8" t="s">
        <v>3966</v>
      </c>
      <c r="C2427" s="8" t="s">
        <v>3967</v>
      </c>
      <c r="D2427" s="8" t="s">
        <v>39</v>
      </c>
      <c r="E2427" s="8" t="s">
        <v>40</v>
      </c>
    </row>
    <row r="2428" spans="1:5">
      <c r="A2428" s="8">
        <v>5663</v>
      </c>
      <c r="B2428" s="8" t="s">
        <v>3968</v>
      </c>
      <c r="C2428" s="8" t="s">
        <v>3689</v>
      </c>
      <c r="D2428" s="8" t="s">
        <v>3690</v>
      </c>
      <c r="E2428" s="8" t="s">
        <v>1995</v>
      </c>
    </row>
    <row r="2429" spans="1:5">
      <c r="A2429" s="8">
        <v>5664</v>
      </c>
      <c r="B2429" s="8" t="s">
        <v>3969</v>
      </c>
      <c r="C2429" s="8" t="s">
        <v>2340</v>
      </c>
      <c r="D2429" s="8" t="s">
        <v>39</v>
      </c>
      <c r="E2429" s="8" t="s">
        <v>40</v>
      </c>
    </row>
    <row r="2430" spans="1:5">
      <c r="A2430" s="8">
        <v>5665</v>
      </c>
      <c r="B2430" s="8" t="s">
        <v>3970</v>
      </c>
      <c r="C2430" s="8" t="s">
        <v>1834</v>
      </c>
      <c r="D2430" s="8" t="s">
        <v>1834</v>
      </c>
      <c r="E2430" s="8" t="s">
        <v>1835</v>
      </c>
    </row>
    <row r="2431" spans="1:5">
      <c r="A2431" s="8">
        <v>5666</v>
      </c>
      <c r="B2431" s="8" t="s">
        <v>3971</v>
      </c>
      <c r="C2431" s="8" t="s">
        <v>1302</v>
      </c>
      <c r="D2431" s="8" t="s">
        <v>48</v>
      </c>
      <c r="E2431" s="8" t="s">
        <v>40</v>
      </c>
    </row>
    <row r="2432" spans="1:5">
      <c r="A2432" s="8">
        <v>5667</v>
      </c>
      <c r="B2432" s="8" t="s">
        <v>3972</v>
      </c>
      <c r="C2432" s="8" t="s">
        <v>3973</v>
      </c>
      <c r="D2432" s="8" t="s">
        <v>81</v>
      </c>
      <c r="E2432" s="8" t="s">
        <v>40</v>
      </c>
    </row>
    <row r="2433" spans="1:5">
      <c r="A2433" s="8">
        <v>5669</v>
      </c>
      <c r="B2433" s="8" t="s">
        <v>3974</v>
      </c>
      <c r="C2433" s="8" t="s">
        <v>3975</v>
      </c>
      <c r="D2433" s="8" t="s">
        <v>43</v>
      </c>
      <c r="E2433" s="8" t="s">
        <v>40</v>
      </c>
    </row>
    <row r="2434" spans="1:5">
      <c r="A2434" s="8">
        <v>5672</v>
      </c>
      <c r="B2434" s="8" t="s">
        <v>3976</v>
      </c>
      <c r="C2434" s="8" t="s">
        <v>3977</v>
      </c>
      <c r="D2434" s="8" t="s">
        <v>238</v>
      </c>
      <c r="E2434" s="8" t="s">
        <v>239</v>
      </c>
    </row>
    <row r="2435" spans="1:5">
      <c r="A2435" s="8">
        <v>5674</v>
      </c>
      <c r="B2435" s="8" t="s">
        <v>3978</v>
      </c>
      <c r="C2435" s="8" t="s">
        <v>3979</v>
      </c>
      <c r="D2435" s="8" t="s">
        <v>39</v>
      </c>
      <c r="E2435" s="8" t="s">
        <v>40</v>
      </c>
    </row>
    <row r="2436" spans="1:5">
      <c r="A2436" s="8">
        <v>5675</v>
      </c>
      <c r="B2436" s="8" t="s">
        <v>1518</v>
      </c>
      <c r="C2436" s="8" t="s">
        <v>3980</v>
      </c>
      <c r="D2436" s="8" t="s">
        <v>39</v>
      </c>
      <c r="E2436" s="8" t="s">
        <v>40</v>
      </c>
    </row>
    <row r="2437" spans="1:5">
      <c r="A2437" s="8">
        <v>5676</v>
      </c>
      <c r="B2437" s="8" t="s">
        <v>3981</v>
      </c>
      <c r="C2437" s="8" t="s">
        <v>3982</v>
      </c>
      <c r="D2437" s="8" t="s">
        <v>39</v>
      </c>
      <c r="E2437" s="8" t="s">
        <v>40</v>
      </c>
    </row>
    <row r="2438" spans="1:5">
      <c r="A2438" s="8">
        <v>5678</v>
      </c>
      <c r="B2438" s="8" t="s">
        <v>3983</v>
      </c>
      <c r="C2438" s="8" t="s">
        <v>3984</v>
      </c>
      <c r="D2438" s="8" t="s">
        <v>43</v>
      </c>
      <c r="E2438" s="8" t="s">
        <v>40</v>
      </c>
    </row>
    <row r="2439" spans="1:5">
      <c r="A2439" s="8">
        <v>5679</v>
      </c>
      <c r="B2439" s="8" t="s">
        <v>3985</v>
      </c>
      <c r="C2439" s="8" t="s">
        <v>3986</v>
      </c>
      <c r="D2439" s="8" t="s">
        <v>429</v>
      </c>
      <c r="E2439" s="8" t="s">
        <v>40</v>
      </c>
    </row>
    <row r="2440" spans="1:5">
      <c r="A2440" s="8">
        <v>5681</v>
      </c>
      <c r="B2440" s="8" t="s">
        <v>3987</v>
      </c>
      <c r="C2440" s="8" t="s">
        <v>445</v>
      </c>
      <c r="D2440" s="8" t="s">
        <v>164</v>
      </c>
      <c r="E2440" s="8" t="s">
        <v>40</v>
      </c>
    </row>
    <row r="2441" spans="1:5">
      <c r="A2441" s="8">
        <v>5682</v>
      </c>
      <c r="B2441" s="8" t="s">
        <v>3988</v>
      </c>
      <c r="C2441" s="8" t="s">
        <v>3989</v>
      </c>
      <c r="D2441" s="8" t="s">
        <v>164</v>
      </c>
      <c r="E2441" s="8" t="s">
        <v>40</v>
      </c>
    </row>
    <row r="2442" spans="1:5">
      <c r="A2442" s="8">
        <v>5683</v>
      </c>
      <c r="B2442" s="8" t="s">
        <v>3990</v>
      </c>
      <c r="C2442" s="8" t="s">
        <v>1839</v>
      </c>
      <c r="D2442" s="8" t="s">
        <v>264</v>
      </c>
      <c r="E2442" s="8" t="s">
        <v>40</v>
      </c>
    </row>
    <row r="2443" spans="1:5">
      <c r="A2443" s="8">
        <v>5684</v>
      </c>
      <c r="B2443" s="8" t="s">
        <v>3991</v>
      </c>
      <c r="C2443" s="8" t="s">
        <v>1302</v>
      </c>
      <c r="D2443" s="8" t="s">
        <v>48</v>
      </c>
      <c r="E2443" s="8" t="s">
        <v>40</v>
      </c>
    </row>
    <row r="2444" spans="1:5">
      <c r="A2444" s="8">
        <v>5685</v>
      </c>
      <c r="B2444" s="8" t="s">
        <v>3992</v>
      </c>
      <c r="C2444" s="8" t="s">
        <v>2157</v>
      </c>
      <c r="D2444" s="8" t="s">
        <v>39</v>
      </c>
      <c r="E2444" s="8" t="s">
        <v>40</v>
      </c>
    </row>
    <row r="2445" spans="1:5">
      <c r="A2445" s="8">
        <v>5686</v>
      </c>
      <c r="B2445" s="8" t="s">
        <v>3993</v>
      </c>
      <c r="C2445" s="8" t="s">
        <v>2237</v>
      </c>
      <c r="D2445" s="8" t="s">
        <v>201</v>
      </c>
      <c r="E2445" s="8" t="s">
        <v>40</v>
      </c>
    </row>
    <row r="2446" spans="1:5">
      <c r="A2446" s="8">
        <v>5687</v>
      </c>
      <c r="B2446" s="8" t="s">
        <v>3994</v>
      </c>
      <c r="C2446" s="8" t="s">
        <v>944</v>
      </c>
      <c r="D2446" s="8" t="s">
        <v>87</v>
      </c>
      <c r="E2446" s="8" t="s">
        <v>40</v>
      </c>
    </row>
    <row r="2447" spans="1:5">
      <c r="A2447" s="8">
        <v>5688</v>
      </c>
      <c r="B2447" s="8" t="s">
        <v>3995</v>
      </c>
      <c r="C2447" s="8" t="s">
        <v>2042</v>
      </c>
      <c r="D2447" s="8" t="s">
        <v>39</v>
      </c>
      <c r="E2447" s="8" t="s">
        <v>40</v>
      </c>
    </row>
    <row r="2448" spans="1:5">
      <c r="A2448" s="8">
        <v>5689</v>
      </c>
      <c r="B2448" s="8" t="s">
        <v>3996</v>
      </c>
      <c r="C2448" s="8" t="s">
        <v>3997</v>
      </c>
      <c r="D2448" s="8" t="s">
        <v>238</v>
      </c>
      <c r="E2448" s="8" t="s">
        <v>239</v>
      </c>
    </row>
    <row r="2449" spans="1:5">
      <c r="A2449" s="8">
        <v>5690</v>
      </c>
      <c r="B2449" s="8" t="s">
        <v>3998</v>
      </c>
      <c r="C2449" s="8" t="s">
        <v>3999</v>
      </c>
      <c r="D2449" s="8" t="s">
        <v>1221</v>
      </c>
      <c r="E2449" s="8" t="s">
        <v>40</v>
      </c>
    </row>
    <row r="2450" spans="1:5">
      <c r="A2450" s="8">
        <v>5695</v>
      </c>
      <c r="B2450" s="8" t="s">
        <v>4000</v>
      </c>
      <c r="C2450" s="8" t="s">
        <v>3304</v>
      </c>
      <c r="D2450" s="8" t="s">
        <v>39</v>
      </c>
      <c r="E2450" s="8" t="s">
        <v>40</v>
      </c>
    </row>
    <row r="2451" spans="1:5">
      <c r="A2451" s="8">
        <v>5696</v>
      </c>
      <c r="B2451" s="8" t="s">
        <v>4001</v>
      </c>
      <c r="C2451" s="8" t="s">
        <v>4002</v>
      </c>
      <c r="D2451" s="8" t="s">
        <v>4003</v>
      </c>
      <c r="E2451" s="8" t="s">
        <v>1461</v>
      </c>
    </row>
    <row r="2452" spans="1:5">
      <c r="A2452" s="8">
        <v>5697</v>
      </c>
      <c r="B2452" s="8" t="s">
        <v>3537</v>
      </c>
      <c r="C2452" s="8" t="s">
        <v>2390</v>
      </c>
      <c r="D2452" s="8" t="s">
        <v>39</v>
      </c>
      <c r="E2452" s="8" t="s">
        <v>40</v>
      </c>
    </row>
    <row r="2453" spans="1:5">
      <c r="A2453" s="8">
        <v>5699</v>
      </c>
      <c r="B2453" s="8" t="s">
        <v>4004</v>
      </c>
      <c r="C2453" s="8" t="s">
        <v>237</v>
      </c>
      <c r="D2453" s="8" t="s">
        <v>238</v>
      </c>
      <c r="E2453" s="8" t="s">
        <v>239</v>
      </c>
    </row>
    <row r="2454" spans="1:5">
      <c r="A2454" s="8">
        <v>5700</v>
      </c>
      <c r="B2454" s="8" t="s">
        <v>4005</v>
      </c>
      <c r="C2454" s="8" t="s">
        <v>2767</v>
      </c>
      <c r="D2454" s="8" t="s">
        <v>43</v>
      </c>
      <c r="E2454" s="8" t="s">
        <v>40</v>
      </c>
    </row>
    <row r="2455" spans="1:5">
      <c r="A2455" s="8">
        <v>5701</v>
      </c>
      <c r="B2455" s="8" t="s">
        <v>4006</v>
      </c>
      <c r="C2455" s="8" t="s">
        <v>4007</v>
      </c>
      <c r="D2455" s="8" t="s">
        <v>4008</v>
      </c>
      <c r="E2455" s="8" t="s">
        <v>4009</v>
      </c>
    </row>
    <row r="2456" spans="1:5">
      <c r="A2456" s="8">
        <v>5702</v>
      </c>
      <c r="B2456" s="8" t="s">
        <v>4010</v>
      </c>
      <c r="C2456" s="8" t="s">
        <v>4011</v>
      </c>
      <c r="D2456" s="8" t="s">
        <v>39</v>
      </c>
      <c r="E2456" s="8" t="s">
        <v>40</v>
      </c>
    </row>
    <row r="2457" spans="1:5">
      <c r="A2457" s="8">
        <v>5705</v>
      </c>
      <c r="B2457" s="8" t="s">
        <v>4012</v>
      </c>
      <c r="C2457" s="8" t="s">
        <v>2953</v>
      </c>
      <c r="D2457" s="8" t="s">
        <v>2298</v>
      </c>
      <c r="E2457" s="8" t="s">
        <v>1461</v>
      </c>
    </row>
    <row r="2458" spans="1:5">
      <c r="A2458" s="8">
        <v>5706</v>
      </c>
      <c r="B2458" s="8" t="s">
        <v>4013</v>
      </c>
      <c r="C2458" s="8" t="s">
        <v>4014</v>
      </c>
      <c r="D2458" s="8" t="s">
        <v>39</v>
      </c>
      <c r="E2458" s="8" t="s">
        <v>40</v>
      </c>
    </row>
    <row r="2459" spans="1:5">
      <c r="A2459" s="8">
        <v>5708</v>
      </c>
      <c r="B2459" s="8" t="s">
        <v>4015</v>
      </c>
      <c r="C2459" s="8" t="s">
        <v>627</v>
      </c>
      <c r="D2459" s="8" t="s">
        <v>39</v>
      </c>
      <c r="E2459" s="8" t="s">
        <v>40</v>
      </c>
    </row>
    <row r="2460" spans="1:5">
      <c r="A2460" s="8">
        <v>5709</v>
      </c>
      <c r="B2460" s="8" t="s">
        <v>4016</v>
      </c>
      <c r="C2460" s="8" t="s">
        <v>4017</v>
      </c>
      <c r="D2460" s="8" t="s">
        <v>39</v>
      </c>
      <c r="E2460" s="8" t="s">
        <v>40</v>
      </c>
    </row>
    <row r="2461" spans="1:5">
      <c r="A2461" s="8">
        <v>5710</v>
      </c>
      <c r="B2461" s="8" t="s">
        <v>4018</v>
      </c>
      <c r="C2461" s="8" t="s">
        <v>2281</v>
      </c>
      <c r="D2461" s="8" t="s">
        <v>39</v>
      </c>
      <c r="E2461" s="8" t="s">
        <v>40</v>
      </c>
    </row>
    <row r="2462" spans="1:5">
      <c r="A2462" s="8">
        <v>5712</v>
      </c>
      <c r="B2462" s="8" t="s">
        <v>4019</v>
      </c>
      <c r="C2462" s="8" t="s">
        <v>4020</v>
      </c>
      <c r="D2462" s="8" t="s">
        <v>39</v>
      </c>
      <c r="E2462" s="8" t="s">
        <v>40</v>
      </c>
    </row>
    <row r="2463" spans="1:5">
      <c r="A2463" s="8">
        <v>5713</v>
      </c>
      <c r="B2463" s="8" t="s">
        <v>4021</v>
      </c>
      <c r="C2463" s="8" t="s">
        <v>4022</v>
      </c>
      <c r="D2463" s="8" t="s">
        <v>39</v>
      </c>
      <c r="E2463" s="8" t="s">
        <v>40</v>
      </c>
    </row>
    <row r="2464" spans="1:5">
      <c r="A2464" s="8">
        <v>5714</v>
      </c>
      <c r="B2464" s="8" t="s">
        <v>4023</v>
      </c>
      <c r="C2464" s="8" t="s">
        <v>2942</v>
      </c>
      <c r="D2464" s="8" t="s">
        <v>39</v>
      </c>
      <c r="E2464" s="8" t="s">
        <v>40</v>
      </c>
    </row>
    <row r="2465" spans="1:5">
      <c r="A2465" s="8">
        <v>5715</v>
      </c>
      <c r="B2465" s="8" t="s">
        <v>4024</v>
      </c>
      <c r="C2465" s="8" t="s">
        <v>4025</v>
      </c>
      <c r="D2465" s="8" t="s">
        <v>1025</v>
      </c>
      <c r="E2465" s="8" t="s">
        <v>1026</v>
      </c>
    </row>
    <row r="2466" spans="1:5">
      <c r="A2466" s="8">
        <v>5716</v>
      </c>
      <c r="B2466" s="8" t="s">
        <v>4026</v>
      </c>
      <c r="C2466" s="8" t="s">
        <v>4027</v>
      </c>
      <c r="D2466" s="8" t="s">
        <v>1929</v>
      </c>
      <c r="E2466" s="8" t="s">
        <v>1461</v>
      </c>
    </row>
    <row r="2467" spans="1:5">
      <c r="A2467" s="8">
        <v>5719</v>
      </c>
      <c r="B2467" s="8" t="s">
        <v>4028</v>
      </c>
      <c r="C2467" s="8" t="s">
        <v>237</v>
      </c>
      <c r="D2467" s="8" t="s">
        <v>238</v>
      </c>
      <c r="E2467" s="8" t="s">
        <v>239</v>
      </c>
    </row>
    <row r="2468" spans="1:5">
      <c r="A2468" s="8">
        <v>5720</v>
      </c>
      <c r="B2468" s="8" t="s">
        <v>4029</v>
      </c>
      <c r="C2468" s="8" t="s">
        <v>4030</v>
      </c>
      <c r="D2468" s="8" t="s">
        <v>1221</v>
      </c>
      <c r="E2468" s="8" t="s">
        <v>40</v>
      </c>
    </row>
    <row r="2469" spans="1:5">
      <c r="A2469" s="8">
        <v>5721</v>
      </c>
      <c r="B2469" s="8" t="s">
        <v>4031</v>
      </c>
      <c r="C2469" s="8" t="s">
        <v>591</v>
      </c>
      <c r="D2469" s="8" t="s">
        <v>51</v>
      </c>
      <c r="E2469" s="8" t="s">
        <v>40</v>
      </c>
    </row>
    <row r="2470" spans="1:5">
      <c r="A2470" s="8">
        <v>5722</v>
      </c>
      <c r="B2470" s="8" t="s">
        <v>4032</v>
      </c>
      <c r="C2470" s="8" t="s">
        <v>4033</v>
      </c>
      <c r="D2470" s="8" t="s">
        <v>57</v>
      </c>
      <c r="E2470" s="8" t="s">
        <v>40</v>
      </c>
    </row>
    <row r="2471" spans="1:5">
      <c r="A2471" s="8">
        <v>5724</v>
      </c>
      <c r="B2471" s="8" t="s">
        <v>712</v>
      </c>
      <c r="C2471" s="8" t="s">
        <v>2213</v>
      </c>
      <c r="D2471" s="8" t="s">
        <v>159</v>
      </c>
      <c r="E2471" s="8" t="s">
        <v>40</v>
      </c>
    </row>
    <row r="2472" spans="1:5">
      <c r="A2472" s="8">
        <v>5725</v>
      </c>
      <c r="B2472" s="8" t="s">
        <v>4034</v>
      </c>
      <c r="C2472" s="8" t="s">
        <v>4035</v>
      </c>
      <c r="D2472" s="8" t="s">
        <v>964</v>
      </c>
      <c r="E2472" s="8" t="s">
        <v>239</v>
      </c>
    </row>
    <row r="2473" spans="1:5">
      <c r="A2473" s="8">
        <v>5726</v>
      </c>
      <c r="B2473" s="8" t="s">
        <v>4036</v>
      </c>
      <c r="C2473" s="8" t="s">
        <v>445</v>
      </c>
      <c r="D2473" s="8" t="s">
        <v>164</v>
      </c>
      <c r="E2473" s="8" t="s">
        <v>40</v>
      </c>
    </row>
    <row r="2474" spans="1:5">
      <c r="A2474" s="8">
        <v>5727</v>
      </c>
      <c r="B2474" s="8" t="s">
        <v>4037</v>
      </c>
      <c r="C2474" s="8" t="s">
        <v>4038</v>
      </c>
      <c r="D2474" s="8" t="s">
        <v>429</v>
      </c>
      <c r="E2474" s="8" t="s">
        <v>40</v>
      </c>
    </row>
    <row r="2475" spans="1:5">
      <c r="A2475" s="8">
        <v>5728</v>
      </c>
      <c r="B2475" s="8" t="s">
        <v>4039</v>
      </c>
      <c r="C2475" s="8" t="s">
        <v>4040</v>
      </c>
      <c r="D2475" s="8" t="s">
        <v>43</v>
      </c>
      <c r="E2475" s="8" t="s">
        <v>40</v>
      </c>
    </row>
    <row r="2476" spans="1:5">
      <c r="A2476" s="8">
        <v>5729</v>
      </c>
      <c r="B2476" s="8" t="s">
        <v>4041</v>
      </c>
      <c r="C2476" s="8" t="s">
        <v>4042</v>
      </c>
      <c r="D2476" s="8" t="s">
        <v>51</v>
      </c>
      <c r="E2476" s="8" t="s">
        <v>40</v>
      </c>
    </row>
    <row r="2477" spans="1:5">
      <c r="A2477" s="8">
        <v>5730</v>
      </c>
      <c r="B2477" s="8" t="s">
        <v>4043</v>
      </c>
      <c r="C2477" s="8" t="s">
        <v>4044</v>
      </c>
      <c r="D2477" s="8" t="s">
        <v>691</v>
      </c>
      <c r="E2477" s="8" t="s">
        <v>40</v>
      </c>
    </row>
    <row r="2478" spans="1:5">
      <c r="A2478" s="8">
        <v>5732</v>
      </c>
      <c r="B2478" s="8" t="s">
        <v>4045</v>
      </c>
      <c r="C2478" s="8" t="s">
        <v>4046</v>
      </c>
      <c r="D2478" s="8" t="s">
        <v>48</v>
      </c>
      <c r="E2478" s="8" t="s">
        <v>40</v>
      </c>
    </row>
    <row r="2479" spans="1:5">
      <c r="A2479" s="8">
        <v>5734</v>
      </c>
      <c r="B2479" s="8" t="s">
        <v>4047</v>
      </c>
      <c r="C2479" s="8" t="s">
        <v>778</v>
      </c>
      <c r="D2479" s="8" t="s">
        <v>630</v>
      </c>
      <c r="E2479" s="8" t="s">
        <v>40</v>
      </c>
    </row>
    <row r="2480" spans="1:5">
      <c r="A2480" s="8">
        <v>5735</v>
      </c>
      <c r="B2480" s="8" t="s">
        <v>4048</v>
      </c>
      <c r="C2480" s="8" t="s">
        <v>4049</v>
      </c>
      <c r="D2480" s="8" t="s">
        <v>60</v>
      </c>
      <c r="E2480" s="8" t="s">
        <v>40</v>
      </c>
    </row>
    <row r="2481" spans="1:5">
      <c r="A2481" s="8">
        <v>5736</v>
      </c>
      <c r="B2481" s="8" t="s">
        <v>4050</v>
      </c>
      <c r="C2481" s="8" t="s">
        <v>4051</v>
      </c>
      <c r="D2481" s="8" t="s">
        <v>54</v>
      </c>
      <c r="E2481" s="8" t="s">
        <v>40</v>
      </c>
    </row>
    <row r="2482" spans="1:5">
      <c r="A2482" s="8">
        <v>5737</v>
      </c>
      <c r="B2482" s="8" t="s">
        <v>4052</v>
      </c>
      <c r="C2482" s="8" t="s">
        <v>3749</v>
      </c>
      <c r="D2482" s="8" t="s">
        <v>3749</v>
      </c>
      <c r="E2482" s="8" t="s">
        <v>3670</v>
      </c>
    </row>
    <row r="2483" spans="1:5">
      <c r="A2483" s="8">
        <v>5740</v>
      </c>
      <c r="B2483" s="8" t="s">
        <v>4053</v>
      </c>
      <c r="C2483" s="8" t="s">
        <v>4054</v>
      </c>
      <c r="D2483" s="8" t="s">
        <v>97</v>
      </c>
      <c r="E2483" s="8" t="s">
        <v>40</v>
      </c>
    </row>
    <row r="2484" spans="1:5">
      <c r="A2484" s="8">
        <v>5744</v>
      </c>
      <c r="B2484" s="8" t="s">
        <v>4055</v>
      </c>
      <c r="C2484" s="8" t="s">
        <v>954</v>
      </c>
      <c r="D2484" s="8" t="s">
        <v>490</v>
      </c>
      <c r="E2484" s="8" t="s">
        <v>40</v>
      </c>
    </row>
    <row r="2485" spans="1:5">
      <c r="A2485" s="8">
        <v>5746</v>
      </c>
      <c r="B2485" s="8" t="s">
        <v>4056</v>
      </c>
      <c r="C2485" s="8" t="s">
        <v>4057</v>
      </c>
      <c r="D2485" s="8" t="s">
        <v>201</v>
      </c>
      <c r="E2485" s="8" t="s">
        <v>40</v>
      </c>
    </row>
    <row r="2486" spans="1:5">
      <c r="A2486" s="8">
        <v>5747</v>
      </c>
      <c r="B2486" s="8" t="s">
        <v>4058</v>
      </c>
      <c r="C2486" s="8" t="s">
        <v>4059</v>
      </c>
      <c r="D2486" s="8" t="s">
        <v>1037</v>
      </c>
      <c r="E2486" s="8" t="s">
        <v>1026</v>
      </c>
    </row>
    <row r="2487" spans="1:5">
      <c r="A2487" s="8">
        <v>5748</v>
      </c>
      <c r="B2487" s="8" t="s">
        <v>4060</v>
      </c>
      <c r="C2487" s="8" t="s">
        <v>4061</v>
      </c>
      <c r="D2487" s="8" t="s">
        <v>264</v>
      </c>
      <c r="E2487" s="8" t="s">
        <v>40</v>
      </c>
    </row>
    <row r="2488" spans="1:5">
      <c r="A2488" s="8">
        <v>5752</v>
      </c>
      <c r="B2488" s="8" t="s">
        <v>4062</v>
      </c>
      <c r="C2488" s="8" t="s">
        <v>4063</v>
      </c>
      <c r="D2488" s="8" t="s">
        <v>60</v>
      </c>
      <c r="E2488" s="8" t="s">
        <v>40</v>
      </c>
    </row>
    <row r="2489" spans="1:5">
      <c r="A2489" s="8">
        <v>5753</v>
      </c>
      <c r="B2489" s="8" t="s">
        <v>4064</v>
      </c>
      <c r="C2489" s="8" t="s">
        <v>4065</v>
      </c>
      <c r="D2489" s="8" t="s">
        <v>57</v>
      </c>
      <c r="E2489" s="8" t="s">
        <v>40</v>
      </c>
    </row>
    <row r="2490" spans="1:5">
      <c r="A2490" s="8">
        <v>5754</v>
      </c>
      <c r="B2490" s="8" t="s">
        <v>4066</v>
      </c>
      <c r="C2490" s="8" t="s">
        <v>445</v>
      </c>
      <c r="D2490" s="8" t="s">
        <v>164</v>
      </c>
      <c r="E2490" s="8" t="s">
        <v>40</v>
      </c>
    </row>
    <row r="2491" spans="1:5">
      <c r="A2491" s="8">
        <v>5756</v>
      </c>
      <c r="B2491" s="8" t="s">
        <v>4067</v>
      </c>
      <c r="C2491" s="8" t="s">
        <v>1114</v>
      </c>
      <c r="D2491" s="8" t="s">
        <v>39</v>
      </c>
      <c r="E2491" s="8" t="s">
        <v>40</v>
      </c>
    </row>
    <row r="2492" spans="1:5">
      <c r="A2492" s="8">
        <v>5762</v>
      </c>
      <c r="B2492" s="8" t="s">
        <v>4068</v>
      </c>
      <c r="C2492" s="8" t="s">
        <v>4069</v>
      </c>
      <c r="D2492" s="8" t="s">
        <v>429</v>
      </c>
      <c r="E2492" s="8" t="s">
        <v>40</v>
      </c>
    </row>
    <row r="2493" spans="1:5">
      <c r="A2493" s="8">
        <v>5763</v>
      </c>
      <c r="B2493" s="8" t="s">
        <v>655</v>
      </c>
      <c r="C2493" s="8" t="s">
        <v>4070</v>
      </c>
      <c r="D2493" s="8" t="s">
        <v>208</v>
      </c>
      <c r="E2493" s="8" t="s">
        <v>40</v>
      </c>
    </row>
    <row r="2494" spans="1:5">
      <c r="A2494" s="8">
        <v>5765</v>
      </c>
      <c r="B2494" s="8" t="s">
        <v>4071</v>
      </c>
      <c r="C2494" s="8" t="s">
        <v>523</v>
      </c>
      <c r="D2494" s="8" t="s">
        <v>43</v>
      </c>
      <c r="E2494" s="8" t="s">
        <v>40</v>
      </c>
    </row>
    <row r="2495" spans="1:5">
      <c r="A2495" s="8">
        <v>5773</v>
      </c>
      <c r="B2495" s="8" t="s">
        <v>4072</v>
      </c>
      <c r="C2495" s="8" t="s">
        <v>1834</v>
      </c>
      <c r="D2495" s="8" t="s">
        <v>1834</v>
      </c>
      <c r="E2495" s="8" t="s">
        <v>1835</v>
      </c>
    </row>
    <row r="2496" spans="1:5">
      <c r="A2496" s="8">
        <v>5774</v>
      </c>
      <c r="B2496" s="8" t="s">
        <v>4073</v>
      </c>
      <c r="C2496" s="8" t="s">
        <v>345</v>
      </c>
      <c r="D2496" s="8" t="s">
        <v>39</v>
      </c>
      <c r="E2496" s="8" t="s">
        <v>40</v>
      </c>
    </row>
    <row r="2497" spans="1:5">
      <c r="A2497" s="8">
        <v>5775</v>
      </c>
      <c r="B2497" s="8" t="s">
        <v>4074</v>
      </c>
      <c r="C2497" s="8" t="s">
        <v>4075</v>
      </c>
      <c r="D2497" s="8" t="s">
        <v>164</v>
      </c>
      <c r="E2497" s="8" t="s">
        <v>40</v>
      </c>
    </row>
    <row r="2498" spans="1:5">
      <c r="A2498" s="8">
        <v>5776</v>
      </c>
      <c r="B2498" s="8" t="s">
        <v>641</v>
      </c>
      <c r="C2498" s="8" t="s">
        <v>237</v>
      </c>
      <c r="D2498" s="8" t="s">
        <v>238</v>
      </c>
      <c r="E2498" s="8" t="s">
        <v>239</v>
      </c>
    </row>
    <row r="2499" spans="1:5">
      <c r="A2499" s="8">
        <v>5777</v>
      </c>
      <c r="B2499" s="8" t="s">
        <v>4076</v>
      </c>
      <c r="C2499" s="8" t="s">
        <v>4077</v>
      </c>
      <c r="D2499" s="8" t="s">
        <v>319</v>
      </c>
      <c r="E2499" s="8" t="s">
        <v>40</v>
      </c>
    </row>
    <row r="2500" spans="1:5">
      <c r="A2500" s="8">
        <v>5781</v>
      </c>
      <c r="B2500" s="8" t="s">
        <v>4078</v>
      </c>
      <c r="C2500" s="8" t="s">
        <v>1205</v>
      </c>
      <c r="D2500" s="8" t="s">
        <v>1206</v>
      </c>
      <c r="E2500" s="8" t="s">
        <v>1207</v>
      </c>
    </row>
    <row r="2501" spans="1:5">
      <c r="A2501" s="8">
        <v>5783</v>
      </c>
      <c r="B2501" s="8" t="s">
        <v>4079</v>
      </c>
      <c r="C2501" s="8" t="s">
        <v>4080</v>
      </c>
      <c r="D2501" s="8" t="s">
        <v>809</v>
      </c>
      <c r="E2501" s="8" t="s">
        <v>40</v>
      </c>
    </row>
    <row r="2502" spans="1:5">
      <c r="A2502" s="8">
        <v>5785</v>
      </c>
      <c r="B2502" s="8" t="s">
        <v>4081</v>
      </c>
      <c r="C2502" s="8" t="s">
        <v>2169</v>
      </c>
      <c r="D2502" s="8" t="s">
        <v>1226</v>
      </c>
      <c r="E2502" s="8" t="s">
        <v>40</v>
      </c>
    </row>
    <row r="2503" spans="1:5">
      <c r="A2503" s="8">
        <v>5787</v>
      </c>
      <c r="B2503" s="8" t="s">
        <v>4082</v>
      </c>
      <c r="C2503" s="8" t="s">
        <v>963</v>
      </c>
      <c r="D2503" s="8" t="s">
        <v>964</v>
      </c>
      <c r="E2503" s="8" t="s">
        <v>239</v>
      </c>
    </row>
    <row r="2504" spans="1:5">
      <c r="A2504" s="8">
        <v>5800</v>
      </c>
      <c r="B2504" s="8" t="s">
        <v>4083</v>
      </c>
      <c r="C2504" s="8" t="s">
        <v>4084</v>
      </c>
      <c r="D2504" s="8" t="s">
        <v>4085</v>
      </c>
      <c r="E2504" s="8" t="s">
        <v>409</v>
      </c>
    </row>
    <row r="2505" spans="1:5">
      <c r="A2505" s="8">
        <v>5801</v>
      </c>
      <c r="B2505" s="8" t="s">
        <v>4086</v>
      </c>
      <c r="C2505" s="8" t="s">
        <v>1136</v>
      </c>
      <c r="D2505" s="8" t="s">
        <v>691</v>
      </c>
      <c r="E2505" s="8" t="s">
        <v>40</v>
      </c>
    </row>
    <row r="2506" spans="1:5">
      <c r="A2506" s="8">
        <v>5802</v>
      </c>
      <c r="B2506" s="8" t="s">
        <v>4087</v>
      </c>
      <c r="C2506" s="8" t="s">
        <v>523</v>
      </c>
      <c r="D2506" s="8" t="s">
        <v>43</v>
      </c>
      <c r="E2506" s="8" t="s">
        <v>40</v>
      </c>
    </row>
    <row r="2507" spans="1:5">
      <c r="A2507" s="8">
        <v>5803</v>
      </c>
      <c r="B2507" s="8" t="s">
        <v>4088</v>
      </c>
      <c r="C2507" s="8" t="s">
        <v>458</v>
      </c>
      <c r="D2507" s="8" t="s">
        <v>264</v>
      </c>
      <c r="E2507" s="8" t="s">
        <v>40</v>
      </c>
    </row>
    <row r="2508" spans="1:5">
      <c r="A2508" s="8">
        <v>5804</v>
      </c>
      <c r="B2508" s="8" t="s">
        <v>4089</v>
      </c>
      <c r="C2508" s="8" t="s">
        <v>411</v>
      </c>
      <c r="D2508" s="8" t="s">
        <v>159</v>
      </c>
      <c r="E2508" s="8" t="s">
        <v>40</v>
      </c>
    </row>
    <row r="2509" spans="1:5">
      <c r="A2509" s="8">
        <v>5805</v>
      </c>
      <c r="B2509" s="8" t="s">
        <v>4090</v>
      </c>
      <c r="C2509" s="8" t="s">
        <v>4091</v>
      </c>
      <c r="D2509" s="8" t="s">
        <v>43</v>
      </c>
      <c r="E2509" s="8" t="s">
        <v>40</v>
      </c>
    </row>
    <row r="2510" spans="1:5">
      <c r="A2510" s="8">
        <v>5806</v>
      </c>
      <c r="B2510" s="8" t="s">
        <v>4092</v>
      </c>
      <c r="C2510" s="8" t="s">
        <v>414</v>
      </c>
      <c r="D2510" s="8" t="s">
        <v>54</v>
      </c>
      <c r="E2510" s="8" t="s">
        <v>40</v>
      </c>
    </row>
    <row r="2511" spans="1:5">
      <c r="A2511" s="8">
        <v>5809</v>
      </c>
      <c r="B2511" s="8" t="s">
        <v>4093</v>
      </c>
      <c r="C2511" s="8" t="s">
        <v>1179</v>
      </c>
      <c r="D2511" s="8" t="s">
        <v>691</v>
      </c>
      <c r="E2511" s="8" t="s">
        <v>40</v>
      </c>
    </row>
    <row r="2512" spans="1:5">
      <c r="A2512" s="8">
        <v>5810</v>
      </c>
      <c r="B2512" s="8" t="s">
        <v>4094</v>
      </c>
      <c r="C2512" s="8" t="s">
        <v>4095</v>
      </c>
      <c r="D2512" s="8" t="s">
        <v>43</v>
      </c>
      <c r="E2512" s="8" t="s">
        <v>40</v>
      </c>
    </row>
    <row r="2513" spans="1:5">
      <c r="A2513" s="8">
        <v>5811</v>
      </c>
      <c r="B2513" s="8" t="s">
        <v>4096</v>
      </c>
      <c r="C2513" s="8" t="s">
        <v>2003</v>
      </c>
      <c r="D2513" s="8" t="s">
        <v>81</v>
      </c>
      <c r="E2513" s="8" t="s">
        <v>40</v>
      </c>
    </row>
    <row r="2514" spans="1:5">
      <c r="A2514" s="8">
        <v>5813</v>
      </c>
      <c r="B2514" s="8" t="s">
        <v>4097</v>
      </c>
      <c r="C2514" s="8" t="s">
        <v>981</v>
      </c>
      <c r="D2514" s="8" t="s">
        <v>181</v>
      </c>
      <c r="E2514" s="8" t="s">
        <v>40</v>
      </c>
    </row>
    <row r="2515" spans="1:5">
      <c r="A2515" s="8">
        <v>5816</v>
      </c>
      <c r="B2515" s="8" t="s">
        <v>4098</v>
      </c>
      <c r="C2515" s="8" t="s">
        <v>701</v>
      </c>
      <c r="D2515" s="8" t="s">
        <v>57</v>
      </c>
      <c r="E2515" s="8" t="s">
        <v>40</v>
      </c>
    </row>
    <row r="2516" spans="1:5">
      <c r="A2516" s="8">
        <v>5817</v>
      </c>
      <c r="B2516" s="8" t="s">
        <v>4099</v>
      </c>
      <c r="C2516" s="8" t="s">
        <v>4100</v>
      </c>
      <c r="D2516" s="8" t="s">
        <v>43</v>
      </c>
      <c r="E2516" s="8" t="s">
        <v>40</v>
      </c>
    </row>
    <row r="2517" spans="1:5">
      <c r="A2517" s="8">
        <v>5818</v>
      </c>
      <c r="B2517" s="8" t="s">
        <v>4101</v>
      </c>
      <c r="C2517" s="8" t="s">
        <v>4102</v>
      </c>
      <c r="D2517" s="8" t="s">
        <v>43</v>
      </c>
      <c r="E2517" s="8" t="s">
        <v>40</v>
      </c>
    </row>
    <row r="2518" spans="1:5">
      <c r="A2518" s="8">
        <v>5819</v>
      </c>
      <c r="B2518" s="8" t="s">
        <v>4103</v>
      </c>
      <c r="C2518" s="8" t="s">
        <v>4104</v>
      </c>
      <c r="D2518" s="8" t="s">
        <v>57</v>
      </c>
      <c r="E2518" s="8" t="s">
        <v>40</v>
      </c>
    </row>
    <row r="2519" spans="1:5">
      <c r="A2519" s="8">
        <v>5821</v>
      </c>
      <c r="B2519" s="8" t="s">
        <v>4105</v>
      </c>
      <c r="C2519" s="8" t="s">
        <v>1205</v>
      </c>
      <c r="D2519" s="8" t="s">
        <v>238</v>
      </c>
      <c r="E2519" s="8" t="s">
        <v>239</v>
      </c>
    </row>
    <row r="2520" spans="1:5">
      <c r="A2520" s="8">
        <v>5822</v>
      </c>
      <c r="B2520" s="8" t="s">
        <v>4106</v>
      </c>
      <c r="C2520" s="8" t="s">
        <v>143</v>
      </c>
      <c r="D2520" s="8" t="s">
        <v>121</v>
      </c>
      <c r="E2520" s="8" t="s">
        <v>40</v>
      </c>
    </row>
    <row r="2521" spans="1:5">
      <c r="A2521" s="8">
        <v>5823</v>
      </c>
      <c r="B2521" s="8" t="s">
        <v>4107</v>
      </c>
      <c r="C2521" s="8" t="s">
        <v>3754</v>
      </c>
      <c r="D2521" s="8" t="s">
        <v>3755</v>
      </c>
      <c r="E2521" s="8" t="s">
        <v>3670</v>
      </c>
    </row>
    <row r="2522" spans="1:5">
      <c r="A2522" s="8">
        <v>5826</v>
      </c>
      <c r="B2522" s="8" t="s">
        <v>4108</v>
      </c>
      <c r="C2522" s="8" t="s">
        <v>4109</v>
      </c>
      <c r="D2522" s="8" t="s">
        <v>132</v>
      </c>
      <c r="E2522" s="8" t="s">
        <v>40</v>
      </c>
    </row>
    <row r="2523" spans="1:5">
      <c r="A2523" s="8">
        <v>5827</v>
      </c>
      <c r="B2523" s="8" t="s">
        <v>4110</v>
      </c>
      <c r="C2523" s="8" t="s">
        <v>4111</v>
      </c>
      <c r="D2523" s="8" t="s">
        <v>264</v>
      </c>
      <c r="E2523" s="8" t="s">
        <v>40</v>
      </c>
    </row>
    <row r="2524" spans="1:5">
      <c r="A2524" s="8">
        <v>5828</v>
      </c>
      <c r="B2524" s="8" t="s">
        <v>4112</v>
      </c>
      <c r="C2524" s="8" t="s">
        <v>707</v>
      </c>
      <c r="D2524" s="8" t="s">
        <v>630</v>
      </c>
      <c r="E2524" s="8" t="s">
        <v>40</v>
      </c>
    </row>
    <row r="2525" spans="1:5">
      <c r="A2525" s="8">
        <v>5829</v>
      </c>
      <c r="B2525" s="8" t="s">
        <v>4113</v>
      </c>
      <c r="C2525" s="8" t="s">
        <v>431</v>
      </c>
      <c r="D2525" s="8" t="s">
        <v>164</v>
      </c>
      <c r="E2525" s="8" t="s">
        <v>40</v>
      </c>
    </row>
    <row r="2526" spans="1:5">
      <c r="A2526" s="8">
        <v>5830</v>
      </c>
      <c r="B2526" s="8" t="s">
        <v>4114</v>
      </c>
      <c r="C2526" s="8" t="s">
        <v>4115</v>
      </c>
      <c r="D2526" s="8" t="s">
        <v>438</v>
      </c>
      <c r="E2526" s="8" t="s">
        <v>40</v>
      </c>
    </row>
    <row r="2527" spans="1:5">
      <c r="A2527" s="8">
        <v>5831</v>
      </c>
      <c r="B2527" s="8" t="s">
        <v>4116</v>
      </c>
      <c r="C2527" s="8" t="s">
        <v>4117</v>
      </c>
      <c r="D2527" s="8" t="s">
        <v>4118</v>
      </c>
      <c r="E2527" s="8" t="s">
        <v>3670</v>
      </c>
    </row>
    <row r="2528" spans="1:5">
      <c r="A2528" s="8">
        <v>5834</v>
      </c>
      <c r="B2528" s="8" t="s">
        <v>4119</v>
      </c>
      <c r="C2528" s="8" t="s">
        <v>237</v>
      </c>
      <c r="D2528" s="8" t="s">
        <v>238</v>
      </c>
      <c r="E2528" s="8" t="s">
        <v>239</v>
      </c>
    </row>
    <row r="2529" spans="1:5">
      <c r="A2529" s="8">
        <v>5835</v>
      </c>
      <c r="B2529" s="8" t="s">
        <v>4120</v>
      </c>
      <c r="C2529" s="8" t="s">
        <v>4121</v>
      </c>
      <c r="D2529" s="8" t="s">
        <v>43</v>
      </c>
      <c r="E2529" s="8" t="s">
        <v>40</v>
      </c>
    </row>
    <row r="2530" spans="1:5">
      <c r="A2530" s="8">
        <v>5836</v>
      </c>
      <c r="B2530" s="8" t="s">
        <v>4122</v>
      </c>
      <c r="C2530" s="8" t="s">
        <v>690</v>
      </c>
      <c r="D2530" s="8" t="s">
        <v>691</v>
      </c>
      <c r="E2530" s="8" t="s">
        <v>40</v>
      </c>
    </row>
    <row r="2531" spans="1:5">
      <c r="A2531" s="8">
        <v>5837</v>
      </c>
      <c r="B2531" s="8" t="s">
        <v>4123</v>
      </c>
      <c r="C2531" s="8" t="s">
        <v>2432</v>
      </c>
      <c r="D2531" s="8" t="s">
        <v>213</v>
      </c>
      <c r="E2531" s="8" t="s">
        <v>40</v>
      </c>
    </row>
    <row r="2532" spans="1:5">
      <c r="A2532" s="8">
        <v>5839</v>
      </c>
      <c r="B2532" s="8" t="s">
        <v>4124</v>
      </c>
      <c r="C2532" s="8" t="s">
        <v>4125</v>
      </c>
      <c r="D2532" s="8" t="s">
        <v>4126</v>
      </c>
      <c r="E2532" s="8" t="s">
        <v>3670</v>
      </c>
    </row>
    <row r="2533" spans="1:5">
      <c r="A2533" s="8">
        <v>5840</v>
      </c>
      <c r="B2533" s="8" t="s">
        <v>4127</v>
      </c>
      <c r="C2533" s="8" t="s">
        <v>4128</v>
      </c>
      <c r="D2533" s="8" t="s">
        <v>630</v>
      </c>
      <c r="E2533" s="8" t="s">
        <v>40</v>
      </c>
    </row>
    <row r="2534" spans="1:5">
      <c r="A2534" s="8">
        <v>5841</v>
      </c>
      <c r="B2534" s="8" t="s">
        <v>4129</v>
      </c>
      <c r="C2534" s="8" t="s">
        <v>2494</v>
      </c>
      <c r="D2534" s="8" t="s">
        <v>438</v>
      </c>
      <c r="E2534" s="8" t="s">
        <v>40</v>
      </c>
    </row>
    <row r="2535" spans="1:5">
      <c r="A2535" s="8">
        <v>5842</v>
      </c>
      <c r="B2535" s="8" t="s">
        <v>1597</v>
      </c>
      <c r="C2535" s="8" t="s">
        <v>4130</v>
      </c>
      <c r="D2535" s="8" t="s">
        <v>57</v>
      </c>
      <c r="E2535" s="8" t="s">
        <v>40</v>
      </c>
    </row>
    <row r="2536" spans="1:5">
      <c r="A2536" s="8">
        <v>5843</v>
      </c>
      <c r="B2536" s="8" t="s">
        <v>4131</v>
      </c>
      <c r="C2536" s="8" t="s">
        <v>4132</v>
      </c>
      <c r="D2536" s="8" t="s">
        <v>39</v>
      </c>
      <c r="E2536" s="8" t="s">
        <v>40</v>
      </c>
    </row>
    <row r="2537" spans="1:5">
      <c r="A2537" s="8">
        <v>5846</v>
      </c>
      <c r="B2537" s="8" t="s">
        <v>4133</v>
      </c>
      <c r="C2537" s="8" t="s">
        <v>4134</v>
      </c>
      <c r="D2537" s="8" t="s">
        <v>60</v>
      </c>
      <c r="E2537" s="8" t="s">
        <v>40</v>
      </c>
    </row>
    <row r="2538" spans="1:5">
      <c r="A2538" s="8">
        <v>5847</v>
      </c>
      <c r="B2538" s="8" t="s">
        <v>4135</v>
      </c>
      <c r="C2538" s="8" t="s">
        <v>4136</v>
      </c>
      <c r="D2538" s="8" t="s">
        <v>121</v>
      </c>
      <c r="E2538" s="8" t="s">
        <v>40</v>
      </c>
    </row>
    <row r="2539" spans="1:5">
      <c r="A2539" s="8">
        <v>5848</v>
      </c>
      <c r="B2539" s="8" t="s">
        <v>4137</v>
      </c>
      <c r="C2539" s="8" t="s">
        <v>1626</v>
      </c>
      <c r="D2539" s="8" t="s">
        <v>630</v>
      </c>
      <c r="E2539" s="8" t="s">
        <v>40</v>
      </c>
    </row>
    <row r="2540" spans="1:5">
      <c r="A2540" s="8">
        <v>5849</v>
      </c>
      <c r="B2540" s="8" t="s">
        <v>4138</v>
      </c>
      <c r="C2540" s="8" t="s">
        <v>3907</v>
      </c>
      <c r="D2540" s="8" t="s">
        <v>3908</v>
      </c>
      <c r="E2540" s="8" t="s">
        <v>3670</v>
      </c>
    </row>
    <row r="2541" spans="1:5">
      <c r="A2541" s="8">
        <v>5851</v>
      </c>
      <c r="B2541" s="8" t="s">
        <v>4139</v>
      </c>
      <c r="C2541" s="8" t="s">
        <v>4140</v>
      </c>
      <c r="D2541" s="8" t="s">
        <v>43</v>
      </c>
      <c r="E2541" s="8" t="s">
        <v>40</v>
      </c>
    </row>
    <row r="2542" spans="1:5">
      <c r="A2542" s="8">
        <v>5852</v>
      </c>
      <c r="B2542" s="8" t="s">
        <v>4141</v>
      </c>
      <c r="C2542" s="8" t="s">
        <v>4142</v>
      </c>
      <c r="D2542" s="8" t="s">
        <v>43</v>
      </c>
      <c r="E2542" s="8" t="s">
        <v>40</v>
      </c>
    </row>
    <row r="2543" spans="1:5">
      <c r="A2543" s="8">
        <v>5853</v>
      </c>
      <c r="B2543" s="8" t="s">
        <v>4143</v>
      </c>
      <c r="C2543" s="8" t="s">
        <v>99</v>
      </c>
      <c r="D2543" s="8" t="s">
        <v>39</v>
      </c>
      <c r="E2543" s="8" t="s">
        <v>40</v>
      </c>
    </row>
    <row r="2544" spans="1:5">
      <c r="A2544" s="8">
        <v>5854</v>
      </c>
      <c r="B2544" s="8" t="s">
        <v>4144</v>
      </c>
      <c r="C2544" s="8" t="s">
        <v>4145</v>
      </c>
      <c r="D2544" s="8" t="s">
        <v>429</v>
      </c>
      <c r="E2544" s="8" t="s">
        <v>40</v>
      </c>
    </row>
    <row r="2545" spans="1:5">
      <c r="A2545" s="8">
        <v>5855</v>
      </c>
      <c r="B2545" s="8" t="s">
        <v>4146</v>
      </c>
      <c r="C2545" s="8" t="s">
        <v>1097</v>
      </c>
      <c r="D2545" s="8" t="s">
        <v>132</v>
      </c>
      <c r="E2545" s="8" t="s">
        <v>40</v>
      </c>
    </row>
    <row r="2546" spans="1:5">
      <c r="A2546" s="8">
        <v>5856</v>
      </c>
      <c r="B2546" s="8" t="s">
        <v>1246</v>
      </c>
      <c r="C2546" s="8" t="s">
        <v>2295</v>
      </c>
      <c r="D2546" s="8" t="s">
        <v>201</v>
      </c>
      <c r="E2546" s="8" t="s">
        <v>40</v>
      </c>
    </row>
    <row r="2547" spans="1:5">
      <c r="A2547" s="8">
        <v>5857</v>
      </c>
      <c r="B2547" s="8" t="s">
        <v>4147</v>
      </c>
      <c r="C2547" s="8" t="s">
        <v>4148</v>
      </c>
      <c r="D2547" s="8" t="s">
        <v>43</v>
      </c>
      <c r="E2547" s="8" t="s">
        <v>40</v>
      </c>
    </row>
    <row r="2548" spans="1:5">
      <c r="A2548" s="8">
        <v>5858</v>
      </c>
      <c r="B2548" s="8" t="s">
        <v>4149</v>
      </c>
      <c r="C2548" s="8" t="s">
        <v>433</v>
      </c>
      <c r="D2548" s="8" t="s">
        <v>74</v>
      </c>
      <c r="E2548" s="8" t="s">
        <v>40</v>
      </c>
    </row>
    <row r="2549" spans="1:5">
      <c r="A2549" s="8">
        <v>5860</v>
      </c>
      <c r="B2549" s="8" t="s">
        <v>4150</v>
      </c>
      <c r="C2549" s="8" t="s">
        <v>4151</v>
      </c>
      <c r="D2549" s="8" t="s">
        <v>39</v>
      </c>
      <c r="E2549" s="8" t="s">
        <v>40</v>
      </c>
    </row>
    <row r="2550" spans="1:5">
      <c r="A2550" s="8">
        <v>5863</v>
      </c>
      <c r="B2550" s="8" t="s">
        <v>4152</v>
      </c>
      <c r="C2550" s="8" t="s">
        <v>4153</v>
      </c>
      <c r="D2550" s="8" t="s">
        <v>1226</v>
      </c>
      <c r="E2550" s="8" t="s">
        <v>40</v>
      </c>
    </row>
    <row r="2551" spans="1:5">
      <c r="A2551" s="8">
        <v>5864</v>
      </c>
      <c r="B2551" s="8" t="s">
        <v>4154</v>
      </c>
      <c r="C2551" s="8" t="s">
        <v>4153</v>
      </c>
      <c r="D2551" s="8" t="s">
        <v>1226</v>
      </c>
      <c r="E2551" s="8" t="s">
        <v>40</v>
      </c>
    </row>
    <row r="2552" spans="1:5">
      <c r="A2552" s="8">
        <v>5865</v>
      </c>
      <c r="B2552" s="8" t="s">
        <v>4155</v>
      </c>
      <c r="C2552" s="8" t="s">
        <v>4156</v>
      </c>
      <c r="D2552" s="8" t="s">
        <v>335</v>
      </c>
      <c r="E2552" s="8" t="s">
        <v>239</v>
      </c>
    </row>
    <row r="2553" spans="1:5">
      <c r="A2553" s="8">
        <v>5866</v>
      </c>
      <c r="B2553" s="8" t="s">
        <v>4157</v>
      </c>
      <c r="C2553" s="8" t="s">
        <v>4158</v>
      </c>
      <c r="D2553" s="8" t="s">
        <v>164</v>
      </c>
      <c r="E2553" s="8" t="s">
        <v>40</v>
      </c>
    </row>
    <row r="2554" spans="1:5">
      <c r="A2554" s="8">
        <v>5869</v>
      </c>
      <c r="B2554" s="8" t="s">
        <v>4159</v>
      </c>
      <c r="C2554" s="8" t="s">
        <v>416</v>
      </c>
      <c r="D2554" s="8" t="s">
        <v>43</v>
      </c>
      <c r="E2554" s="8" t="s">
        <v>40</v>
      </c>
    </row>
    <row r="2555" spans="1:5">
      <c r="A2555" s="8">
        <v>5870</v>
      </c>
      <c r="B2555" s="8" t="s">
        <v>4160</v>
      </c>
      <c r="C2555" s="8" t="s">
        <v>1205</v>
      </c>
      <c r="D2555" s="8" t="s">
        <v>238</v>
      </c>
      <c r="E2555" s="8" t="s">
        <v>239</v>
      </c>
    </row>
    <row r="2556" spans="1:5">
      <c r="A2556" s="8">
        <v>5871</v>
      </c>
      <c r="B2556" s="8" t="s">
        <v>4161</v>
      </c>
      <c r="C2556" s="8" t="s">
        <v>1362</v>
      </c>
      <c r="D2556" s="8" t="s">
        <v>1018</v>
      </c>
      <c r="E2556" s="8" t="s">
        <v>40</v>
      </c>
    </row>
    <row r="2557" spans="1:5">
      <c r="A2557" s="8">
        <v>5872</v>
      </c>
      <c r="B2557" s="8" t="s">
        <v>1518</v>
      </c>
      <c r="C2557" s="8" t="s">
        <v>150</v>
      </c>
      <c r="D2557" s="8" t="s">
        <v>57</v>
      </c>
      <c r="E2557" s="8" t="s">
        <v>40</v>
      </c>
    </row>
    <row r="2558" spans="1:5">
      <c r="A2558" s="8">
        <v>5874</v>
      </c>
      <c r="B2558" s="8" t="s">
        <v>4162</v>
      </c>
      <c r="C2558" s="8" t="s">
        <v>4163</v>
      </c>
      <c r="D2558" s="8" t="s">
        <v>4164</v>
      </c>
      <c r="E2558" s="8" t="s">
        <v>1461</v>
      </c>
    </row>
    <row r="2559" spans="1:5">
      <c r="A2559" s="8">
        <v>5875</v>
      </c>
      <c r="B2559" s="8" t="s">
        <v>1939</v>
      </c>
      <c r="C2559" s="8" t="s">
        <v>4165</v>
      </c>
      <c r="D2559" s="8" t="s">
        <v>726</v>
      </c>
      <c r="E2559" s="8" t="s">
        <v>40</v>
      </c>
    </row>
    <row r="2560" spans="1:5">
      <c r="A2560" s="8">
        <v>5876</v>
      </c>
      <c r="B2560" s="8" t="s">
        <v>4166</v>
      </c>
      <c r="C2560" s="8" t="s">
        <v>4167</v>
      </c>
      <c r="D2560" s="8" t="s">
        <v>1994</v>
      </c>
      <c r="E2560" s="8" t="s">
        <v>1995</v>
      </c>
    </row>
    <row r="2561" spans="1:5">
      <c r="A2561" s="8">
        <v>5877</v>
      </c>
      <c r="B2561" s="8" t="s">
        <v>4168</v>
      </c>
      <c r="C2561" s="8" t="s">
        <v>4169</v>
      </c>
      <c r="D2561" s="8" t="s">
        <v>43</v>
      </c>
      <c r="E2561" s="8" t="s">
        <v>40</v>
      </c>
    </row>
    <row r="2562" spans="1:5">
      <c r="A2562" s="8">
        <v>5878</v>
      </c>
      <c r="B2562" s="8" t="s">
        <v>4170</v>
      </c>
      <c r="C2562" s="8" t="s">
        <v>4171</v>
      </c>
      <c r="D2562" s="8" t="s">
        <v>39</v>
      </c>
      <c r="E2562" s="8" t="s">
        <v>40</v>
      </c>
    </row>
    <row r="2563" spans="1:5">
      <c r="A2563" s="8">
        <v>5881</v>
      </c>
      <c r="B2563" s="8" t="s">
        <v>4172</v>
      </c>
      <c r="C2563" s="8" t="s">
        <v>707</v>
      </c>
      <c r="D2563" s="8" t="s">
        <v>54</v>
      </c>
      <c r="E2563" s="8" t="s">
        <v>40</v>
      </c>
    </row>
    <row r="2564" spans="1:5">
      <c r="A2564" s="8">
        <v>5883</v>
      </c>
      <c r="B2564" s="8" t="s">
        <v>4173</v>
      </c>
      <c r="C2564" s="8" t="s">
        <v>4174</v>
      </c>
      <c r="D2564" s="8" t="s">
        <v>4175</v>
      </c>
      <c r="E2564" s="8" t="s">
        <v>4176</v>
      </c>
    </row>
    <row r="2565" spans="1:5">
      <c r="A2565" s="8">
        <v>5885</v>
      </c>
      <c r="B2565" s="8" t="s">
        <v>4177</v>
      </c>
      <c r="C2565" s="8" t="s">
        <v>4178</v>
      </c>
      <c r="D2565" s="8" t="s">
        <v>238</v>
      </c>
      <c r="E2565" s="8" t="s">
        <v>239</v>
      </c>
    </row>
    <row r="2566" spans="1:5">
      <c r="A2566" s="8">
        <v>5887</v>
      </c>
      <c r="B2566" s="8" t="s">
        <v>4179</v>
      </c>
      <c r="C2566" s="8" t="s">
        <v>3200</v>
      </c>
      <c r="D2566" s="8" t="s">
        <v>3200</v>
      </c>
      <c r="E2566" s="8" t="s">
        <v>1461</v>
      </c>
    </row>
    <row r="2567" spans="1:5">
      <c r="A2567" s="8">
        <v>5888</v>
      </c>
      <c r="B2567" s="8" t="s">
        <v>4180</v>
      </c>
      <c r="C2567" s="8" t="s">
        <v>1223</v>
      </c>
      <c r="D2567" s="8" t="s">
        <v>164</v>
      </c>
      <c r="E2567" s="8" t="s">
        <v>40</v>
      </c>
    </row>
    <row r="2568" spans="1:5">
      <c r="A2568" s="8">
        <v>5889</v>
      </c>
      <c r="B2568" s="8" t="s">
        <v>4181</v>
      </c>
      <c r="C2568" s="8" t="s">
        <v>693</v>
      </c>
      <c r="D2568" s="8" t="s">
        <v>69</v>
      </c>
      <c r="E2568" s="8" t="s">
        <v>40</v>
      </c>
    </row>
    <row r="2569" spans="1:5">
      <c r="A2569" s="8">
        <v>5891</v>
      </c>
      <c r="B2569" s="8" t="s">
        <v>4182</v>
      </c>
      <c r="C2569" s="8" t="s">
        <v>54</v>
      </c>
      <c r="D2569" s="8" t="s">
        <v>54</v>
      </c>
      <c r="E2569" s="8" t="s">
        <v>40</v>
      </c>
    </row>
    <row r="2570" spans="1:5">
      <c r="A2570" s="8">
        <v>5892</v>
      </c>
      <c r="B2570" s="8" t="s">
        <v>4183</v>
      </c>
      <c r="C2570" s="8" t="s">
        <v>431</v>
      </c>
      <c r="D2570" s="8" t="s">
        <v>164</v>
      </c>
      <c r="E2570" s="8" t="s">
        <v>40</v>
      </c>
    </row>
    <row r="2571" spans="1:5">
      <c r="A2571" s="8">
        <v>5894</v>
      </c>
      <c r="B2571" s="8" t="s">
        <v>4184</v>
      </c>
      <c r="C2571" s="8" t="s">
        <v>2894</v>
      </c>
      <c r="D2571" s="8" t="s">
        <v>164</v>
      </c>
      <c r="E2571" s="8" t="s">
        <v>40</v>
      </c>
    </row>
    <row r="2572" spans="1:5">
      <c r="A2572" s="8">
        <v>5895</v>
      </c>
      <c r="B2572" s="8" t="s">
        <v>4185</v>
      </c>
      <c r="C2572" s="8" t="s">
        <v>769</v>
      </c>
      <c r="D2572" s="8" t="s">
        <v>48</v>
      </c>
      <c r="E2572" s="8" t="s">
        <v>40</v>
      </c>
    </row>
    <row r="2573" spans="1:5">
      <c r="A2573" s="8">
        <v>5899</v>
      </c>
      <c r="B2573" s="8" t="s">
        <v>4186</v>
      </c>
      <c r="C2573" s="8" t="s">
        <v>1209</v>
      </c>
      <c r="D2573" s="8" t="s">
        <v>208</v>
      </c>
      <c r="E2573" s="8" t="s">
        <v>40</v>
      </c>
    </row>
    <row r="2574" spans="1:5">
      <c r="A2574" s="8">
        <v>5900</v>
      </c>
      <c r="B2574" s="8" t="s">
        <v>4187</v>
      </c>
      <c r="C2574" s="8" t="s">
        <v>4188</v>
      </c>
      <c r="D2574" s="8" t="s">
        <v>630</v>
      </c>
      <c r="E2574" s="8" t="s">
        <v>40</v>
      </c>
    </row>
    <row r="2575" spans="1:5">
      <c r="A2575" s="8">
        <v>5901</v>
      </c>
      <c r="B2575" s="8" t="s">
        <v>4189</v>
      </c>
      <c r="C2575" s="8" t="s">
        <v>1114</v>
      </c>
      <c r="D2575" s="8" t="s">
        <v>39</v>
      </c>
      <c r="E2575" s="8" t="s">
        <v>40</v>
      </c>
    </row>
    <row r="2576" spans="1:5">
      <c r="A2576" s="8">
        <v>5902</v>
      </c>
      <c r="B2576" s="8" t="s">
        <v>4190</v>
      </c>
      <c r="C2576" s="8" t="s">
        <v>2183</v>
      </c>
      <c r="D2576" s="8" t="s">
        <v>181</v>
      </c>
      <c r="E2576" s="8" t="s">
        <v>40</v>
      </c>
    </row>
    <row r="2577" spans="1:5">
      <c r="A2577" s="8">
        <v>5903</v>
      </c>
      <c r="B2577" s="8" t="s">
        <v>4191</v>
      </c>
      <c r="C2577" s="8" t="s">
        <v>4192</v>
      </c>
      <c r="D2577" s="8" t="s">
        <v>132</v>
      </c>
      <c r="E2577" s="8" t="s">
        <v>40</v>
      </c>
    </row>
    <row r="2578" spans="1:5">
      <c r="A2578" s="8">
        <v>5906</v>
      </c>
      <c r="B2578" s="8" t="s">
        <v>4193</v>
      </c>
      <c r="C2578" s="8" t="s">
        <v>4194</v>
      </c>
      <c r="D2578" s="8" t="s">
        <v>4195</v>
      </c>
      <c r="E2578" s="8" t="s">
        <v>40</v>
      </c>
    </row>
    <row r="2579" spans="1:5">
      <c r="A2579" s="8">
        <v>5907</v>
      </c>
      <c r="B2579" s="8" t="s">
        <v>4196</v>
      </c>
      <c r="C2579" s="8" t="s">
        <v>468</v>
      </c>
      <c r="D2579" s="8" t="s">
        <v>39</v>
      </c>
      <c r="E2579" s="8" t="s">
        <v>40</v>
      </c>
    </row>
    <row r="2580" spans="1:5">
      <c r="A2580" s="8">
        <v>5908</v>
      </c>
      <c r="B2580" s="8" t="s">
        <v>3403</v>
      </c>
      <c r="C2580" s="8" t="s">
        <v>366</v>
      </c>
      <c r="D2580" s="8" t="s">
        <v>164</v>
      </c>
      <c r="E2580" s="8" t="s">
        <v>40</v>
      </c>
    </row>
    <row r="2581" spans="1:5">
      <c r="A2581" s="8">
        <v>5910</v>
      </c>
      <c r="B2581" s="8" t="s">
        <v>4197</v>
      </c>
      <c r="C2581" s="8" t="s">
        <v>4198</v>
      </c>
      <c r="D2581" s="8" t="s">
        <v>335</v>
      </c>
      <c r="E2581" s="8" t="s">
        <v>239</v>
      </c>
    </row>
    <row r="2582" spans="1:5">
      <c r="A2582" s="8">
        <v>5911</v>
      </c>
      <c r="B2582" s="8" t="s">
        <v>4199</v>
      </c>
      <c r="C2582" s="8" t="s">
        <v>835</v>
      </c>
      <c r="D2582" s="8" t="s">
        <v>238</v>
      </c>
      <c r="E2582" s="8" t="s">
        <v>239</v>
      </c>
    </row>
    <row r="2583" spans="1:5">
      <c r="A2583" s="8">
        <v>5913</v>
      </c>
      <c r="B2583" s="8" t="s">
        <v>4200</v>
      </c>
      <c r="C2583" s="8" t="s">
        <v>4201</v>
      </c>
      <c r="D2583" s="8" t="s">
        <v>1221</v>
      </c>
      <c r="E2583" s="8" t="s">
        <v>40</v>
      </c>
    </row>
    <row r="2584" spans="1:5">
      <c r="A2584" s="8">
        <v>5914</v>
      </c>
      <c r="B2584" s="8" t="s">
        <v>4202</v>
      </c>
      <c r="C2584" s="8" t="s">
        <v>4203</v>
      </c>
      <c r="D2584" s="8" t="s">
        <v>1221</v>
      </c>
      <c r="E2584" s="8" t="s">
        <v>40</v>
      </c>
    </row>
    <row r="2585" spans="1:5">
      <c r="A2585" s="8">
        <v>5915</v>
      </c>
      <c r="B2585" s="8" t="s">
        <v>4204</v>
      </c>
      <c r="C2585" s="8" t="s">
        <v>1114</v>
      </c>
      <c r="D2585" s="8" t="s">
        <v>39</v>
      </c>
      <c r="E2585" s="8" t="s">
        <v>40</v>
      </c>
    </row>
    <row r="2586" spans="1:5">
      <c r="A2586" s="8">
        <v>5918</v>
      </c>
      <c r="B2586" s="8" t="s">
        <v>4205</v>
      </c>
      <c r="C2586" s="8" t="s">
        <v>1179</v>
      </c>
      <c r="D2586" s="8" t="s">
        <v>691</v>
      </c>
      <c r="E2586" s="8" t="s">
        <v>40</v>
      </c>
    </row>
    <row r="2587" spans="1:5">
      <c r="A2587" s="8">
        <v>5919</v>
      </c>
      <c r="B2587" s="8" t="s">
        <v>4206</v>
      </c>
      <c r="C2587" s="8" t="s">
        <v>4207</v>
      </c>
      <c r="D2587" s="8" t="s">
        <v>429</v>
      </c>
      <c r="E2587" s="8" t="s">
        <v>40</v>
      </c>
    </row>
    <row r="2588" spans="1:5">
      <c r="A2588" s="8">
        <v>5920</v>
      </c>
      <c r="B2588" s="8" t="s">
        <v>4208</v>
      </c>
      <c r="C2588" s="8" t="s">
        <v>4209</v>
      </c>
      <c r="D2588" s="8" t="s">
        <v>264</v>
      </c>
      <c r="E2588" s="8" t="s">
        <v>40</v>
      </c>
    </row>
    <row r="2589" spans="1:5">
      <c r="A2589" s="8">
        <v>5921</v>
      </c>
      <c r="B2589" s="8" t="s">
        <v>4210</v>
      </c>
      <c r="C2589" s="8" t="s">
        <v>829</v>
      </c>
      <c r="D2589" s="8" t="s">
        <v>238</v>
      </c>
      <c r="E2589" s="8" t="s">
        <v>239</v>
      </c>
    </row>
    <row r="2590" spans="1:5">
      <c r="A2590" s="8">
        <v>5923</v>
      </c>
      <c r="B2590" s="8" t="s">
        <v>4211</v>
      </c>
      <c r="C2590" s="8" t="s">
        <v>4212</v>
      </c>
      <c r="D2590" s="8" t="s">
        <v>164</v>
      </c>
      <c r="E2590" s="8" t="s">
        <v>40</v>
      </c>
    </row>
    <row r="2591" spans="1:5">
      <c r="A2591" s="8">
        <v>5924</v>
      </c>
      <c r="B2591" s="8" t="s">
        <v>4213</v>
      </c>
      <c r="C2591" s="8" t="s">
        <v>2767</v>
      </c>
      <c r="D2591" s="8" t="s">
        <v>43</v>
      </c>
      <c r="E2591" s="8" t="s">
        <v>40</v>
      </c>
    </row>
    <row r="2592" spans="1:5">
      <c r="A2592" s="8">
        <v>5926</v>
      </c>
      <c r="B2592" s="8" t="s">
        <v>4214</v>
      </c>
      <c r="C2592" s="8" t="s">
        <v>2419</v>
      </c>
      <c r="D2592" s="8" t="s">
        <v>39</v>
      </c>
      <c r="E2592" s="8" t="s">
        <v>40</v>
      </c>
    </row>
    <row r="2593" spans="1:5">
      <c r="A2593" s="8">
        <v>5927</v>
      </c>
      <c r="B2593" s="8" t="s">
        <v>4215</v>
      </c>
      <c r="C2593" s="8" t="s">
        <v>123</v>
      </c>
      <c r="D2593" s="8" t="s">
        <v>39</v>
      </c>
      <c r="E2593" s="8" t="s">
        <v>40</v>
      </c>
    </row>
    <row r="2594" spans="1:5">
      <c r="A2594" s="8">
        <v>5928</v>
      </c>
      <c r="B2594" s="8" t="s">
        <v>4216</v>
      </c>
      <c r="C2594" s="8" t="s">
        <v>4217</v>
      </c>
      <c r="D2594" s="8" t="s">
        <v>1034</v>
      </c>
      <c r="E2594" s="8" t="s">
        <v>1026</v>
      </c>
    </row>
    <row r="2595" spans="1:5">
      <c r="A2595" s="8">
        <v>5929</v>
      </c>
      <c r="B2595" s="8" t="s">
        <v>4218</v>
      </c>
      <c r="C2595" s="8" t="s">
        <v>4219</v>
      </c>
      <c r="D2595" s="8" t="s">
        <v>1221</v>
      </c>
      <c r="E2595" s="8" t="s">
        <v>40</v>
      </c>
    </row>
    <row r="2596" spans="1:5">
      <c r="A2596" s="8">
        <v>5930</v>
      </c>
      <c r="B2596" s="8" t="s">
        <v>4220</v>
      </c>
      <c r="C2596" s="8" t="s">
        <v>4221</v>
      </c>
      <c r="D2596" s="8" t="s">
        <v>69</v>
      </c>
      <c r="E2596" s="8" t="s">
        <v>40</v>
      </c>
    </row>
    <row r="2597" spans="1:5">
      <c r="A2597" s="8">
        <v>5932</v>
      </c>
      <c r="B2597" s="8" t="s">
        <v>4222</v>
      </c>
      <c r="C2597" s="8" t="s">
        <v>4223</v>
      </c>
      <c r="D2597" s="8" t="s">
        <v>4224</v>
      </c>
      <c r="E2597" s="8" t="s">
        <v>1461</v>
      </c>
    </row>
    <row r="2598" spans="1:5">
      <c r="A2598" s="8">
        <v>5933</v>
      </c>
      <c r="B2598" s="8" t="s">
        <v>4225</v>
      </c>
      <c r="C2598" s="8" t="s">
        <v>4226</v>
      </c>
      <c r="D2598" s="8" t="s">
        <v>1563</v>
      </c>
      <c r="E2598" s="8" t="s">
        <v>40</v>
      </c>
    </row>
    <row r="2599" spans="1:5">
      <c r="A2599" s="8">
        <v>5934</v>
      </c>
      <c r="B2599" s="8" t="s">
        <v>4227</v>
      </c>
      <c r="C2599" s="8" t="s">
        <v>4228</v>
      </c>
      <c r="D2599" s="8" t="s">
        <v>121</v>
      </c>
      <c r="E2599" s="8" t="s">
        <v>40</v>
      </c>
    </row>
    <row r="2600" spans="1:5">
      <c r="A2600" s="8">
        <v>5935</v>
      </c>
      <c r="B2600" s="8" t="s">
        <v>4229</v>
      </c>
      <c r="C2600" s="8" t="s">
        <v>4230</v>
      </c>
      <c r="D2600" s="8" t="s">
        <v>213</v>
      </c>
      <c r="E2600" s="8" t="s">
        <v>40</v>
      </c>
    </row>
    <row r="2601" spans="1:5">
      <c r="A2601" s="8">
        <v>5937</v>
      </c>
      <c r="B2601" s="8" t="s">
        <v>4231</v>
      </c>
      <c r="C2601" s="8" t="s">
        <v>4232</v>
      </c>
      <c r="D2601" s="8" t="s">
        <v>264</v>
      </c>
      <c r="E2601" s="8" t="s">
        <v>40</v>
      </c>
    </row>
    <row r="2602" spans="1:5">
      <c r="A2602" s="8">
        <v>5940</v>
      </c>
      <c r="B2602" s="8" t="s">
        <v>4233</v>
      </c>
      <c r="C2602" s="8" t="s">
        <v>3401</v>
      </c>
      <c r="D2602" s="8" t="s">
        <v>43</v>
      </c>
      <c r="E2602" s="8" t="s">
        <v>40</v>
      </c>
    </row>
    <row r="2603" spans="1:5">
      <c r="A2603" s="8">
        <v>5941</v>
      </c>
      <c r="B2603" s="8" t="s">
        <v>4234</v>
      </c>
      <c r="C2603" s="8" t="s">
        <v>3022</v>
      </c>
      <c r="D2603" s="8" t="s">
        <v>264</v>
      </c>
      <c r="E2603" s="8" t="s">
        <v>40</v>
      </c>
    </row>
    <row r="2604" spans="1:5">
      <c r="A2604" s="8">
        <v>5943</v>
      </c>
      <c r="B2604" s="8" t="s">
        <v>4235</v>
      </c>
      <c r="C2604" s="8" t="s">
        <v>661</v>
      </c>
      <c r="D2604" s="8" t="s">
        <v>54</v>
      </c>
      <c r="E2604" s="8" t="s">
        <v>40</v>
      </c>
    </row>
    <row r="2605" spans="1:5">
      <c r="A2605" s="8">
        <v>5944</v>
      </c>
      <c r="B2605" s="8" t="s">
        <v>4236</v>
      </c>
      <c r="C2605" s="8" t="s">
        <v>2052</v>
      </c>
      <c r="D2605" s="8" t="s">
        <v>79</v>
      </c>
      <c r="E2605" s="8" t="s">
        <v>40</v>
      </c>
    </row>
    <row r="2606" spans="1:5">
      <c r="A2606" s="8">
        <v>5945</v>
      </c>
      <c r="B2606" s="8" t="s">
        <v>4237</v>
      </c>
      <c r="C2606" s="8" t="s">
        <v>3530</v>
      </c>
      <c r="D2606" s="8" t="s">
        <v>438</v>
      </c>
      <c r="E2606" s="8" t="s">
        <v>40</v>
      </c>
    </row>
    <row r="2607" spans="1:5">
      <c r="A2607" s="8">
        <v>5947</v>
      </c>
      <c r="B2607" s="8" t="s">
        <v>4238</v>
      </c>
      <c r="C2607" s="8" t="s">
        <v>249</v>
      </c>
      <c r="D2607" s="8" t="s">
        <v>54</v>
      </c>
      <c r="E2607" s="8" t="s">
        <v>40</v>
      </c>
    </row>
    <row r="2608" spans="1:5">
      <c r="A2608" s="8">
        <v>5948</v>
      </c>
      <c r="B2608" s="8" t="s">
        <v>4239</v>
      </c>
      <c r="C2608" s="8" t="s">
        <v>4240</v>
      </c>
      <c r="D2608" s="8" t="s">
        <v>4241</v>
      </c>
      <c r="E2608" s="8" t="s">
        <v>1461</v>
      </c>
    </row>
    <row r="2609" spans="1:5">
      <c r="A2609" s="8">
        <v>5949</v>
      </c>
      <c r="B2609" s="8" t="s">
        <v>4242</v>
      </c>
      <c r="C2609" s="8" t="s">
        <v>3776</v>
      </c>
      <c r="D2609" s="8" t="s">
        <v>57</v>
      </c>
      <c r="E2609" s="8" t="s">
        <v>40</v>
      </c>
    </row>
    <row r="2610" spans="1:5">
      <c r="A2610" s="8">
        <v>5950</v>
      </c>
      <c r="B2610" s="8" t="s">
        <v>1500</v>
      </c>
      <c r="C2610" s="8" t="s">
        <v>4243</v>
      </c>
      <c r="D2610" s="8" t="s">
        <v>159</v>
      </c>
      <c r="E2610" s="8" t="s">
        <v>40</v>
      </c>
    </row>
    <row r="2611" spans="1:5">
      <c r="A2611" s="8">
        <v>5951</v>
      </c>
      <c r="B2611" s="8" t="s">
        <v>4244</v>
      </c>
      <c r="C2611" s="8" t="s">
        <v>1030</v>
      </c>
      <c r="D2611" s="8" t="s">
        <v>1031</v>
      </c>
      <c r="E2611" s="8" t="s">
        <v>1026</v>
      </c>
    </row>
    <row r="2612" spans="1:5">
      <c r="A2612" s="8">
        <v>5952</v>
      </c>
      <c r="B2612" s="8" t="s">
        <v>4245</v>
      </c>
      <c r="C2612" s="8" t="s">
        <v>4246</v>
      </c>
      <c r="D2612" s="8" t="s">
        <v>335</v>
      </c>
      <c r="E2612" s="8" t="s">
        <v>239</v>
      </c>
    </row>
    <row r="2613" spans="1:5">
      <c r="A2613" s="8">
        <v>5953</v>
      </c>
      <c r="B2613" s="8" t="s">
        <v>4247</v>
      </c>
      <c r="C2613" s="8" t="s">
        <v>2708</v>
      </c>
      <c r="D2613" s="8" t="s">
        <v>1226</v>
      </c>
      <c r="E2613" s="8" t="s">
        <v>40</v>
      </c>
    </row>
    <row r="2614" spans="1:5">
      <c r="A2614" s="8">
        <v>5954</v>
      </c>
      <c r="B2614" s="8" t="s">
        <v>4248</v>
      </c>
      <c r="C2614" s="8" t="s">
        <v>2803</v>
      </c>
      <c r="D2614" s="8" t="s">
        <v>159</v>
      </c>
      <c r="E2614" s="8" t="s">
        <v>40</v>
      </c>
    </row>
    <row r="2615" spans="1:5">
      <c r="A2615" s="8">
        <v>5957</v>
      </c>
      <c r="B2615" s="8" t="s">
        <v>4249</v>
      </c>
      <c r="C2615" s="8" t="s">
        <v>1490</v>
      </c>
      <c r="D2615" s="8" t="s">
        <v>159</v>
      </c>
      <c r="E2615" s="8" t="s">
        <v>40</v>
      </c>
    </row>
    <row r="2616" spans="1:5">
      <c r="A2616" s="8">
        <v>5959</v>
      </c>
      <c r="B2616" s="8" t="s">
        <v>4250</v>
      </c>
      <c r="C2616" s="8" t="s">
        <v>4251</v>
      </c>
      <c r="D2616" s="8" t="s">
        <v>4164</v>
      </c>
      <c r="E2616" s="8" t="s">
        <v>1461</v>
      </c>
    </row>
    <row r="2617" spans="1:5">
      <c r="A2617" s="8">
        <v>5960</v>
      </c>
      <c r="B2617" s="8" t="s">
        <v>4252</v>
      </c>
      <c r="C2617" s="8" t="s">
        <v>698</v>
      </c>
      <c r="D2617" s="8" t="s">
        <v>164</v>
      </c>
      <c r="E2617" s="8" t="s">
        <v>40</v>
      </c>
    </row>
    <row r="2618" spans="1:5">
      <c r="A2618" s="8">
        <v>5962</v>
      </c>
      <c r="B2618" s="8" t="s">
        <v>4253</v>
      </c>
      <c r="C2618" s="8" t="s">
        <v>2081</v>
      </c>
      <c r="D2618" s="8" t="s">
        <v>60</v>
      </c>
      <c r="E2618" s="8" t="s">
        <v>40</v>
      </c>
    </row>
    <row r="2619" spans="1:5">
      <c r="A2619" s="8">
        <v>5963</v>
      </c>
      <c r="B2619" s="8" t="s">
        <v>4254</v>
      </c>
      <c r="C2619" s="8" t="s">
        <v>681</v>
      </c>
      <c r="D2619" s="8" t="s">
        <v>39</v>
      </c>
      <c r="E2619" s="8" t="s">
        <v>40</v>
      </c>
    </row>
    <row r="2620" spans="1:5">
      <c r="A2620" s="8">
        <v>5964</v>
      </c>
      <c r="B2620" s="8" t="s">
        <v>4255</v>
      </c>
      <c r="C2620" s="8" t="s">
        <v>4256</v>
      </c>
      <c r="D2620" s="8" t="s">
        <v>54</v>
      </c>
      <c r="E2620" s="8" t="s">
        <v>40</v>
      </c>
    </row>
    <row r="2621" spans="1:5">
      <c r="A2621" s="8">
        <v>5965</v>
      </c>
      <c r="B2621" s="8" t="s">
        <v>4257</v>
      </c>
      <c r="C2621" s="8" t="s">
        <v>4258</v>
      </c>
      <c r="D2621" s="8" t="s">
        <v>1226</v>
      </c>
      <c r="E2621" s="8" t="s">
        <v>40</v>
      </c>
    </row>
    <row r="2622" spans="1:5">
      <c r="A2622" s="8">
        <v>5966</v>
      </c>
      <c r="B2622" s="8" t="s">
        <v>4259</v>
      </c>
      <c r="C2622" s="8" t="s">
        <v>2853</v>
      </c>
      <c r="D2622" s="8" t="s">
        <v>43</v>
      </c>
      <c r="E2622" s="8" t="s">
        <v>40</v>
      </c>
    </row>
    <row r="2623" spans="1:5">
      <c r="A2623" s="8">
        <v>5968</v>
      </c>
      <c r="B2623" s="8" t="s">
        <v>4260</v>
      </c>
      <c r="C2623" s="8" t="s">
        <v>4261</v>
      </c>
      <c r="D2623" s="8" t="s">
        <v>696</v>
      </c>
      <c r="E2623" s="8" t="s">
        <v>40</v>
      </c>
    </row>
    <row r="2624" spans="1:5">
      <c r="A2624" s="8">
        <v>5970</v>
      </c>
      <c r="B2624" s="8" t="s">
        <v>4262</v>
      </c>
      <c r="C2624" s="8" t="s">
        <v>978</v>
      </c>
      <c r="D2624" s="8" t="s">
        <v>603</v>
      </c>
      <c r="E2624" s="8" t="s">
        <v>40</v>
      </c>
    </row>
    <row r="2625" spans="1:5">
      <c r="A2625" s="8">
        <v>5971</v>
      </c>
      <c r="B2625" s="8" t="s">
        <v>4263</v>
      </c>
      <c r="C2625" s="8" t="s">
        <v>4264</v>
      </c>
      <c r="D2625" s="8" t="s">
        <v>1226</v>
      </c>
      <c r="E2625" s="8" t="s">
        <v>40</v>
      </c>
    </row>
    <row r="2626" spans="1:5">
      <c r="A2626" s="8">
        <v>5973</v>
      </c>
      <c r="B2626" s="8" t="s">
        <v>4265</v>
      </c>
      <c r="C2626" s="8" t="s">
        <v>4266</v>
      </c>
      <c r="D2626" s="8" t="s">
        <v>81</v>
      </c>
      <c r="E2626" s="8" t="s">
        <v>40</v>
      </c>
    </row>
    <row r="2627" spans="1:5">
      <c r="A2627" s="8">
        <v>5974</v>
      </c>
      <c r="B2627" s="8" t="s">
        <v>4267</v>
      </c>
      <c r="C2627" s="8" t="s">
        <v>1902</v>
      </c>
      <c r="D2627" s="8" t="s">
        <v>1563</v>
      </c>
      <c r="E2627" s="8" t="s">
        <v>40</v>
      </c>
    </row>
    <row r="2628" spans="1:5">
      <c r="A2628" s="8">
        <v>5975</v>
      </c>
      <c r="B2628" s="8" t="s">
        <v>4268</v>
      </c>
      <c r="C2628" s="8" t="s">
        <v>944</v>
      </c>
      <c r="D2628" s="8" t="s">
        <v>603</v>
      </c>
      <c r="E2628" s="8" t="s">
        <v>40</v>
      </c>
    </row>
    <row r="2629" spans="1:5">
      <c r="A2629" s="8">
        <v>5976</v>
      </c>
      <c r="B2629" s="8" t="s">
        <v>4269</v>
      </c>
      <c r="C2629" s="8" t="s">
        <v>1329</v>
      </c>
      <c r="D2629" s="8" t="s">
        <v>132</v>
      </c>
      <c r="E2629" s="8" t="s">
        <v>40</v>
      </c>
    </row>
    <row r="2630" spans="1:5">
      <c r="A2630" s="8">
        <v>5977</v>
      </c>
      <c r="B2630" s="8" t="s">
        <v>4270</v>
      </c>
      <c r="C2630" s="8" t="s">
        <v>944</v>
      </c>
      <c r="D2630" s="8" t="s">
        <v>603</v>
      </c>
      <c r="E2630" s="8" t="s">
        <v>40</v>
      </c>
    </row>
    <row r="2631" spans="1:5">
      <c r="A2631" s="8">
        <v>5980</v>
      </c>
      <c r="B2631" s="8" t="s">
        <v>4271</v>
      </c>
      <c r="C2631" s="8" t="s">
        <v>681</v>
      </c>
      <c r="D2631" s="8" t="s">
        <v>39</v>
      </c>
      <c r="E2631" s="8" t="s">
        <v>40</v>
      </c>
    </row>
    <row r="2632" spans="1:5">
      <c r="A2632" s="8">
        <v>5982</v>
      </c>
      <c r="B2632" s="8" t="s">
        <v>4272</v>
      </c>
      <c r="C2632" s="8" t="s">
        <v>4273</v>
      </c>
      <c r="D2632" s="8" t="s">
        <v>39</v>
      </c>
      <c r="E2632" s="8" t="s">
        <v>40</v>
      </c>
    </row>
    <row r="2633" spans="1:5">
      <c r="A2633" s="8">
        <v>5983</v>
      </c>
      <c r="B2633" s="8" t="s">
        <v>4274</v>
      </c>
      <c r="C2633" s="8" t="s">
        <v>4275</v>
      </c>
      <c r="D2633" s="8" t="s">
        <v>1994</v>
      </c>
      <c r="E2633" s="8" t="s">
        <v>1995</v>
      </c>
    </row>
    <row r="2634" spans="1:5">
      <c r="A2634" s="8">
        <v>5985</v>
      </c>
      <c r="B2634" s="8" t="s">
        <v>4276</v>
      </c>
      <c r="C2634" s="8" t="s">
        <v>4277</v>
      </c>
      <c r="D2634" s="8" t="s">
        <v>1994</v>
      </c>
      <c r="E2634" s="8" t="s">
        <v>1995</v>
      </c>
    </row>
    <row r="2635" spans="1:5">
      <c r="A2635" s="8">
        <v>5986</v>
      </c>
      <c r="B2635" s="8" t="s">
        <v>4278</v>
      </c>
      <c r="C2635" s="8" t="s">
        <v>445</v>
      </c>
      <c r="D2635" s="8" t="s">
        <v>164</v>
      </c>
      <c r="E2635" s="8" t="s">
        <v>40</v>
      </c>
    </row>
    <row r="2636" spans="1:5">
      <c r="A2636" s="8">
        <v>5987</v>
      </c>
      <c r="B2636" s="8" t="s">
        <v>4279</v>
      </c>
      <c r="C2636" s="8" t="s">
        <v>1276</v>
      </c>
      <c r="D2636" s="8" t="s">
        <v>1276</v>
      </c>
      <c r="E2636" s="8" t="s">
        <v>1026</v>
      </c>
    </row>
    <row r="2637" spans="1:5">
      <c r="A2637" s="8">
        <v>5988</v>
      </c>
      <c r="B2637" s="8" t="s">
        <v>4280</v>
      </c>
      <c r="C2637" s="8" t="s">
        <v>4280</v>
      </c>
      <c r="D2637" s="8" t="s">
        <v>1994</v>
      </c>
      <c r="E2637" s="8" t="s">
        <v>1995</v>
      </c>
    </row>
    <row r="2638" spans="1:5">
      <c r="A2638" s="8">
        <v>5989</v>
      </c>
      <c r="B2638" s="8" t="s">
        <v>3301</v>
      </c>
      <c r="C2638" s="8" t="s">
        <v>4281</v>
      </c>
      <c r="D2638" s="8" t="s">
        <v>39</v>
      </c>
      <c r="E2638" s="8" t="s">
        <v>40</v>
      </c>
    </row>
    <row r="2639" spans="1:5">
      <c r="A2639" s="8">
        <v>5990</v>
      </c>
      <c r="B2639" s="8" t="s">
        <v>4282</v>
      </c>
      <c r="C2639" s="8" t="s">
        <v>4283</v>
      </c>
      <c r="D2639" s="8" t="s">
        <v>1034</v>
      </c>
      <c r="E2639" s="8" t="s">
        <v>1026</v>
      </c>
    </row>
    <row r="2640" spans="1:5">
      <c r="A2640" s="8">
        <v>5991</v>
      </c>
      <c r="B2640" s="8" t="s">
        <v>2491</v>
      </c>
      <c r="C2640" s="8" t="s">
        <v>4284</v>
      </c>
      <c r="D2640" s="8" t="s">
        <v>1221</v>
      </c>
      <c r="E2640" s="8" t="s">
        <v>40</v>
      </c>
    </row>
    <row r="2641" spans="1:5">
      <c r="A2641" s="8">
        <v>5992</v>
      </c>
      <c r="B2641" s="8" t="s">
        <v>1040</v>
      </c>
      <c r="C2641" s="8" t="s">
        <v>4285</v>
      </c>
      <c r="D2641" s="8" t="s">
        <v>48</v>
      </c>
      <c r="E2641" s="8" t="s">
        <v>40</v>
      </c>
    </row>
    <row r="2642" spans="1:5">
      <c r="A2642" s="8">
        <v>5993</v>
      </c>
      <c r="B2642" s="8" t="s">
        <v>4286</v>
      </c>
      <c r="C2642" s="8" t="s">
        <v>4287</v>
      </c>
      <c r="D2642" s="8" t="s">
        <v>1834</v>
      </c>
      <c r="E2642" s="8" t="s">
        <v>1835</v>
      </c>
    </row>
    <row r="2643" spans="1:5">
      <c r="A2643" s="8">
        <v>5994</v>
      </c>
      <c r="B2643" s="8" t="s">
        <v>4288</v>
      </c>
      <c r="C2643" s="8" t="s">
        <v>2196</v>
      </c>
      <c r="D2643" s="8" t="s">
        <v>335</v>
      </c>
      <c r="E2643" s="8" t="s">
        <v>239</v>
      </c>
    </row>
    <row r="2644" spans="1:5">
      <c r="A2644" s="8">
        <v>5996</v>
      </c>
      <c r="B2644" s="8" t="s">
        <v>4289</v>
      </c>
      <c r="C2644" s="8" t="s">
        <v>4290</v>
      </c>
      <c r="D2644" s="8" t="s">
        <v>4291</v>
      </c>
      <c r="E2644" s="8" t="s">
        <v>4292</v>
      </c>
    </row>
    <row r="2645" spans="1:5">
      <c r="A2645" s="8">
        <v>5997</v>
      </c>
      <c r="B2645" s="8" t="s">
        <v>4293</v>
      </c>
      <c r="C2645" s="8" t="s">
        <v>4294</v>
      </c>
      <c r="D2645" s="8" t="s">
        <v>1226</v>
      </c>
      <c r="E2645" s="8" t="s">
        <v>40</v>
      </c>
    </row>
    <row r="2646" spans="1:5">
      <c r="A2646" s="8">
        <v>5998</v>
      </c>
      <c r="B2646" s="8" t="s">
        <v>4295</v>
      </c>
      <c r="C2646" s="8" t="s">
        <v>4296</v>
      </c>
      <c r="D2646" s="8" t="s">
        <v>1221</v>
      </c>
      <c r="E2646" s="8" t="s">
        <v>40</v>
      </c>
    </row>
    <row r="2647" spans="1:5">
      <c r="A2647" s="8">
        <v>5999</v>
      </c>
      <c r="B2647" s="8" t="s">
        <v>4297</v>
      </c>
      <c r="C2647" s="8" t="s">
        <v>4298</v>
      </c>
      <c r="D2647" s="8" t="s">
        <v>1221</v>
      </c>
      <c r="E2647" s="8" t="s">
        <v>40</v>
      </c>
    </row>
    <row r="2648" spans="1:5">
      <c r="A2648" s="8">
        <v>6000</v>
      </c>
      <c r="B2648" s="8" t="s">
        <v>4299</v>
      </c>
      <c r="C2648" s="8" t="s">
        <v>523</v>
      </c>
      <c r="D2648" s="8" t="s">
        <v>43</v>
      </c>
      <c r="E2648" s="8" t="s">
        <v>40</v>
      </c>
    </row>
    <row r="2649" spans="1:5">
      <c r="A2649" s="8">
        <v>6001</v>
      </c>
      <c r="B2649" s="8" t="s">
        <v>4300</v>
      </c>
      <c r="C2649" s="8" t="s">
        <v>4301</v>
      </c>
      <c r="D2649" s="8" t="s">
        <v>4302</v>
      </c>
      <c r="E2649" s="8" t="s">
        <v>4303</v>
      </c>
    </row>
    <row r="2650" spans="1:5">
      <c r="A2650" s="8">
        <v>6002</v>
      </c>
      <c r="B2650" s="8" t="s">
        <v>4304</v>
      </c>
      <c r="C2650" s="8" t="s">
        <v>1101</v>
      </c>
      <c r="D2650" s="8" t="s">
        <v>39</v>
      </c>
      <c r="E2650" s="8" t="s">
        <v>40</v>
      </c>
    </row>
    <row r="2651" spans="1:5">
      <c r="A2651" s="8">
        <v>6003</v>
      </c>
      <c r="B2651" s="8" t="s">
        <v>4305</v>
      </c>
      <c r="C2651" s="8" t="s">
        <v>4306</v>
      </c>
      <c r="D2651" s="8" t="s">
        <v>429</v>
      </c>
      <c r="E2651" s="8" t="s">
        <v>40</v>
      </c>
    </row>
    <row r="2652" spans="1:5">
      <c r="A2652" s="8">
        <v>6004</v>
      </c>
      <c r="B2652" s="8" t="s">
        <v>4307</v>
      </c>
      <c r="C2652" s="8" t="s">
        <v>4207</v>
      </c>
      <c r="D2652" s="8" t="s">
        <v>429</v>
      </c>
      <c r="E2652" s="8" t="s">
        <v>40</v>
      </c>
    </row>
    <row r="2653" spans="1:5">
      <c r="A2653" s="8">
        <v>6005</v>
      </c>
      <c r="B2653" s="8" t="s">
        <v>4308</v>
      </c>
      <c r="C2653" s="8" t="s">
        <v>4309</v>
      </c>
      <c r="D2653" s="8" t="s">
        <v>39</v>
      </c>
      <c r="E2653" s="8" t="s">
        <v>40</v>
      </c>
    </row>
    <row r="2654" spans="1:5">
      <c r="A2654" s="8">
        <v>6007</v>
      </c>
      <c r="B2654" s="8" t="s">
        <v>4310</v>
      </c>
      <c r="C2654" s="8" t="s">
        <v>4311</v>
      </c>
      <c r="D2654" s="8" t="s">
        <v>1994</v>
      </c>
      <c r="E2654" s="8" t="s">
        <v>1995</v>
      </c>
    </row>
    <row r="2655" spans="1:5">
      <c r="A2655" s="8">
        <v>6009</v>
      </c>
      <c r="B2655" s="8" t="s">
        <v>4312</v>
      </c>
      <c r="C2655" s="8" t="s">
        <v>650</v>
      </c>
      <c r="D2655" s="8" t="s">
        <v>238</v>
      </c>
      <c r="E2655" s="8" t="s">
        <v>239</v>
      </c>
    </row>
    <row r="2656" spans="1:5">
      <c r="A2656" s="8">
        <v>6010</v>
      </c>
      <c r="B2656" s="8" t="s">
        <v>4313</v>
      </c>
      <c r="C2656" s="8" t="s">
        <v>4314</v>
      </c>
      <c r="D2656" s="8" t="s">
        <v>3477</v>
      </c>
      <c r="E2656" s="8" t="s">
        <v>1461</v>
      </c>
    </row>
    <row r="2657" spans="1:5">
      <c r="A2657" s="8">
        <v>6011</v>
      </c>
      <c r="B2657" s="8" t="s">
        <v>4315</v>
      </c>
      <c r="C2657" s="8" t="s">
        <v>4316</v>
      </c>
      <c r="D2657" s="8" t="s">
        <v>39</v>
      </c>
      <c r="E2657" s="8" t="s">
        <v>40</v>
      </c>
    </row>
    <row r="2658" spans="1:5">
      <c r="A2658" s="8">
        <v>6012</v>
      </c>
      <c r="B2658" s="8" t="s">
        <v>4317</v>
      </c>
      <c r="C2658" s="8" t="s">
        <v>470</v>
      </c>
      <c r="D2658" s="8" t="s">
        <v>79</v>
      </c>
      <c r="E2658" s="8" t="s">
        <v>40</v>
      </c>
    </row>
    <row r="2659" spans="1:5">
      <c r="A2659" s="8">
        <v>6013</v>
      </c>
      <c r="B2659" s="8" t="s">
        <v>869</v>
      </c>
      <c r="C2659" s="8" t="s">
        <v>1114</v>
      </c>
      <c r="D2659" s="8" t="s">
        <v>39</v>
      </c>
      <c r="E2659" s="8" t="s">
        <v>40</v>
      </c>
    </row>
    <row r="2660" spans="1:5">
      <c r="A2660" s="8">
        <v>6014</v>
      </c>
      <c r="B2660" s="8" t="s">
        <v>4318</v>
      </c>
      <c r="C2660" s="8" t="s">
        <v>1834</v>
      </c>
      <c r="D2660" s="8" t="s">
        <v>1834</v>
      </c>
      <c r="E2660" s="8" t="s">
        <v>1835</v>
      </c>
    </row>
    <row r="2661" spans="1:5">
      <c r="A2661" s="8">
        <v>6016</v>
      </c>
      <c r="B2661" s="8" t="s">
        <v>2577</v>
      </c>
      <c r="C2661" s="8" t="s">
        <v>4319</v>
      </c>
      <c r="D2661" s="8" t="s">
        <v>48</v>
      </c>
      <c r="E2661" s="8" t="s">
        <v>40</v>
      </c>
    </row>
    <row r="2662" spans="1:5">
      <c r="A2662" s="8">
        <v>6017</v>
      </c>
      <c r="B2662" s="8" t="s">
        <v>4320</v>
      </c>
      <c r="C2662" s="8" t="s">
        <v>4085</v>
      </c>
      <c r="D2662" s="8" t="s">
        <v>3135</v>
      </c>
      <c r="E2662" s="8" t="s">
        <v>1461</v>
      </c>
    </row>
    <row r="2663" spans="1:5">
      <c r="A2663" s="8">
        <v>6018</v>
      </c>
      <c r="B2663" s="8" t="s">
        <v>4321</v>
      </c>
      <c r="C2663" s="8" t="s">
        <v>4322</v>
      </c>
      <c r="D2663" s="8" t="s">
        <v>4323</v>
      </c>
      <c r="E2663" s="8" t="s">
        <v>3670</v>
      </c>
    </row>
    <row r="2664" spans="1:5">
      <c r="A2664" s="8">
        <v>6019</v>
      </c>
      <c r="B2664" s="8" t="s">
        <v>4324</v>
      </c>
      <c r="C2664" s="8" t="s">
        <v>2754</v>
      </c>
      <c r="D2664" s="8" t="s">
        <v>39</v>
      </c>
      <c r="E2664" s="8" t="s">
        <v>40</v>
      </c>
    </row>
    <row r="2665" spans="1:5">
      <c r="A2665" s="8">
        <v>6020</v>
      </c>
      <c r="B2665" s="8" t="s">
        <v>4325</v>
      </c>
      <c r="C2665" s="8" t="s">
        <v>4326</v>
      </c>
      <c r="D2665" s="8" t="s">
        <v>39</v>
      </c>
      <c r="E2665" s="8" t="s">
        <v>40</v>
      </c>
    </row>
    <row r="2666" spans="1:5">
      <c r="A2666" s="8">
        <v>6021</v>
      </c>
      <c r="B2666" s="8" t="s">
        <v>4327</v>
      </c>
      <c r="C2666" s="8" t="s">
        <v>481</v>
      </c>
      <c r="D2666" s="8" t="s">
        <v>159</v>
      </c>
      <c r="E2666" s="8" t="s">
        <v>40</v>
      </c>
    </row>
    <row r="2667" spans="1:5">
      <c r="A2667" s="8">
        <v>6022</v>
      </c>
      <c r="B2667" s="8" t="s">
        <v>4328</v>
      </c>
      <c r="C2667" s="8" t="s">
        <v>4329</v>
      </c>
      <c r="D2667" s="8" t="s">
        <v>1221</v>
      </c>
      <c r="E2667" s="8" t="s">
        <v>40</v>
      </c>
    </row>
    <row r="2668" spans="1:5">
      <c r="A2668" s="8">
        <v>6023</v>
      </c>
      <c r="B2668" s="8" t="s">
        <v>4330</v>
      </c>
      <c r="C2668" s="8" t="s">
        <v>934</v>
      </c>
      <c r="D2668" s="8" t="s">
        <v>630</v>
      </c>
      <c r="E2668" s="8" t="s">
        <v>40</v>
      </c>
    </row>
    <row r="2669" spans="1:5">
      <c r="A2669" s="8">
        <v>6024</v>
      </c>
      <c r="B2669" s="8" t="s">
        <v>4331</v>
      </c>
      <c r="C2669" s="8" t="s">
        <v>4332</v>
      </c>
      <c r="D2669" s="8" t="s">
        <v>4333</v>
      </c>
      <c r="E2669" s="8" t="s">
        <v>4334</v>
      </c>
    </row>
    <row r="2670" spans="1:5">
      <c r="A2670" s="8">
        <v>6025</v>
      </c>
      <c r="B2670" s="8" t="s">
        <v>4335</v>
      </c>
      <c r="C2670" s="8" t="s">
        <v>1834</v>
      </c>
      <c r="D2670" s="8" t="s">
        <v>1834</v>
      </c>
      <c r="E2670" s="8" t="s">
        <v>1835</v>
      </c>
    </row>
    <row r="2671" spans="1:5">
      <c r="A2671" s="8">
        <v>6026</v>
      </c>
      <c r="B2671" s="8" t="s">
        <v>4336</v>
      </c>
      <c r="C2671" s="8" t="s">
        <v>1761</v>
      </c>
      <c r="D2671" s="8" t="s">
        <v>69</v>
      </c>
      <c r="E2671" s="8" t="s">
        <v>40</v>
      </c>
    </row>
    <row r="2672" spans="1:5">
      <c r="A2672" s="8">
        <v>6027</v>
      </c>
      <c r="B2672" s="8" t="s">
        <v>4337</v>
      </c>
      <c r="C2672" s="8" t="s">
        <v>591</v>
      </c>
      <c r="D2672" s="8" t="s">
        <v>81</v>
      </c>
      <c r="E2672" s="8" t="s">
        <v>40</v>
      </c>
    </row>
    <row r="2673" spans="1:5">
      <c r="A2673" s="8">
        <v>6029</v>
      </c>
      <c r="B2673" s="8" t="s">
        <v>4338</v>
      </c>
      <c r="C2673" s="8" t="s">
        <v>4339</v>
      </c>
      <c r="D2673" s="8" t="s">
        <v>39</v>
      </c>
      <c r="E2673" s="8" t="s">
        <v>40</v>
      </c>
    </row>
    <row r="2674" spans="1:5">
      <c r="A2674" s="8">
        <v>6032</v>
      </c>
      <c r="B2674" s="8" t="s">
        <v>4340</v>
      </c>
      <c r="C2674" s="8" t="s">
        <v>2003</v>
      </c>
      <c r="D2674" s="8" t="s">
        <v>81</v>
      </c>
      <c r="E2674" s="8" t="s">
        <v>40</v>
      </c>
    </row>
    <row r="2675" spans="1:5">
      <c r="A2675" s="8">
        <v>6033</v>
      </c>
      <c r="B2675" s="8" t="s">
        <v>4341</v>
      </c>
      <c r="C2675" s="8" t="s">
        <v>3293</v>
      </c>
      <c r="D2675" s="8" t="s">
        <v>39</v>
      </c>
      <c r="E2675" s="8" t="s">
        <v>40</v>
      </c>
    </row>
    <row r="2676" spans="1:5">
      <c r="A2676" s="8">
        <v>6035</v>
      </c>
      <c r="B2676" s="8" t="s">
        <v>4342</v>
      </c>
      <c r="C2676" s="8" t="s">
        <v>4343</v>
      </c>
      <c r="D2676" s="8" t="s">
        <v>1994</v>
      </c>
      <c r="E2676" s="8" t="s">
        <v>1995</v>
      </c>
    </row>
    <row r="2677" spans="1:5">
      <c r="A2677" s="8">
        <v>6036</v>
      </c>
      <c r="B2677" s="8" t="s">
        <v>4344</v>
      </c>
      <c r="C2677" s="8" t="s">
        <v>45</v>
      </c>
      <c r="D2677" s="8" t="s">
        <v>43</v>
      </c>
      <c r="E2677" s="8" t="s">
        <v>40</v>
      </c>
    </row>
    <row r="2678" spans="1:5">
      <c r="A2678" s="8">
        <v>6038</v>
      </c>
      <c r="B2678" s="8" t="s">
        <v>4345</v>
      </c>
      <c r="C2678" s="8" t="s">
        <v>4346</v>
      </c>
      <c r="D2678" s="8" t="s">
        <v>1834</v>
      </c>
      <c r="E2678" s="8" t="s">
        <v>1835</v>
      </c>
    </row>
    <row r="2679" spans="1:5">
      <c r="A2679" s="8">
        <v>6039</v>
      </c>
      <c r="B2679" s="8" t="s">
        <v>4347</v>
      </c>
      <c r="C2679" s="8" t="s">
        <v>4348</v>
      </c>
      <c r="D2679" s="8" t="s">
        <v>43</v>
      </c>
      <c r="E2679" s="8" t="s">
        <v>40</v>
      </c>
    </row>
    <row r="2680" spans="1:5">
      <c r="A2680" s="8">
        <v>6041</v>
      </c>
      <c r="B2680" s="8" t="s">
        <v>543</v>
      </c>
      <c r="C2680" s="8" t="s">
        <v>4035</v>
      </c>
      <c r="D2680" s="8" t="s">
        <v>964</v>
      </c>
      <c r="E2680" s="8" t="s">
        <v>239</v>
      </c>
    </row>
    <row r="2681" spans="1:5">
      <c r="A2681" s="8">
        <v>6043</v>
      </c>
      <c r="B2681" s="8" t="s">
        <v>4349</v>
      </c>
      <c r="C2681" s="8" t="s">
        <v>4350</v>
      </c>
      <c r="D2681" s="8" t="s">
        <v>39</v>
      </c>
      <c r="E2681" s="8" t="s">
        <v>40</v>
      </c>
    </row>
    <row r="2682" spans="1:5">
      <c r="A2682" s="8">
        <v>6044</v>
      </c>
      <c r="B2682" s="8" t="s">
        <v>575</v>
      </c>
      <c r="C2682" s="8" t="s">
        <v>4351</v>
      </c>
      <c r="D2682" s="8" t="s">
        <v>1221</v>
      </c>
      <c r="E2682" s="8" t="s">
        <v>40</v>
      </c>
    </row>
    <row r="2683" spans="1:5">
      <c r="A2683" s="8">
        <v>6045</v>
      </c>
      <c r="B2683" s="8" t="s">
        <v>4352</v>
      </c>
      <c r="C2683" s="8" t="s">
        <v>4353</v>
      </c>
      <c r="D2683" s="8" t="s">
        <v>1221</v>
      </c>
      <c r="E2683" s="8" t="s">
        <v>40</v>
      </c>
    </row>
    <row r="2684" spans="1:5">
      <c r="A2684" s="8">
        <v>6047</v>
      </c>
      <c r="B2684" s="8" t="s">
        <v>4354</v>
      </c>
      <c r="C2684" s="8" t="s">
        <v>4355</v>
      </c>
      <c r="D2684" s="8" t="s">
        <v>1221</v>
      </c>
      <c r="E2684" s="8" t="s">
        <v>40</v>
      </c>
    </row>
    <row r="2685" spans="1:5">
      <c r="A2685" s="8">
        <v>6049</v>
      </c>
      <c r="B2685" s="8" t="s">
        <v>4356</v>
      </c>
      <c r="C2685" s="8" t="s">
        <v>1356</v>
      </c>
      <c r="D2685" s="8" t="s">
        <v>1037</v>
      </c>
      <c r="E2685" s="8" t="s">
        <v>1026</v>
      </c>
    </row>
    <row r="2686" spans="1:5">
      <c r="A2686" s="8">
        <v>6050</v>
      </c>
      <c r="B2686" s="8" t="s">
        <v>4357</v>
      </c>
      <c r="C2686" s="8" t="s">
        <v>4358</v>
      </c>
      <c r="D2686" s="8" t="s">
        <v>1994</v>
      </c>
      <c r="E2686" s="8" t="s">
        <v>1995</v>
      </c>
    </row>
    <row r="2687" spans="1:5">
      <c r="A2687" s="8">
        <v>6052</v>
      </c>
      <c r="B2687" s="8" t="s">
        <v>4359</v>
      </c>
      <c r="C2687" s="8" t="s">
        <v>1205</v>
      </c>
      <c r="D2687" s="8" t="s">
        <v>238</v>
      </c>
      <c r="E2687" s="8" t="s">
        <v>239</v>
      </c>
    </row>
    <row r="2688" spans="1:5">
      <c r="A2688" s="8">
        <v>6053</v>
      </c>
      <c r="B2688" s="8" t="s">
        <v>4360</v>
      </c>
      <c r="C2688" s="8" t="s">
        <v>4361</v>
      </c>
      <c r="D2688" s="8" t="s">
        <v>39</v>
      </c>
      <c r="E2688" s="8" t="s">
        <v>40</v>
      </c>
    </row>
    <row r="2689" spans="1:5">
      <c r="A2689" s="8">
        <v>6054</v>
      </c>
      <c r="B2689" s="8" t="s">
        <v>4362</v>
      </c>
      <c r="C2689" s="8" t="s">
        <v>4363</v>
      </c>
      <c r="D2689" s="8" t="s">
        <v>81</v>
      </c>
      <c r="E2689" s="8" t="s">
        <v>40</v>
      </c>
    </row>
    <row r="2690" spans="1:5">
      <c r="A2690" s="8">
        <v>6055</v>
      </c>
      <c r="B2690" s="8" t="s">
        <v>4364</v>
      </c>
      <c r="C2690" s="8" t="s">
        <v>4365</v>
      </c>
      <c r="D2690" s="8" t="s">
        <v>51</v>
      </c>
      <c r="E2690" s="8" t="s">
        <v>40</v>
      </c>
    </row>
    <row r="2691" spans="1:5">
      <c r="A2691" s="8">
        <v>6056</v>
      </c>
      <c r="B2691" s="8" t="s">
        <v>4366</v>
      </c>
      <c r="C2691" s="8" t="s">
        <v>4367</v>
      </c>
      <c r="D2691" s="8" t="s">
        <v>1221</v>
      </c>
      <c r="E2691" s="8" t="s">
        <v>40</v>
      </c>
    </row>
    <row r="2692" spans="1:5">
      <c r="A2692" s="8">
        <v>6057</v>
      </c>
      <c r="B2692" s="8" t="s">
        <v>4368</v>
      </c>
      <c r="C2692" s="8" t="s">
        <v>841</v>
      </c>
      <c r="D2692" s="8" t="s">
        <v>39</v>
      </c>
      <c r="E2692" s="8" t="s">
        <v>40</v>
      </c>
    </row>
    <row r="2693" spans="1:5">
      <c r="A2693" s="8">
        <v>6059</v>
      </c>
      <c r="B2693" s="8" t="s">
        <v>4369</v>
      </c>
      <c r="C2693" s="8" t="s">
        <v>4370</v>
      </c>
      <c r="D2693" s="8" t="s">
        <v>43</v>
      </c>
      <c r="E2693" s="8" t="s">
        <v>40</v>
      </c>
    </row>
    <row r="2694" spans="1:5">
      <c r="A2694" s="8">
        <v>6060</v>
      </c>
      <c r="B2694" s="8" t="s">
        <v>4371</v>
      </c>
      <c r="C2694" s="8" t="s">
        <v>4372</v>
      </c>
      <c r="D2694" s="8" t="s">
        <v>43</v>
      </c>
      <c r="E2694" s="8" t="s">
        <v>40</v>
      </c>
    </row>
    <row r="2695" spans="1:5">
      <c r="A2695" s="8">
        <v>6062</v>
      </c>
      <c r="B2695" s="8" t="s">
        <v>4373</v>
      </c>
      <c r="C2695" s="8" t="s">
        <v>4374</v>
      </c>
      <c r="D2695" s="8" t="s">
        <v>1994</v>
      </c>
      <c r="E2695" s="8" t="s">
        <v>1995</v>
      </c>
    </row>
    <row r="2696" spans="1:5">
      <c r="A2696" s="8">
        <v>6063</v>
      </c>
      <c r="B2696" s="8" t="s">
        <v>4375</v>
      </c>
      <c r="C2696" s="8" t="s">
        <v>4376</v>
      </c>
      <c r="D2696" s="8" t="s">
        <v>4377</v>
      </c>
      <c r="E2696" s="8" t="s">
        <v>1995</v>
      </c>
    </row>
    <row r="2697" spans="1:5">
      <c r="A2697" s="8">
        <v>6064</v>
      </c>
      <c r="B2697" s="8" t="s">
        <v>4378</v>
      </c>
      <c r="C2697" s="8" t="s">
        <v>4379</v>
      </c>
      <c r="D2697" s="8" t="s">
        <v>1834</v>
      </c>
      <c r="E2697" s="8" t="s">
        <v>1835</v>
      </c>
    </row>
    <row r="2698" spans="1:5">
      <c r="A2698" s="8">
        <v>6065</v>
      </c>
      <c r="B2698" s="8" t="s">
        <v>4380</v>
      </c>
      <c r="C2698" s="8" t="s">
        <v>681</v>
      </c>
      <c r="D2698" s="8" t="s">
        <v>39</v>
      </c>
      <c r="E2698" s="8" t="s">
        <v>40</v>
      </c>
    </row>
    <row r="2699" spans="1:5">
      <c r="A2699" s="8">
        <v>6066</v>
      </c>
      <c r="B2699" s="8" t="s">
        <v>4381</v>
      </c>
      <c r="C2699" s="8" t="s">
        <v>4382</v>
      </c>
      <c r="D2699" s="8" t="s">
        <v>39</v>
      </c>
      <c r="E2699" s="8" t="s">
        <v>40</v>
      </c>
    </row>
    <row r="2700" spans="1:5">
      <c r="A2700" s="8">
        <v>6067</v>
      </c>
      <c r="B2700" s="8" t="s">
        <v>4383</v>
      </c>
      <c r="C2700" s="8" t="s">
        <v>867</v>
      </c>
      <c r="D2700" s="8" t="s">
        <v>39</v>
      </c>
      <c r="E2700" s="8" t="s">
        <v>40</v>
      </c>
    </row>
    <row r="2701" spans="1:5">
      <c r="A2701" s="8">
        <v>6068</v>
      </c>
      <c r="B2701" s="8" t="s">
        <v>4384</v>
      </c>
      <c r="C2701" s="8" t="s">
        <v>4385</v>
      </c>
      <c r="D2701" s="8" t="s">
        <v>393</v>
      </c>
      <c r="E2701" s="8" t="s">
        <v>40</v>
      </c>
    </row>
    <row r="2702" spans="1:5">
      <c r="A2702" s="8">
        <v>6070</v>
      </c>
      <c r="B2702" s="8" t="s">
        <v>4386</v>
      </c>
      <c r="C2702" s="8" t="s">
        <v>829</v>
      </c>
      <c r="D2702" s="8" t="s">
        <v>238</v>
      </c>
      <c r="E2702" s="8" t="s">
        <v>239</v>
      </c>
    </row>
    <row r="2703" spans="1:5">
      <c r="A2703" s="8">
        <v>6071</v>
      </c>
      <c r="B2703" s="8" t="s">
        <v>4387</v>
      </c>
      <c r="C2703" s="8" t="s">
        <v>4326</v>
      </c>
      <c r="D2703" s="8" t="s">
        <v>39</v>
      </c>
      <c r="E2703" s="8" t="s">
        <v>40</v>
      </c>
    </row>
    <row r="2704" spans="1:5">
      <c r="A2704" s="8">
        <v>6072</v>
      </c>
      <c r="B2704" s="8" t="s">
        <v>4388</v>
      </c>
      <c r="C2704" s="8" t="s">
        <v>4389</v>
      </c>
      <c r="D2704" s="8" t="s">
        <v>43</v>
      </c>
      <c r="E2704" s="8" t="s">
        <v>40</v>
      </c>
    </row>
    <row r="2705" spans="1:5">
      <c r="A2705" s="8">
        <v>6073</v>
      </c>
      <c r="B2705" s="8" t="s">
        <v>4390</v>
      </c>
      <c r="C2705" s="8" t="s">
        <v>583</v>
      </c>
      <c r="D2705" s="8" t="s">
        <v>39</v>
      </c>
      <c r="E2705" s="8" t="s">
        <v>40</v>
      </c>
    </row>
    <row r="2706" spans="1:5">
      <c r="A2706" s="8">
        <v>6074</v>
      </c>
      <c r="B2706" s="8" t="s">
        <v>4391</v>
      </c>
      <c r="C2706" s="8" t="s">
        <v>4392</v>
      </c>
      <c r="D2706" s="8" t="s">
        <v>39</v>
      </c>
      <c r="E2706" s="8" t="s">
        <v>40</v>
      </c>
    </row>
    <row r="2707" spans="1:5">
      <c r="A2707" s="8">
        <v>6075</v>
      </c>
      <c r="B2707" s="8" t="s">
        <v>4393</v>
      </c>
      <c r="C2707" s="8" t="s">
        <v>4394</v>
      </c>
      <c r="D2707" s="8" t="s">
        <v>39</v>
      </c>
      <c r="E2707" s="8" t="s">
        <v>40</v>
      </c>
    </row>
    <row r="2708" spans="1:5">
      <c r="A2708" s="8">
        <v>6076</v>
      </c>
      <c r="B2708" s="8" t="s">
        <v>2500</v>
      </c>
      <c r="C2708" s="8" t="s">
        <v>3483</v>
      </c>
      <c r="D2708" s="8" t="s">
        <v>264</v>
      </c>
      <c r="E2708" s="8" t="s">
        <v>40</v>
      </c>
    </row>
    <row r="2709" spans="1:5">
      <c r="A2709" s="8">
        <v>6077</v>
      </c>
      <c r="B2709" s="8" t="s">
        <v>4395</v>
      </c>
      <c r="C2709" s="8" t="s">
        <v>4396</v>
      </c>
      <c r="D2709" s="8" t="s">
        <v>39</v>
      </c>
      <c r="E2709" s="8" t="s">
        <v>40</v>
      </c>
    </row>
    <row r="2710" spans="1:5">
      <c r="A2710" s="8">
        <v>6078</v>
      </c>
      <c r="B2710" s="8" t="s">
        <v>1627</v>
      </c>
      <c r="C2710" s="8" t="s">
        <v>4397</v>
      </c>
      <c r="D2710" s="8" t="s">
        <v>39</v>
      </c>
      <c r="E2710" s="8" t="s">
        <v>40</v>
      </c>
    </row>
    <row r="2711" spans="1:5">
      <c r="A2711" s="8">
        <v>6079</v>
      </c>
      <c r="B2711" s="8" t="s">
        <v>2595</v>
      </c>
      <c r="C2711" s="8" t="s">
        <v>4398</v>
      </c>
      <c r="D2711" s="8" t="s">
        <v>39</v>
      </c>
      <c r="E2711" s="8" t="s">
        <v>40</v>
      </c>
    </row>
    <row r="2712" spans="1:5">
      <c r="A2712" s="8">
        <v>6081</v>
      </c>
      <c r="B2712" s="8" t="s">
        <v>4399</v>
      </c>
      <c r="C2712" s="8" t="s">
        <v>180</v>
      </c>
      <c r="D2712" s="8" t="s">
        <v>39</v>
      </c>
      <c r="E2712" s="8" t="s">
        <v>40</v>
      </c>
    </row>
    <row r="2713" spans="1:5">
      <c r="A2713" s="8">
        <v>6083</v>
      </c>
      <c r="B2713" s="8" t="s">
        <v>4400</v>
      </c>
      <c r="C2713" s="8" t="s">
        <v>4401</v>
      </c>
      <c r="D2713" s="8" t="s">
        <v>4401</v>
      </c>
      <c r="E2713" s="8" t="s">
        <v>2837</v>
      </c>
    </row>
    <row r="2714" spans="1:5">
      <c r="A2714" s="8">
        <v>6084</v>
      </c>
      <c r="B2714" s="8" t="s">
        <v>4402</v>
      </c>
      <c r="C2714" s="8" t="s">
        <v>192</v>
      </c>
      <c r="D2714" s="8" t="s">
        <v>81</v>
      </c>
      <c r="E2714" s="8" t="s">
        <v>40</v>
      </c>
    </row>
    <row r="2715" spans="1:5">
      <c r="A2715" s="8">
        <v>6085</v>
      </c>
      <c r="B2715" s="8" t="s">
        <v>4403</v>
      </c>
      <c r="C2715" s="8" t="s">
        <v>4404</v>
      </c>
      <c r="D2715" s="8" t="s">
        <v>39</v>
      </c>
      <c r="E2715" s="8" t="s">
        <v>40</v>
      </c>
    </row>
    <row r="2716" spans="1:5">
      <c r="A2716" s="8">
        <v>6086</v>
      </c>
      <c r="B2716" s="8" t="s">
        <v>4405</v>
      </c>
      <c r="C2716" s="8" t="s">
        <v>4406</v>
      </c>
      <c r="D2716" s="8" t="s">
        <v>39</v>
      </c>
      <c r="E2716" s="8" t="s">
        <v>40</v>
      </c>
    </row>
    <row r="2717" spans="1:5">
      <c r="A2717" s="8">
        <v>6087</v>
      </c>
      <c r="B2717" s="8" t="s">
        <v>4407</v>
      </c>
      <c r="C2717" s="8" t="s">
        <v>4408</v>
      </c>
      <c r="D2717" s="8" t="s">
        <v>39</v>
      </c>
      <c r="E2717" s="8" t="s">
        <v>40</v>
      </c>
    </row>
    <row r="2718" spans="1:5">
      <c r="A2718" s="8">
        <v>6088</v>
      </c>
      <c r="B2718" s="8" t="s">
        <v>4409</v>
      </c>
      <c r="C2718" s="8" t="s">
        <v>4410</v>
      </c>
      <c r="D2718" s="8" t="s">
        <v>39</v>
      </c>
      <c r="E2718" s="8" t="s">
        <v>40</v>
      </c>
    </row>
    <row r="2719" spans="1:5">
      <c r="A2719" s="8">
        <v>6089</v>
      </c>
      <c r="B2719" s="8" t="s">
        <v>4411</v>
      </c>
      <c r="C2719" s="8" t="s">
        <v>4412</v>
      </c>
      <c r="D2719" s="8" t="s">
        <v>39</v>
      </c>
      <c r="E2719" s="8" t="s">
        <v>40</v>
      </c>
    </row>
    <row r="2720" spans="1:5">
      <c r="A2720" s="8">
        <v>6090</v>
      </c>
      <c r="B2720" s="8" t="s">
        <v>4413</v>
      </c>
      <c r="C2720" s="8" t="s">
        <v>4049</v>
      </c>
      <c r="D2720" s="8" t="s">
        <v>39</v>
      </c>
      <c r="E2720" s="8" t="s">
        <v>40</v>
      </c>
    </row>
    <row r="2721" spans="1:5">
      <c r="A2721" s="8">
        <v>6091</v>
      </c>
      <c r="B2721" s="8" t="s">
        <v>4414</v>
      </c>
      <c r="C2721" s="8" t="s">
        <v>4415</v>
      </c>
      <c r="D2721" s="8" t="s">
        <v>39</v>
      </c>
      <c r="E2721" s="8" t="s">
        <v>40</v>
      </c>
    </row>
    <row r="2722" spans="1:5">
      <c r="A2722" s="8">
        <v>6092</v>
      </c>
      <c r="B2722" s="8" t="s">
        <v>4416</v>
      </c>
      <c r="C2722" s="8" t="s">
        <v>105</v>
      </c>
      <c r="D2722" s="8" t="s">
        <v>39</v>
      </c>
      <c r="E2722" s="8" t="s">
        <v>40</v>
      </c>
    </row>
    <row r="2723" spans="1:5">
      <c r="A2723" s="8">
        <v>6093</v>
      </c>
      <c r="B2723" s="8" t="s">
        <v>4417</v>
      </c>
      <c r="C2723" s="8" t="s">
        <v>4418</v>
      </c>
      <c r="D2723" s="8" t="s">
        <v>39</v>
      </c>
      <c r="E2723" s="8" t="s">
        <v>40</v>
      </c>
    </row>
    <row r="2724" spans="1:5">
      <c r="A2724" s="8">
        <v>6094</v>
      </c>
      <c r="B2724" s="8" t="s">
        <v>4419</v>
      </c>
      <c r="C2724" s="8" t="s">
        <v>4420</v>
      </c>
      <c r="D2724" s="8" t="s">
        <v>39</v>
      </c>
      <c r="E2724" s="8" t="s">
        <v>40</v>
      </c>
    </row>
    <row r="2725" spans="1:5">
      <c r="A2725" s="8">
        <v>6096</v>
      </c>
      <c r="B2725" s="8" t="s">
        <v>4421</v>
      </c>
      <c r="C2725" s="8" t="s">
        <v>1114</v>
      </c>
      <c r="D2725" s="8" t="s">
        <v>39</v>
      </c>
      <c r="E2725" s="8" t="s">
        <v>40</v>
      </c>
    </row>
    <row r="2726" spans="1:5">
      <c r="A2726" s="8">
        <v>6097</v>
      </c>
      <c r="B2726" s="8" t="s">
        <v>4422</v>
      </c>
      <c r="C2726" s="8" t="s">
        <v>4423</v>
      </c>
      <c r="D2726" s="8" t="s">
        <v>39</v>
      </c>
      <c r="E2726" s="8" t="s">
        <v>40</v>
      </c>
    </row>
    <row r="2727" spans="1:5">
      <c r="A2727" s="8">
        <v>6098</v>
      </c>
      <c r="B2727" s="8" t="s">
        <v>4424</v>
      </c>
      <c r="C2727" s="8" t="s">
        <v>4425</v>
      </c>
      <c r="D2727" s="8" t="s">
        <v>39</v>
      </c>
      <c r="E2727" s="8" t="s">
        <v>40</v>
      </c>
    </row>
    <row r="2728" spans="1:5">
      <c r="A2728" s="8">
        <v>6099</v>
      </c>
      <c r="B2728" s="8" t="s">
        <v>3499</v>
      </c>
      <c r="C2728" s="8" t="s">
        <v>1114</v>
      </c>
      <c r="D2728" s="8" t="s">
        <v>39</v>
      </c>
      <c r="E2728" s="8" t="s">
        <v>40</v>
      </c>
    </row>
    <row r="2729" spans="1:5">
      <c r="A2729" s="8">
        <v>6100</v>
      </c>
      <c r="B2729" s="8" t="s">
        <v>4426</v>
      </c>
      <c r="C2729" s="8" t="s">
        <v>4427</v>
      </c>
      <c r="D2729" s="8" t="s">
        <v>39</v>
      </c>
      <c r="E2729" s="8" t="s">
        <v>40</v>
      </c>
    </row>
    <row r="2730" spans="1:5">
      <c r="A2730" s="8">
        <v>6101</v>
      </c>
      <c r="B2730" s="8" t="s">
        <v>4428</v>
      </c>
      <c r="C2730" s="8" t="s">
        <v>627</v>
      </c>
      <c r="D2730" s="8" t="s">
        <v>39</v>
      </c>
      <c r="E2730" s="8" t="s">
        <v>40</v>
      </c>
    </row>
    <row r="2731" spans="1:5">
      <c r="A2731" s="8">
        <v>6102</v>
      </c>
      <c r="B2731" s="8" t="s">
        <v>2500</v>
      </c>
      <c r="C2731" s="8" t="s">
        <v>4429</v>
      </c>
      <c r="D2731" s="8" t="s">
        <v>39</v>
      </c>
      <c r="E2731" s="8" t="s">
        <v>40</v>
      </c>
    </row>
    <row r="2732" spans="1:5">
      <c r="A2732" s="8">
        <v>6103</v>
      </c>
      <c r="B2732" s="8" t="s">
        <v>4430</v>
      </c>
      <c r="C2732" s="8" t="s">
        <v>4431</v>
      </c>
      <c r="D2732" s="8" t="s">
        <v>1226</v>
      </c>
      <c r="E2732" s="8" t="s">
        <v>40</v>
      </c>
    </row>
    <row r="2733" spans="1:5">
      <c r="A2733" s="8">
        <v>6104</v>
      </c>
      <c r="B2733" s="8" t="s">
        <v>4432</v>
      </c>
      <c r="C2733" s="8" t="s">
        <v>4433</v>
      </c>
      <c r="D2733" s="8" t="s">
        <v>1037</v>
      </c>
      <c r="E2733" s="8" t="s">
        <v>1026</v>
      </c>
    </row>
    <row r="2734" spans="1:5">
      <c r="A2734" s="8">
        <v>6106</v>
      </c>
      <c r="B2734" s="8" t="s">
        <v>4434</v>
      </c>
      <c r="C2734" s="8" t="s">
        <v>4435</v>
      </c>
      <c r="D2734" s="8" t="s">
        <v>2257</v>
      </c>
      <c r="E2734" s="8" t="s">
        <v>1461</v>
      </c>
    </row>
    <row r="2735" spans="1:5">
      <c r="A2735" s="8">
        <v>6107</v>
      </c>
      <c r="B2735" s="8" t="s">
        <v>4436</v>
      </c>
      <c r="C2735" s="8" t="s">
        <v>433</v>
      </c>
      <c r="D2735" s="8" t="s">
        <v>74</v>
      </c>
      <c r="E2735" s="8" t="s">
        <v>40</v>
      </c>
    </row>
    <row r="2736" spans="1:5">
      <c r="A2736" s="8">
        <v>6110</v>
      </c>
      <c r="B2736" s="8" t="s">
        <v>4437</v>
      </c>
      <c r="C2736" s="8" t="s">
        <v>4438</v>
      </c>
      <c r="D2736" s="8" t="s">
        <v>238</v>
      </c>
      <c r="E2736" s="8" t="s">
        <v>239</v>
      </c>
    </row>
    <row r="2737" spans="1:5">
      <c r="A2737" s="8">
        <v>6111</v>
      </c>
      <c r="B2737" s="8" t="s">
        <v>4439</v>
      </c>
      <c r="C2737" s="8" t="s">
        <v>431</v>
      </c>
      <c r="D2737" s="8" t="s">
        <v>164</v>
      </c>
      <c r="E2737" s="8" t="s">
        <v>40</v>
      </c>
    </row>
    <row r="2738" spans="1:5">
      <c r="A2738" s="8">
        <v>6112</v>
      </c>
      <c r="B2738" s="8" t="s">
        <v>4440</v>
      </c>
      <c r="C2738" s="8" t="s">
        <v>4441</v>
      </c>
      <c r="D2738" s="8" t="s">
        <v>39</v>
      </c>
      <c r="E2738" s="8" t="s">
        <v>40</v>
      </c>
    </row>
    <row r="2739" spans="1:5">
      <c r="A2739" s="8">
        <v>6113</v>
      </c>
      <c r="B2739" s="8" t="s">
        <v>4442</v>
      </c>
      <c r="C2739" s="8" t="s">
        <v>4443</v>
      </c>
      <c r="D2739" s="8" t="s">
        <v>39</v>
      </c>
      <c r="E2739" s="8" t="s">
        <v>40</v>
      </c>
    </row>
    <row r="2740" spans="1:5">
      <c r="A2740" s="8">
        <v>6114</v>
      </c>
      <c r="B2740" s="8" t="s">
        <v>4444</v>
      </c>
      <c r="C2740" s="8" t="s">
        <v>1403</v>
      </c>
      <c r="D2740" s="8" t="s">
        <v>39</v>
      </c>
      <c r="E2740" s="8" t="s">
        <v>40</v>
      </c>
    </row>
    <row r="2741" spans="1:5">
      <c r="A2741" s="8">
        <v>6116</v>
      </c>
      <c r="B2741" s="8" t="s">
        <v>543</v>
      </c>
      <c r="C2741" s="8" t="s">
        <v>4445</v>
      </c>
      <c r="D2741" s="8" t="s">
        <v>39</v>
      </c>
      <c r="E2741" s="8" t="s">
        <v>40</v>
      </c>
    </row>
    <row r="2742" spans="1:5">
      <c r="A2742" s="8">
        <v>6117</v>
      </c>
      <c r="B2742" s="8" t="s">
        <v>4446</v>
      </c>
      <c r="C2742" s="8" t="s">
        <v>38</v>
      </c>
      <c r="D2742" s="8" t="s">
        <v>39</v>
      </c>
      <c r="E2742" s="8" t="s">
        <v>40</v>
      </c>
    </row>
    <row r="2743" spans="1:5">
      <c r="A2743" s="8">
        <v>6118</v>
      </c>
      <c r="B2743" s="8" t="s">
        <v>4447</v>
      </c>
      <c r="C2743" s="8" t="s">
        <v>4448</v>
      </c>
      <c r="D2743" s="8" t="s">
        <v>1994</v>
      </c>
      <c r="E2743" s="8" t="s">
        <v>1995</v>
      </c>
    </row>
    <row r="2744" spans="1:5">
      <c r="A2744" s="8">
        <v>6119</v>
      </c>
      <c r="B2744" s="8" t="s">
        <v>4449</v>
      </c>
      <c r="C2744" s="8" t="s">
        <v>4450</v>
      </c>
      <c r="D2744" s="8" t="s">
        <v>39</v>
      </c>
      <c r="E2744" s="8" t="s">
        <v>40</v>
      </c>
    </row>
    <row r="2745" spans="1:5">
      <c r="A2745" s="8">
        <v>6120</v>
      </c>
      <c r="B2745" s="8" t="s">
        <v>4440</v>
      </c>
      <c r="C2745" s="8" t="s">
        <v>499</v>
      </c>
      <c r="D2745" s="8" t="s">
        <v>39</v>
      </c>
      <c r="E2745" s="8" t="s">
        <v>40</v>
      </c>
    </row>
    <row r="2746" spans="1:5">
      <c r="A2746" s="8">
        <v>6121</v>
      </c>
      <c r="B2746" s="8" t="s">
        <v>2800</v>
      </c>
      <c r="C2746" s="8" t="s">
        <v>4451</v>
      </c>
      <c r="D2746" s="8" t="s">
        <v>39</v>
      </c>
      <c r="E2746" s="8" t="s">
        <v>40</v>
      </c>
    </row>
    <row r="2747" spans="1:5">
      <c r="A2747" s="8">
        <v>6122</v>
      </c>
      <c r="B2747" s="8" t="s">
        <v>2156</v>
      </c>
      <c r="C2747" s="8" t="s">
        <v>4452</v>
      </c>
      <c r="D2747" s="8" t="s">
        <v>39</v>
      </c>
      <c r="E2747" s="8" t="s">
        <v>40</v>
      </c>
    </row>
    <row r="2748" spans="1:5">
      <c r="A2748" s="8">
        <v>6127</v>
      </c>
      <c r="B2748" s="8" t="s">
        <v>4453</v>
      </c>
      <c r="C2748" s="8" t="s">
        <v>4454</v>
      </c>
      <c r="D2748" s="8" t="s">
        <v>92</v>
      </c>
      <c r="E2748" s="8" t="s">
        <v>40</v>
      </c>
    </row>
    <row r="2749" spans="1:5">
      <c r="A2749" s="8">
        <v>6128</v>
      </c>
      <c r="B2749" s="8" t="s">
        <v>4455</v>
      </c>
      <c r="C2749" s="8" t="s">
        <v>4456</v>
      </c>
      <c r="D2749" s="8" t="s">
        <v>39</v>
      </c>
      <c r="E2749" s="8" t="s">
        <v>40</v>
      </c>
    </row>
    <row r="2750" spans="1:5">
      <c r="A2750" s="8">
        <v>6129</v>
      </c>
      <c r="B2750" s="8" t="s">
        <v>4457</v>
      </c>
      <c r="C2750" s="8" t="s">
        <v>1049</v>
      </c>
      <c r="D2750" s="8" t="s">
        <v>264</v>
      </c>
      <c r="E2750" s="8" t="s">
        <v>40</v>
      </c>
    </row>
    <row r="2751" spans="1:5">
      <c r="A2751" s="8">
        <v>6130</v>
      </c>
      <c r="B2751" s="8" t="s">
        <v>4458</v>
      </c>
      <c r="C2751" s="8" t="s">
        <v>237</v>
      </c>
      <c r="D2751" s="8" t="s">
        <v>238</v>
      </c>
      <c r="E2751" s="8" t="s">
        <v>239</v>
      </c>
    </row>
    <row r="2752" spans="1:5">
      <c r="A2752" s="8">
        <v>6131</v>
      </c>
      <c r="B2752" s="8" t="s">
        <v>4459</v>
      </c>
      <c r="C2752" s="8" t="s">
        <v>4460</v>
      </c>
      <c r="D2752" s="8" t="s">
        <v>51</v>
      </c>
      <c r="E2752" s="8" t="s">
        <v>40</v>
      </c>
    </row>
    <row r="2753" spans="1:5">
      <c r="A2753" s="8">
        <v>6132</v>
      </c>
      <c r="B2753" s="8" t="s">
        <v>4461</v>
      </c>
      <c r="C2753" s="8" t="s">
        <v>4462</v>
      </c>
      <c r="D2753" s="8" t="s">
        <v>1221</v>
      </c>
      <c r="E2753" s="8" t="s">
        <v>40</v>
      </c>
    </row>
    <row r="2754" spans="1:5">
      <c r="A2754" s="8">
        <v>6133</v>
      </c>
      <c r="B2754" s="8" t="s">
        <v>4463</v>
      </c>
      <c r="C2754" s="8" t="s">
        <v>4464</v>
      </c>
      <c r="D2754" s="8" t="s">
        <v>164</v>
      </c>
      <c r="E2754" s="8" t="s">
        <v>40</v>
      </c>
    </row>
    <row r="2755" spans="1:5">
      <c r="A2755" s="8">
        <v>6135</v>
      </c>
      <c r="B2755" s="8" t="s">
        <v>4465</v>
      </c>
      <c r="C2755" s="8" t="s">
        <v>237</v>
      </c>
      <c r="D2755" s="8" t="s">
        <v>238</v>
      </c>
      <c r="E2755" s="8" t="s">
        <v>239</v>
      </c>
    </row>
    <row r="2756" spans="1:5">
      <c r="A2756" s="8">
        <v>6136</v>
      </c>
      <c r="B2756" s="8" t="s">
        <v>4466</v>
      </c>
      <c r="C2756" s="8" t="s">
        <v>1114</v>
      </c>
      <c r="D2756" s="8" t="s">
        <v>39</v>
      </c>
      <c r="E2756" s="8" t="s">
        <v>40</v>
      </c>
    </row>
    <row r="2757" spans="1:5">
      <c r="A2757" s="8">
        <v>6137</v>
      </c>
      <c r="B2757" s="8" t="s">
        <v>4467</v>
      </c>
      <c r="C2757" s="8" t="s">
        <v>4468</v>
      </c>
      <c r="D2757" s="8" t="s">
        <v>39</v>
      </c>
      <c r="E2757" s="8" t="s">
        <v>40</v>
      </c>
    </row>
    <row r="2758" spans="1:5">
      <c r="A2758" s="8">
        <v>6138</v>
      </c>
      <c r="B2758" s="8" t="s">
        <v>4469</v>
      </c>
      <c r="C2758" s="8" t="s">
        <v>4470</v>
      </c>
      <c r="D2758" s="8" t="s">
        <v>39</v>
      </c>
      <c r="E2758" s="8" t="s">
        <v>40</v>
      </c>
    </row>
    <row r="2759" spans="1:5">
      <c r="A2759" s="8">
        <v>6139</v>
      </c>
      <c r="B2759" s="8" t="s">
        <v>4471</v>
      </c>
      <c r="C2759" s="8" t="s">
        <v>738</v>
      </c>
      <c r="D2759" s="8" t="s">
        <v>630</v>
      </c>
      <c r="E2759" s="8" t="s">
        <v>40</v>
      </c>
    </row>
    <row r="2760" spans="1:5">
      <c r="A2760" s="8">
        <v>6140</v>
      </c>
      <c r="B2760" s="8" t="s">
        <v>4472</v>
      </c>
      <c r="C2760" s="8" t="s">
        <v>835</v>
      </c>
      <c r="D2760" s="8" t="s">
        <v>238</v>
      </c>
      <c r="E2760" s="8" t="s">
        <v>239</v>
      </c>
    </row>
    <row r="2761" spans="1:5">
      <c r="A2761" s="8">
        <v>6141</v>
      </c>
      <c r="B2761" s="8" t="s">
        <v>4473</v>
      </c>
      <c r="C2761" s="8" t="s">
        <v>237</v>
      </c>
      <c r="D2761" s="8" t="s">
        <v>238</v>
      </c>
      <c r="E2761" s="8" t="s">
        <v>239</v>
      </c>
    </row>
    <row r="2762" spans="1:5">
      <c r="A2762" s="8">
        <v>6144</v>
      </c>
      <c r="B2762" s="8" t="s">
        <v>4474</v>
      </c>
      <c r="C2762" s="8" t="s">
        <v>1944</v>
      </c>
      <c r="D2762" s="8" t="s">
        <v>164</v>
      </c>
      <c r="E2762" s="8" t="s">
        <v>40</v>
      </c>
    </row>
    <row r="2763" spans="1:5">
      <c r="A2763" s="8">
        <v>6145</v>
      </c>
      <c r="B2763" s="8" t="s">
        <v>4475</v>
      </c>
      <c r="C2763" s="8" t="s">
        <v>4476</v>
      </c>
      <c r="D2763" s="8" t="s">
        <v>57</v>
      </c>
      <c r="E2763" s="8" t="s">
        <v>40</v>
      </c>
    </row>
    <row r="2764" spans="1:5">
      <c r="A2764" s="8">
        <v>6146</v>
      </c>
      <c r="B2764" s="8" t="s">
        <v>4477</v>
      </c>
      <c r="C2764" s="8" t="s">
        <v>4128</v>
      </c>
      <c r="D2764" s="8" t="s">
        <v>1221</v>
      </c>
      <c r="E2764" s="8" t="s">
        <v>40</v>
      </c>
    </row>
    <row r="2765" spans="1:5">
      <c r="A2765" s="8">
        <v>6147</v>
      </c>
      <c r="B2765" s="8" t="s">
        <v>4478</v>
      </c>
      <c r="C2765" s="8" t="s">
        <v>4479</v>
      </c>
      <c r="D2765" s="8" t="s">
        <v>1221</v>
      </c>
      <c r="E2765" s="8" t="s">
        <v>40</v>
      </c>
    </row>
    <row r="2766" spans="1:5">
      <c r="A2766" s="8">
        <v>6149</v>
      </c>
      <c r="B2766" s="8" t="s">
        <v>4480</v>
      </c>
      <c r="C2766" s="8" t="s">
        <v>4481</v>
      </c>
      <c r="D2766" s="8" t="s">
        <v>1037</v>
      </c>
      <c r="E2766" s="8" t="s">
        <v>1026</v>
      </c>
    </row>
    <row r="2767" spans="1:5">
      <c r="A2767" s="8">
        <v>6150</v>
      </c>
      <c r="B2767" s="8" t="s">
        <v>4482</v>
      </c>
      <c r="C2767" s="8" t="s">
        <v>3527</v>
      </c>
      <c r="D2767" s="8" t="s">
        <v>39</v>
      </c>
      <c r="E2767" s="8" t="s">
        <v>40</v>
      </c>
    </row>
    <row r="2768" spans="1:5">
      <c r="A2768" s="8">
        <v>6152</v>
      </c>
      <c r="B2768" s="8" t="s">
        <v>4483</v>
      </c>
      <c r="C2768" s="8" t="s">
        <v>4484</v>
      </c>
      <c r="D2768" s="8" t="s">
        <v>39</v>
      </c>
      <c r="E2768" s="8" t="s">
        <v>40</v>
      </c>
    </row>
    <row r="2769" spans="1:5">
      <c r="A2769" s="8">
        <v>6153</v>
      </c>
      <c r="B2769" s="8" t="s">
        <v>4485</v>
      </c>
      <c r="C2769" s="8" t="s">
        <v>229</v>
      </c>
      <c r="D2769" s="8" t="s">
        <v>87</v>
      </c>
      <c r="E2769" s="8" t="s">
        <v>40</v>
      </c>
    </row>
    <row r="2770" spans="1:5">
      <c r="A2770" s="8">
        <v>6155</v>
      </c>
      <c r="B2770" s="8" t="s">
        <v>4486</v>
      </c>
      <c r="C2770" s="8" t="s">
        <v>445</v>
      </c>
      <c r="D2770" s="8" t="s">
        <v>164</v>
      </c>
      <c r="E2770" s="8" t="s">
        <v>40</v>
      </c>
    </row>
    <row r="2771" spans="1:5">
      <c r="A2771" s="8">
        <v>6156</v>
      </c>
      <c r="B2771" s="8" t="s">
        <v>4487</v>
      </c>
      <c r="C2771" s="8" t="s">
        <v>4488</v>
      </c>
      <c r="D2771" s="8" t="s">
        <v>3261</v>
      </c>
      <c r="E2771" s="8" t="s">
        <v>1461</v>
      </c>
    </row>
    <row r="2772" spans="1:5">
      <c r="A2772" s="8">
        <v>6157</v>
      </c>
      <c r="B2772" s="8" t="s">
        <v>4489</v>
      </c>
      <c r="C2772" s="8" t="s">
        <v>4490</v>
      </c>
      <c r="D2772" s="8" t="s">
        <v>495</v>
      </c>
      <c r="E2772" s="8" t="s">
        <v>40</v>
      </c>
    </row>
    <row r="2773" spans="1:5">
      <c r="A2773" s="8">
        <v>6160</v>
      </c>
      <c r="B2773" s="8" t="s">
        <v>4491</v>
      </c>
      <c r="C2773" s="8" t="s">
        <v>4492</v>
      </c>
      <c r="D2773" s="8" t="s">
        <v>1221</v>
      </c>
      <c r="E2773" s="8" t="s">
        <v>40</v>
      </c>
    </row>
    <row r="2774" spans="1:5">
      <c r="A2774" s="8">
        <v>6161</v>
      </c>
      <c r="B2774" s="8" t="s">
        <v>4493</v>
      </c>
      <c r="C2774" s="8" t="s">
        <v>4494</v>
      </c>
      <c r="D2774" s="8" t="s">
        <v>87</v>
      </c>
      <c r="E2774" s="8" t="s">
        <v>40</v>
      </c>
    </row>
    <row r="2775" spans="1:5">
      <c r="A2775" s="8">
        <v>6162</v>
      </c>
      <c r="B2775" s="8" t="s">
        <v>4495</v>
      </c>
      <c r="C2775" s="8" t="s">
        <v>1205</v>
      </c>
      <c r="D2775" s="8" t="s">
        <v>238</v>
      </c>
      <c r="E2775" s="8" t="s">
        <v>239</v>
      </c>
    </row>
    <row r="2776" spans="1:5">
      <c r="A2776" s="8">
        <v>6164</v>
      </c>
      <c r="B2776" s="8" t="s">
        <v>4496</v>
      </c>
      <c r="C2776" s="8" t="s">
        <v>4497</v>
      </c>
      <c r="D2776" s="8" t="s">
        <v>213</v>
      </c>
      <c r="E2776" s="8" t="s">
        <v>40</v>
      </c>
    </row>
    <row r="2777" spans="1:5">
      <c r="A2777" s="8">
        <v>6166</v>
      </c>
      <c r="B2777" s="8" t="s">
        <v>4498</v>
      </c>
      <c r="C2777" s="8" t="s">
        <v>4499</v>
      </c>
      <c r="D2777" s="8" t="s">
        <v>132</v>
      </c>
      <c r="E2777" s="8" t="s">
        <v>40</v>
      </c>
    </row>
    <row r="2778" spans="1:5">
      <c r="A2778" s="8">
        <v>6167</v>
      </c>
      <c r="B2778" s="8" t="s">
        <v>4500</v>
      </c>
      <c r="C2778" s="8" t="s">
        <v>4501</v>
      </c>
      <c r="D2778" s="8" t="s">
        <v>319</v>
      </c>
      <c r="E2778" s="8" t="s">
        <v>40</v>
      </c>
    </row>
    <row r="2779" spans="1:5">
      <c r="A2779" s="8">
        <v>6168</v>
      </c>
      <c r="B2779" s="8" t="s">
        <v>4502</v>
      </c>
      <c r="C2779" s="8" t="s">
        <v>4503</v>
      </c>
      <c r="D2779" s="8" t="s">
        <v>1025</v>
      </c>
      <c r="E2779" s="8" t="s">
        <v>1026</v>
      </c>
    </row>
    <row r="2780" spans="1:5">
      <c r="A2780" s="8">
        <v>6170</v>
      </c>
      <c r="B2780" s="8" t="s">
        <v>4504</v>
      </c>
      <c r="C2780" s="8" t="s">
        <v>2254</v>
      </c>
      <c r="D2780" s="8" t="s">
        <v>2254</v>
      </c>
      <c r="E2780" s="8" t="s">
        <v>1461</v>
      </c>
    </row>
    <row r="2781" spans="1:5">
      <c r="A2781" s="8">
        <v>6171</v>
      </c>
      <c r="B2781" s="8" t="s">
        <v>4505</v>
      </c>
      <c r="C2781" s="8" t="s">
        <v>3732</v>
      </c>
      <c r="D2781" s="8" t="s">
        <v>164</v>
      </c>
      <c r="E2781" s="8" t="s">
        <v>40</v>
      </c>
    </row>
    <row r="2782" spans="1:5">
      <c r="A2782" s="8">
        <v>6172</v>
      </c>
      <c r="B2782" s="8" t="s">
        <v>4506</v>
      </c>
      <c r="C2782" s="8" t="s">
        <v>579</v>
      </c>
      <c r="D2782" s="8" t="s">
        <v>87</v>
      </c>
      <c r="E2782" s="8" t="s">
        <v>40</v>
      </c>
    </row>
    <row r="2783" spans="1:5">
      <c r="A2783" s="8">
        <v>6174</v>
      </c>
      <c r="B2783" s="8" t="s">
        <v>4507</v>
      </c>
      <c r="C2783" s="8" t="s">
        <v>4508</v>
      </c>
      <c r="D2783" s="8" t="s">
        <v>43</v>
      </c>
      <c r="E2783" s="8" t="s">
        <v>40</v>
      </c>
    </row>
    <row r="2784" spans="1:5">
      <c r="A2784" s="8">
        <v>6175</v>
      </c>
      <c r="B2784" s="8" t="s">
        <v>4509</v>
      </c>
      <c r="C2784" s="8" t="s">
        <v>4510</v>
      </c>
      <c r="D2784" s="8" t="s">
        <v>1221</v>
      </c>
      <c r="E2784" s="8" t="s">
        <v>40</v>
      </c>
    </row>
    <row r="2785" spans="1:5">
      <c r="A2785" s="8">
        <v>6177</v>
      </c>
      <c r="B2785" s="8" t="s">
        <v>4511</v>
      </c>
      <c r="C2785" s="8" t="s">
        <v>934</v>
      </c>
      <c r="D2785" s="8" t="s">
        <v>630</v>
      </c>
      <c r="E2785" s="8" t="s">
        <v>40</v>
      </c>
    </row>
    <row r="2786" spans="1:5">
      <c r="A2786" s="8">
        <v>6178</v>
      </c>
      <c r="B2786" s="8" t="s">
        <v>1104</v>
      </c>
      <c r="C2786" s="8" t="s">
        <v>4512</v>
      </c>
      <c r="D2786" s="8" t="s">
        <v>4513</v>
      </c>
      <c r="E2786" s="8" t="s">
        <v>239</v>
      </c>
    </row>
    <row r="2787" spans="1:5">
      <c r="A2787" s="8">
        <v>6180</v>
      </c>
      <c r="B2787" s="8" t="s">
        <v>4514</v>
      </c>
      <c r="C2787" s="8" t="s">
        <v>698</v>
      </c>
      <c r="D2787" s="8" t="s">
        <v>164</v>
      </c>
      <c r="E2787" s="8" t="s">
        <v>40</v>
      </c>
    </row>
    <row r="2788" spans="1:5">
      <c r="A2788" s="8">
        <v>6181</v>
      </c>
      <c r="B2788" s="8" t="s">
        <v>4515</v>
      </c>
      <c r="C2788" s="8" t="s">
        <v>4516</v>
      </c>
      <c r="D2788" s="8" t="s">
        <v>81</v>
      </c>
      <c r="E2788" s="8" t="s">
        <v>40</v>
      </c>
    </row>
    <row r="2789" spans="1:5">
      <c r="A2789" s="8">
        <v>6184</v>
      </c>
      <c r="B2789" s="8" t="s">
        <v>4517</v>
      </c>
      <c r="C2789" s="8" t="s">
        <v>4518</v>
      </c>
      <c r="D2789" s="8" t="s">
        <v>57</v>
      </c>
      <c r="E2789" s="8" t="s">
        <v>40</v>
      </c>
    </row>
    <row r="2790" spans="1:5">
      <c r="A2790" s="8">
        <v>6186</v>
      </c>
      <c r="B2790" s="8" t="s">
        <v>4519</v>
      </c>
      <c r="C2790" s="8" t="s">
        <v>4520</v>
      </c>
      <c r="D2790" s="8" t="s">
        <v>51</v>
      </c>
      <c r="E2790" s="8" t="s">
        <v>40</v>
      </c>
    </row>
    <row r="2791" spans="1:5">
      <c r="A2791" s="8">
        <v>6187</v>
      </c>
      <c r="B2791" s="8" t="s">
        <v>4521</v>
      </c>
      <c r="C2791" s="8" t="s">
        <v>4522</v>
      </c>
      <c r="D2791" s="8" t="s">
        <v>1994</v>
      </c>
      <c r="E2791" s="8" t="s">
        <v>1995</v>
      </c>
    </row>
    <row r="2792" spans="1:5">
      <c r="A2792" s="8">
        <v>6188</v>
      </c>
      <c r="B2792" s="8" t="s">
        <v>4523</v>
      </c>
      <c r="C2792" s="8" t="s">
        <v>4524</v>
      </c>
      <c r="D2792" s="8" t="s">
        <v>964</v>
      </c>
      <c r="E2792" s="8" t="s">
        <v>239</v>
      </c>
    </row>
    <row r="2793" spans="1:5">
      <c r="A2793" s="8">
        <v>6189</v>
      </c>
      <c r="B2793" s="8" t="s">
        <v>4525</v>
      </c>
      <c r="C2793" s="8" t="s">
        <v>4526</v>
      </c>
      <c r="D2793" s="8" t="s">
        <v>159</v>
      </c>
      <c r="E2793" s="8" t="s">
        <v>40</v>
      </c>
    </row>
    <row r="2794" spans="1:5">
      <c r="A2794" s="8">
        <v>6190</v>
      </c>
      <c r="B2794" s="8" t="s">
        <v>4527</v>
      </c>
      <c r="C2794" s="8" t="s">
        <v>656</v>
      </c>
      <c r="D2794" s="8" t="s">
        <v>39</v>
      </c>
      <c r="E2794" s="8" t="s">
        <v>40</v>
      </c>
    </row>
    <row r="2795" spans="1:5">
      <c r="A2795" s="8">
        <v>6191</v>
      </c>
      <c r="B2795" s="8" t="s">
        <v>4528</v>
      </c>
      <c r="C2795" s="8" t="s">
        <v>2836</v>
      </c>
      <c r="D2795" s="8" t="s">
        <v>2836</v>
      </c>
      <c r="E2795" s="8" t="s">
        <v>2837</v>
      </c>
    </row>
    <row r="2796" spans="1:5">
      <c r="A2796" s="8">
        <v>6193</v>
      </c>
      <c r="B2796" s="8" t="s">
        <v>4529</v>
      </c>
      <c r="C2796" s="8" t="s">
        <v>4326</v>
      </c>
      <c r="D2796" s="8" t="s">
        <v>39</v>
      </c>
      <c r="E2796" s="8" t="s">
        <v>40</v>
      </c>
    </row>
    <row r="2797" spans="1:5">
      <c r="A2797" s="8">
        <v>6194</v>
      </c>
      <c r="B2797" s="8" t="s">
        <v>4530</v>
      </c>
      <c r="C2797" s="8" t="s">
        <v>4531</v>
      </c>
      <c r="D2797" s="8" t="s">
        <v>159</v>
      </c>
      <c r="E2797" s="8" t="s">
        <v>40</v>
      </c>
    </row>
    <row r="2798" spans="1:5">
      <c r="A2798" s="8">
        <v>6195</v>
      </c>
      <c r="B2798" s="8" t="s">
        <v>4532</v>
      </c>
      <c r="C2798" s="8" t="s">
        <v>359</v>
      </c>
      <c r="D2798" s="8" t="s">
        <v>54</v>
      </c>
      <c r="E2798" s="8" t="s">
        <v>40</v>
      </c>
    </row>
    <row r="2799" spans="1:5">
      <c r="A2799" s="8">
        <v>6199</v>
      </c>
      <c r="B2799" s="8" t="s">
        <v>4533</v>
      </c>
      <c r="C2799" s="8" t="s">
        <v>4534</v>
      </c>
      <c r="D2799" s="8" t="s">
        <v>2298</v>
      </c>
      <c r="E2799" s="8" t="s">
        <v>1461</v>
      </c>
    </row>
    <row r="2800" spans="1:5">
      <c r="A2800" s="8">
        <v>6200</v>
      </c>
      <c r="B2800" s="8" t="s">
        <v>4535</v>
      </c>
      <c r="C2800" s="8" t="s">
        <v>4536</v>
      </c>
      <c r="D2800" s="8" t="s">
        <v>4537</v>
      </c>
      <c r="E2800" s="8" t="s">
        <v>1461</v>
      </c>
    </row>
    <row r="2801" spans="1:5">
      <c r="A2801" s="8">
        <v>6201</v>
      </c>
      <c r="B2801" s="8" t="s">
        <v>3008</v>
      </c>
      <c r="C2801" s="8" t="s">
        <v>145</v>
      </c>
      <c r="D2801" s="8" t="s">
        <v>60</v>
      </c>
      <c r="E2801" s="8" t="s">
        <v>40</v>
      </c>
    </row>
    <row r="2802" spans="1:5">
      <c r="A2802" s="8">
        <v>6202</v>
      </c>
      <c r="B2802" s="8" t="s">
        <v>4538</v>
      </c>
      <c r="C2802" s="8" t="s">
        <v>508</v>
      </c>
      <c r="D2802" s="8" t="s">
        <v>238</v>
      </c>
      <c r="E2802" s="8" t="s">
        <v>239</v>
      </c>
    </row>
    <row r="2803" spans="1:5">
      <c r="A2803" s="8">
        <v>6203</v>
      </c>
      <c r="B2803" s="8" t="s">
        <v>4539</v>
      </c>
      <c r="C2803" s="8" t="s">
        <v>4540</v>
      </c>
      <c r="D2803" s="8" t="s">
        <v>48</v>
      </c>
      <c r="E2803" s="8" t="s">
        <v>40</v>
      </c>
    </row>
    <row r="2804" spans="1:5">
      <c r="A2804" s="8">
        <v>6204</v>
      </c>
      <c r="B2804" s="8" t="s">
        <v>4541</v>
      </c>
      <c r="C2804" s="8" t="s">
        <v>3044</v>
      </c>
      <c r="D2804" s="8" t="s">
        <v>3045</v>
      </c>
      <c r="E2804" s="8" t="s">
        <v>1995</v>
      </c>
    </row>
    <row r="2805" spans="1:5">
      <c r="A2805" s="8">
        <v>6213</v>
      </c>
      <c r="B2805" s="8" t="s">
        <v>4542</v>
      </c>
      <c r="C2805" s="8" t="s">
        <v>4543</v>
      </c>
      <c r="D2805" s="8" t="s">
        <v>438</v>
      </c>
      <c r="E2805" s="8" t="s">
        <v>40</v>
      </c>
    </row>
    <row r="2806" spans="1:5">
      <c r="A2806" s="8">
        <v>6214</v>
      </c>
      <c r="B2806" s="8" t="s">
        <v>4544</v>
      </c>
      <c r="C2806" s="8" t="s">
        <v>4545</v>
      </c>
      <c r="D2806" s="8" t="s">
        <v>429</v>
      </c>
      <c r="E2806" s="8" t="s">
        <v>40</v>
      </c>
    </row>
    <row r="2807" spans="1:5">
      <c r="A2807" s="8">
        <v>6215</v>
      </c>
      <c r="B2807" s="8" t="s">
        <v>4546</v>
      </c>
      <c r="C2807" s="8" t="s">
        <v>4547</v>
      </c>
      <c r="D2807" s="8" t="s">
        <v>429</v>
      </c>
      <c r="E2807" s="8" t="s">
        <v>40</v>
      </c>
    </row>
    <row r="2808" spans="1:5">
      <c r="A2808" s="8">
        <v>6217</v>
      </c>
      <c r="B2808" s="8" t="s">
        <v>4548</v>
      </c>
      <c r="C2808" s="8" t="s">
        <v>4549</v>
      </c>
      <c r="D2808" s="8" t="s">
        <v>1221</v>
      </c>
      <c r="E2808" s="8" t="s">
        <v>40</v>
      </c>
    </row>
    <row r="2809" spans="1:5">
      <c r="A2809" s="8">
        <v>6218</v>
      </c>
      <c r="B2809" s="8" t="s">
        <v>4550</v>
      </c>
      <c r="C2809" s="8" t="s">
        <v>3260</v>
      </c>
      <c r="D2809" s="8" t="s">
        <v>3261</v>
      </c>
      <c r="E2809" s="8" t="s">
        <v>1461</v>
      </c>
    </row>
    <row r="2810" spans="1:5">
      <c r="A2810" s="8">
        <v>6219</v>
      </c>
      <c r="B2810" s="8" t="s">
        <v>4551</v>
      </c>
      <c r="C2810" s="8" t="s">
        <v>4552</v>
      </c>
      <c r="D2810" s="8" t="s">
        <v>490</v>
      </c>
      <c r="E2810" s="8" t="s">
        <v>40</v>
      </c>
    </row>
    <row r="2811" spans="1:5">
      <c r="A2811" s="8">
        <v>6220</v>
      </c>
      <c r="B2811" s="8" t="s">
        <v>4553</v>
      </c>
      <c r="C2811" s="8" t="s">
        <v>4554</v>
      </c>
      <c r="D2811" s="8" t="s">
        <v>43</v>
      </c>
      <c r="E2811" s="8" t="s">
        <v>40</v>
      </c>
    </row>
    <row r="2812" spans="1:5">
      <c r="A2812" s="8">
        <v>6222</v>
      </c>
      <c r="B2812" s="8" t="s">
        <v>4555</v>
      </c>
      <c r="C2812" s="8" t="s">
        <v>4501</v>
      </c>
      <c r="D2812" s="8" t="s">
        <v>319</v>
      </c>
      <c r="E2812" s="8" t="s">
        <v>40</v>
      </c>
    </row>
    <row r="2813" spans="1:5">
      <c r="A2813" s="8">
        <v>6223</v>
      </c>
      <c r="B2813" s="8" t="s">
        <v>4556</v>
      </c>
      <c r="C2813" s="8" t="s">
        <v>4557</v>
      </c>
      <c r="D2813" s="8" t="s">
        <v>132</v>
      </c>
      <c r="E2813" s="8" t="s">
        <v>40</v>
      </c>
    </row>
    <row r="2814" spans="1:5">
      <c r="A2814" s="8">
        <v>6224</v>
      </c>
      <c r="B2814" s="8" t="s">
        <v>4558</v>
      </c>
      <c r="C2814" s="8" t="s">
        <v>1839</v>
      </c>
      <c r="D2814" s="8" t="s">
        <v>87</v>
      </c>
      <c r="E2814" s="8" t="s">
        <v>40</v>
      </c>
    </row>
    <row r="2815" spans="1:5">
      <c r="A2815" s="8">
        <v>6225</v>
      </c>
      <c r="B2815" s="8" t="s">
        <v>4559</v>
      </c>
      <c r="C2815" s="8" t="s">
        <v>4560</v>
      </c>
      <c r="D2815" s="8" t="s">
        <v>57</v>
      </c>
      <c r="E2815" s="8" t="s">
        <v>40</v>
      </c>
    </row>
    <row r="2816" spans="1:5">
      <c r="A2816" s="8">
        <v>6226</v>
      </c>
      <c r="B2816" s="8" t="s">
        <v>4561</v>
      </c>
      <c r="C2816" s="8" t="s">
        <v>1421</v>
      </c>
      <c r="D2816" s="8" t="s">
        <v>48</v>
      </c>
      <c r="E2816" s="8" t="s">
        <v>40</v>
      </c>
    </row>
    <row r="2817" spans="1:5">
      <c r="A2817" s="8">
        <v>6230</v>
      </c>
      <c r="B2817" s="8" t="s">
        <v>4562</v>
      </c>
      <c r="C2817" s="8" t="s">
        <v>1723</v>
      </c>
      <c r="D2817" s="8" t="s">
        <v>1724</v>
      </c>
      <c r="E2817" s="8" t="s">
        <v>1026</v>
      </c>
    </row>
    <row r="2818" spans="1:5">
      <c r="A2818" s="8">
        <v>6232</v>
      </c>
      <c r="B2818" s="8" t="s">
        <v>4563</v>
      </c>
      <c r="C2818" s="8" t="s">
        <v>4379</v>
      </c>
      <c r="D2818" s="8" t="s">
        <v>1834</v>
      </c>
      <c r="E2818" s="8" t="s">
        <v>1835</v>
      </c>
    </row>
    <row r="2819" spans="1:5">
      <c r="A2819" s="8">
        <v>6237</v>
      </c>
      <c r="B2819" s="8" t="s">
        <v>4564</v>
      </c>
      <c r="C2819" s="8" t="s">
        <v>4565</v>
      </c>
      <c r="D2819" s="8" t="s">
        <v>121</v>
      </c>
      <c r="E2819" s="8" t="s">
        <v>40</v>
      </c>
    </row>
    <row r="2820" spans="1:5">
      <c r="A2820" s="8">
        <v>6238</v>
      </c>
      <c r="B2820" s="8" t="s">
        <v>4566</v>
      </c>
      <c r="C2820" s="8" t="s">
        <v>304</v>
      </c>
      <c r="D2820" s="8" t="s">
        <v>43</v>
      </c>
      <c r="E2820" s="8" t="s">
        <v>40</v>
      </c>
    </row>
    <row r="2821" spans="1:5">
      <c r="A2821" s="8">
        <v>6239</v>
      </c>
      <c r="B2821" s="8" t="s">
        <v>4567</v>
      </c>
      <c r="C2821" s="8" t="s">
        <v>4568</v>
      </c>
      <c r="D2821" s="8" t="s">
        <v>438</v>
      </c>
      <c r="E2821" s="8" t="s">
        <v>40</v>
      </c>
    </row>
    <row r="2822" spans="1:5">
      <c r="A2822" s="8">
        <v>6240</v>
      </c>
      <c r="B2822" s="8" t="s">
        <v>4569</v>
      </c>
      <c r="C2822" s="8" t="s">
        <v>2193</v>
      </c>
      <c r="D2822" s="8" t="s">
        <v>429</v>
      </c>
      <c r="E2822" s="8" t="s">
        <v>40</v>
      </c>
    </row>
    <row r="2823" spans="1:5">
      <c r="A2823" s="8">
        <v>6300</v>
      </c>
      <c r="B2823" s="8" t="s">
        <v>4570</v>
      </c>
      <c r="C2823" s="8" t="s">
        <v>4571</v>
      </c>
      <c r="D2823" s="8" t="s">
        <v>54</v>
      </c>
      <c r="E2823" s="8" t="s">
        <v>40</v>
      </c>
    </row>
    <row r="2824" spans="1:5">
      <c r="A2824" s="8">
        <v>6301</v>
      </c>
      <c r="B2824" s="8" t="s">
        <v>4572</v>
      </c>
      <c r="C2824" s="8" t="s">
        <v>4573</v>
      </c>
      <c r="D2824" s="8" t="s">
        <v>60</v>
      </c>
      <c r="E2824" s="8" t="s">
        <v>40</v>
      </c>
    </row>
    <row r="2825" spans="1:5">
      <c r="A2825" s="8">
        <v>6302</v>
      </c>
      <c r="B2825" s="8" t="s">
        <v>4574</v>
      </c>
      <c r="C2825" s="8" t="s">
        <v>4575</v>
      </c>
      <c r="D2825" s="8" t="s">
        <v>490</v>
      </c>
      <c r="E2825" s="8" t="s">
        <v>40</v>
      </c>
    </row>
    <row r="2826" spans="1:5">
      <c r="A2826" s="8">
        <v>6303</v>
      </c>
      <c r="B2826" s="8" t="s">
        <v>4576</v>
      </c>
      <c r="C2826" s="8" t="s">
        <v>1834</v>
      </c>
      <c r="D2826" s="8" t="s">
        <v>1834</v>
      </c>
      <c r="E2826" s="8" t="s">
        <v>1835</v>
      </c>
    </row>
    <row r="2827" spans="1:5">
      <c r="A2827" s="8">
        <v>6304</v>
      </c>
      <c r="B2827" s="8" t="s">
        <v>4577</v>
      </c>
      <c r="C2827" s="8" t="s">
        <v>4578</v>
      </c>
      <c r="D2827" s="8" t="s">
        <v>4126</v>
      </c>
      <c r="E2827" s="8" t="s">
        <v>3670</v>
      </c>
    </row>
    <row r="2828" spans="1:5">
      <c r="A2828" s="8">
        <v>6305</v>
      </c>
      <c r="B2828" s="8" t="s">
        <v>4579</v>
      </c>
      <c r="C2828" s="8" t="s">
        <v>940</v>
      </c>
      <c r="D2828" s="8" t="s">
        <v>43</v>
      </c>
      <c r="E2828" s="8" t="s">
        <v>40</v>
      </c>
    </row>
    <row r="2829" spans="1:5">
      <c r="A2829" s="8">
        <v>6306</v>
      </c>
      <c r="B2829" s="8" t="s">
        <v>4580</v>
      </c>
      <c r="C2829" s="8" t="s">
        <v>445</v>
      </c>
      <c r="D2829" s="8" t="s">
        <v>164</v>
      </c>
      <c r="E2829" s="8" t="s">
        <v>40</v>
      </c>
    </row>
    <row r="2830" spans="1:5">
      <c r="A2830" s="8">
        <v>6308</v>
      </c>
      <c r="B2830" s="8" t="s">
        <v>4581</v>
      </c>
      <c r="C2830" s="8" t="s">
        <v>4582</v>
      </c>
      <c r="D2830" s="8" t="s">
        <v>4583</v>
      </c>
      <c r="E2830" s="8" t="s">
        <v>40</v>
      </c>
    </row>
    <row r="2831" spans="1:5">
      <c r="A2831" s="8">
        <v>6309</v>
      </c>
      <c r="B2831" s="8" t="s">
        <v>4584</v>
      </c>
      <c r="C2831" s="8" t="s">
        <v>4582</v>
      </c>
      <c r="D2831" s="8" t="s">
        <v>4583</v>
      </c>
      <c r="E2831" s="8" t="s">
        <v>40</v>
      </c>
    </row>
    <row r="2832" spans="1:5">
      <c r="A2832" s="8">
        <v>6312</v>
      </c>
      <c r="B2832" s="8" t="s">
        <v>4585</v>
      </c>
      <c r="C2832" s="8" t="s">
        <v>4586</v>
      </c>
      <c r="D2832" s="8" t="s">
        <v>159</v>
      </c>
      <c r="E2832" s="8" t="s">
        <v>40</v>
      </c>
    </row>
    <row r="2833" spans="1:5">
      <c r="A2833" s="8">
        <v>6314</v>
      </c>
      <c r="B2833" s="8" t="s">
        <v>4587</v>
      </c>
      <c r="C2833" s="8" t="s">
        <v>1920</v>
      </c>
      <c r="D2833" s="8" t="s">
        <v>92</v>
      </c>
      <c r="E2833" s="8" t="s">
        <v>40</v>
      </c>
    </row>
    <row r="2834" spans="1:5">
      <c r="A2834" s="8">
        <v>6315</v>
      </c>
      <c r="B2834" s="8" t="s">
        <v>4588</v>
      </c>
      <c r="C2834" s="8" t="s">
        <v>4589</v>
      </c>
      <c r="D2834" s="8" t="s">
        <v>164</v>
      </c>
      <c r="E2834" s="8" t="s">
        <v>40</v>
      </c>
    </row>
    <row r="2835" spans="1:5">
      <c r="A2835" s="8">
        <v>6317</v>
      </c>
      <c r="B2835" s="8" t="s">
        <v>4590</v>
      </c>
      <c r="C2835" s="8" t="s">
        <v>4591</v>
      </c>
      <c r="D2835" s="8" t="s">
        <v>213</v>
      </c>
      <c r="E2835" s="8" t="s">
        <v>40</v>
      </c>
    </row>
    <row r="2836" spans="1:5">
      <c r="A2836" s="8">
        <v>6318</v>
      </c>
      <c r="B2836" s="8" t="s">
        <v>4592</v>
      </c>
      <c r="C2836" s="8" t="s">
        <v>4593</v>
      </c>
      <c r="D2836" s="8" t="s">
        <v>132</v>
      </c>
      <c r="E2836" s="8" t="s">
        <v>40</v>
      </c>
    </row>
    <row r="2837" spans="1:5">
      <c r="A2837" s="8">
        <v>6319</v>
      </c>
      <c r="B2837" s="8" t="s">
        <v>4594</v>
      </c>
      <c r="C2837" s="8" t="s">
        <v>4595</v>
      </c>
      <c r="D2837" s="8" t="s">
        <v>3477</v>
      </c>
      <c r="E2837" s="8" t="s">
        <v>1461</v>
      </c>
    </row>
    <row r="2838" spans="1:5">
      <c r="A2838" s="8">
        <v>6320</v>
      </c>
      <c r="B2838" s="8" t="s">
        <v>4596</v>
      </c>
      <c r="C2838" s="8" t="s">
        <v>180</v>
      </c>
      <c r="D2838" s="8" t="s">
        <v>213</v>
      </c>
      <c r="E2838" s="8" t="s">
        <v>40</v>
      </c>
    </row>
    <row r="2839" spans="1:5">
      <c r="A2839" s="8">
        <v>6321</v>
      </c>
      <c r="B2839" s="8" t="s">
        <v>4597</v>
      </c>
      <c r="C2839" s="8" t="s">
        <v>4598</v>
      </c>
      <c r="D2839" s="8" t="s">
        <v>164</v>
      </c>
      <c r="E2839" s="8" t="s">
        <v>40</v>
      </c>
    </row>
    <row r="2840" spans="1:5">
      <c r="A2840" s="8">
        <v>6322</v>
      </c>
      <c r="B2840" s="8" t="s">
        <v>4599</v>
      </c>
      <c r="C2840" s="8" t="s">
        <v>4600</v>
      </c>
      <c r="D2840" s="8" t="s">
        <v>57</v>
      </c>
      <c r="E2840" s="8" t="s">
        <v>40</v>
      </c>
    </row>
    <row r="2841" spans="1:5">
      <c r="A2841" s="8">
        <v>6323</v>
      </c>
      <c r="B2841" s="8" t="s">
        <v>4601</v>
      </c>
      <c r="C2841" s="8" t="s">
        <v>1421</v>
      </c>
      <c r="D2841" s="8" t="s">
        <v>238</v>
      </c>
      <c r="E2841" s="8" t="s">
        <v>239</v>
      </c>
    </row>
    <row r="2842" spans="1:5">
      <c r="A2842" s="8">
        <v>6324</v>
      </c>
      <c r="B2842" s="8" t="s">
        <v>2745</v>
      </c>
      <c r="C2842" s="8" t="s">
        <v>2213</v>
      </c>
      <c r="D2842" s="8" t="s">
        <v>181</v>
      </c>
      <c r="E2842" s="8" t="s">
        <v>40</v>
      </c>
    </row>
    <row r="2843" spans="1:5">
      <c r="A2843" s="8">
        <v>6325</v>
      </c>
      <c r="B2843" s="8" t="s">
        <v>4602</v>
      </c>
      <c r="C2843" s="8" t="s">
        <v>3229</v>
      </c>
      <c r="D2843" s="8" t="s">
        <v>630</v>
      </c>
      <c r="E2843" s="8" t="s">
        <v>40</v>
      </c>
    </row>
    <row r="2844" spans="1:5">
      <c r="A2844" s="8">
        <v>6326</v>
      </c>
      <c r="B2844" s="8" t="s">
        <v>4603</v>
      </c>
      <c r="C2844" s="8" t="s">
        <v>4604</v>
      </c>
      <c r="D2844" s="8" t="s">
        <v>438</v>
      </c>
      <c r="E2844" s="8" t="s">
        <v>40</v>
      </c>
    </row>
    <row r="2845" spans="1:5">
      <c r="A2845" s="8">
        <v>6327</v>
      </c>
      <c r="B2845" s="8" t="s">
        <v>4605</v>
      </c>
      <c r="C2845" s="8" t="s">
        <v>4606</v>
      </c>
      <c r="D2845" s="8" t="s">
        <v>97</v>
      </c>
      <c r="E2845" s="8" t="s">
        <v>40</v>
      </c>
    </row>
    <row r="2846" spans="1:5">
      <c r="A2846" s="8">
        <v>6328</v>
      </c>
      <c r="B2846" s="8" t="s">
        <v>4607</v>
      </c>
      <c r="C2846" s="8" t="s">
        <v>1209</v>
      </c>
      <c r="D2846" s="8" t="s">
        <v>60</v>
      </c>
      <c r="E2846" s="8" t="s">
        <v>40</v>
      </c>
    </row>
    <row r="2847" spans="1:5">
      <c r="A2847" s="8">
        <v>6329</v>
      </c>
      <c r="B2847" s="8" t="s">
        <v>4608</v>
      </c>
      <c r="C2847" s="8" t="s">
        <v>4609</v>
      </c>
      <c r="D2847" s="8" t="s">
        <v>87</v>
      </c>
      <c r="E2847" s="8" t="s">
        <v>40</v>
      </c>
    </row>
    <row r="2848" spans="1:5">
      <c r="A2848" s="8">
        <v>6331</v>
      </c>
      <c r="B2848" s="8" t="s">
        <v>4610</v>
      </c>
      <c r="C2848" s="8" t="s">
        <v>508</v>
      </c>
      <c r="D2848" s="8" t="s">
        <v>238</v>
      </c>
      <c r="E2848" s="8" t="s">
        <v>239</v>
      </c>
    </row>
    <row r="2849" spans="1:5">
      <c r="A2849" s="8">
        <v>6332</v>
      </c>
      <c r="B2849" s="8" t="s">
        <v>4611</v>
      </c>
      <c r="C2849" s="8" t="s">
        <v>679</v>
      </c>
      <c r="D2849" s="8" t="s">
        <v>429</v>
      </c>
      <c r="E2849" s="8" t="s">
        <v>40</v>
      </c>
    </row>
    <row r="2850" spans="1:5">
      <c r="A2850" s="8">
        <v>6333</v>
      </c>
      <c r="B2850" s="8" t="s">
        <v>4612</v>
      </c>
      <c r="C2850" s="8" t="s">
        <v>4613</v>
      </c>
      <c r="D2850" s="8" t="s">
        <v>201</v>
      </c>
      <c r="E2850" s="8" t="s">
        <v>40</v>
      </c>
    </row>
    <row r="2851" spans="1:5">
      <c r="A2851" s="8">
        <v>6334</v>
      </c>
      <c r="B2851" s="8" t="s">
        <v>2325</v>
      </c>
      <c r="C2851" s="8" t="s">
        <v>4614</v>
      </c>
      <c r="D2851" s="8" t="s">
        <v>159</v>
      </c>
      <c r="E2851" s="8" t="s">
        <v>40</v>
      </c>
    </row>
    <row r="2852" spans="1:5">
      <c r="A2852" s="8">
        <v>6335</v>
      </c>
      <c r="B2852" s="8" t="s">
        <v>4615</v>
      </c>
      <c r="C2852" s="8" t="s">
        <v>1421</v>
      </c>
      <c r="D2852" s="8" t="s">
        <v>60</v>
      </c>
      <c r="E2852" s="8" t="s">
        <v>40</v>
      </c>
    </row>
    <row r="2853" spans="1:5">
      <c r="A2853" s="8">
        <v>6336</v>
      </c>
      <c r="B2853" s="8" t="s">
        <v>4616</v>
      </c>
      <c r="C2853" s="8" t="s">
        <v>4617</v>
      </c>
      <c r="D2853" s="8" t="s">
        <v>238</v>
      </c>
      <c r="E2853" s="8" t="s">
        <v>239</v>
      </c>
    </row>
    <row r="2854" spans="1:5">
      <c r="A2854" s="8">
        <v>6337</v>
      </c>
      <c r="B2854" s="8" t="s">
        <v>4618</v>
      </c>
      <c r="C2854" s="8" t="s">
        <v>4619</v>
      </c>
      <c r="D2854" s="8" t="s">
        <v>87</v>
      </c>
      <c r="E2854" s="8" t="s">
        <v>40</v>
      </c>
    </row>
    <row r="2855" spans="1:5">
      <c r="A2855" s="8">
        <v>6339</v>
      </c>
      <c r="B2855" s="8" t="s">
        <v>4620</v>
      </c>
      <c r="C2855" s="8" t="s">
        <v>4621</v>
      </c>
      <c r="D2855" s="8" t="s">
        <v>238</v>
      </c>
      <c r="E2855" s="8" t="s">
        <v>239</v>
      </c>
    </row>
    <row r="2856" spans="1:5">
      <c r="A2856" s="8">
        <v>6340</v>
      </c>
      <c r="B2856" s="8" t="s">
        <v>4622</v>
      </c>
      <c r="C2856" s="8" t="s">
        <v>934</v>
      </c>
      <c r="D2856" s="8" t="s">
        <v>630</v>
      </c>
      <c r="E2856" s="8" t="s">
        <v>40</v>
      </c>
    </row>
    <row r="2857" spans="1:5">
      <c r="A2857" s="8">
        <v>6341</v>
      </c>
      <c r="B2857" s="8" t="s">
        <v>4623</v>
      </c>
      <c r="C2857" s="8" t="s">
        <v>3894</v>
      </c>
      <c r="D2857" s="8" t="s">
        <v>630</v>
      </c>
      <c r="E2857" s="8" t="s">
        <v>40</v>
      </c>
    </row>
    <row r="2858" spans="1:5">
      <c r="A2858" s="8">
        <v>6342</v>
      </c>
      <c r="B2858" s="8" t="s">
        <v>4624</v>
      </c>
      <c r="C2858" s="8" t="s">
        <v>4625</v>
      </c>
      <c r="D2858" s="8" t="s">
        <v>238</v>
      </c>
      <c r="E2858" s="8" t="s">
        <v>239</v>
      </c>
    </row>
    <row r="2859" spans="1:5">
      <c r="A2859" s="8">
        <v>6343</v>
      </c>
      <c r="B2859" s="8" t="s">
        <v>4626</v>
      </c>
      <c r="C2859" s="8" t="s">
        <v>1335</v>
      </c>
      <c r="D2859" s="8" t="s">
        <v>264</v>
      </c>
      <c r="E2859" s="8" t="s">
        <v>40</v>
      </c>
    </row>
    <row r="2860" spans="1:5">
      <c r="A2860" s="8">
        <v>6344</v>
      </c>
      <c r="B2860" s="8" t="s">
        <v>4627</v>
      </c>
      <c r="C2860" s="8" t="s">
        <v>4628</v>
      </c>
      <c r="D2860" s="8" t="s">
        <v>39</v>
      </c>
      <c r="E2860" s="8" t="s">
        <v>40</v>
      </c>
    </row>
    <row r="2861" spans="1:5">
      <c r="A2861" s="8">
        <v>6345</v>
      </c>
      <c r="B2861" s="8" t="s">
        <v>4629</v>
      </c>
      <c r="C2861" s="8" t="s">
        <v>4630</v>
      </c>
      <c r="D2861" s="8" t="s">
        <v>39</v>
      </c>
      <c r="E2861" s="8" t="s">
        <v>40</v>
      </c>
    </row>
    <row r="2862" spans="1:5">
      <c r="A2862" s="8">
        <v>6346</v>
      </c>
      <c r="B2862" s="8" t="s">
        <v>4631</v>
      </c>
      <c r="C2862" s="8" t="s">
        <v>4632</v>
      </c>
      <c r="D2862" s="8" t="s">
        <v>201</v>
      </c>
      <c r="E2862" s="8" t="s">
        <v>40</v>
      </c>
    </row>
    <row r="2863" spans="1:5">
      <c r="A2863" s="8">
        <v>6348</v>
      </c>
      <c r="B2863" s="8" t="s">
        <v>4633</v>
      </c>
      <c r="C2863" s="8" t="s">
        <v>4634</v>
      </c>
      <c r="D2863" s="8" t="s">
        <v>4635</v>
      </c>
      <c r="E2863" s="8" t="s">
        <v>1461</v>
      </c>
    </row>
    <row r="2864" spans="1:5">
      <c r="A2864" s="8">
        <v>6350</v>
      </c>
      <c r="B2864" s="8" t="s">
        <v>4636</v>
      </c>
      <c r="C2864" s="8" t="s">
        <v>4637</v>
      </c>
      <c r="D2864" s="8" t="s">
        <v>264</v>
      </c>
      <c r="E2864" s="8" t="s">
        <v>40</v>
      </c>
    </row>
    <row r="2865" spans="1:5">
      <c r="A2865" s="8">
        <v>6351</v>
      </c>
      <c r="B2865" s="8" t="s">
        <v>4638</v>
      </c>
      <c r="C2865" s="8" t="s">
        <v>963</v>
      </c>
      <c r="D2865" s="8" t="s">
        <v>964</v>
      </c>
      <c r="E2865" s="8" t="s">
        <v>239</v>
      </c>
    </row>
    <row r="2866" spans="1:5">
      <c r="A2866" s="8">
        <v>6352</v>
      </c>
      <c r="B2866" s="8" t="s">
        <v>4639</v>
      </c>
      <c r="C2866" s="8" t="s">
        <v>1150</v>
      </c>
      <c r="D2866" s="8" t="s">
        <v>92</v>
      </c>
      <c r="E2866" s="8" t="s">
        <v>40</v>
      </c>
    </row>
    <row r="2867" spans="1:5">
      <c r="A2867" s="8">
        <v>6353</v>
      </c>
      <c r="B2867" s="8" t="s">
        <v>4640</v>
      </c>
      <c r="C2867" s="8" t="s">
        <v>3821</v>
      </c>
      <c r="D2867" s="8" t="s">
        <v>3821</v>
      </c>
      <c r="E2867" s="8" t="s">
        <v>3670</v>
      </c>
    </row>
    <row r="2868" spans="1:5">
      <c r="A2868" s="8">
        <v>6354</v>
      </c>
      <c r="B2868" s="8" t="s">
        <v>4641</v>
      </c>
      <c r="C2868" s="8" t="s">
        <v>3821</v>
      </c>
      <c r="D2868" s="8" t="s">
        <v>3821</v>
      </c>
      <c r="E2868" s="8" t="s">
        <v>3670</v>
      </c>
    </row>
    <row r="2869" spans="1:5">
      <c r="A2869" s="8">
        <v>6355</v>
      </c>
      <c r="B2869" s="8" t="s">
        <v>4642</v>
      </c>
      <c r="C2869" s="8" t="s">
        <v>166</v>
      </c>
      <c r="D2869" s="8" t="s">
        <v>81</v>
      </c>
      <c r="E2869" s="8" t="s">
        <v>40</v>
      </c>
    </row>
    <row r="2870" spans="1:5">
      <c r="A2870" s="8">
        <v>6356</v>
      </c>
      <c r="B2870" s="8" t="s">
        <v>4643</v>
      </c>
      <c r="C2870" s="8" t="s">
        <v>3754</v>
      </c>
      <c r="D2870" s="8" t="s">
        <v>3755</v>
      </c>
      <c r="E2870" s="8" t="s">
        <v>3670</v>
      </c>
    </row>
    <row r="2871" spans="1:5">
      <c r="A2871" s="8">
        <v>6357</v>
      </c>
      <c r="B2871" s="8" t="s">
        <v>4644</v>
      </c>
      <c r="C2871" s="8" t="s">
        <v>4645</v>
      </c>
      <c r="D2871" s="8" t="s">
        <v>164</v>
      </c>
      <c r="E2871" s="8" t="s">
        <v>40</v>
      </c>
    </row>
    <row r="2872" spans="1:5">
      <c r="A2872" s="8">
        <v>6358</v>
      </c>
      <c r="B2872" s="8" t="s">
        <v>4646</v>
      </c>
      <c r="C2872" s="8" t="s">
        <v>4647</v>
      </c>
      <c r="D2872" s="8" t="s">
        <v>1018</v>
      </c>
      <c r="E2872" s="8" t="s">
        <v>40</v>
      </c>
    </row>
    <row r="2873" spans="1:5">
      <c r="A2873" s="8">
        <v>6359</v>
      </c>
      <c r="B2873" s="8" t="s">
        <v>4648</v>
      </c>
      <c r="C2873" s="8" t="s">
        <v>1303</v>
      </c>
      <c r="D2873" s="8" t="s">
        <v>4195</v>
      </c>
      <c r="E2873" s="8" t="s">
        <v>40</v>
      </c>
    </row>
    <row r="2874" spans="1:5">
      <c r="A2874" s="8">
        <v>6360</v>
      </c>
      <c r="B2874" s="8" t="s">
        <v>4649</v>
      </c>
      <c r="C2874" s="8" t="s">
        <v>4650</v>
      </c>
      <c r="D2874" s="8" t="s">
        <v>4651</v>
      </c>
      <c r="E2874" s="8" t="s">
        <v>3670</v>
      </c>
    </row>
    <row r="2875" spans="1:5">
      <c r="A2875" s="8">
        <v>6361</v>
      </c>
      <c r="B2875" s="8" t="s">
        <v>4652</v>
      </c>
      <c r="C2875" s="8" t="s">
        <v>3821</v>
      </c>
      <c r="D2875" s="8" t="s">
        <v>3821</v>
      </c>
      <c r="E2875" s="8" t="s">
        <v>3670</v>
      </c>
    </row>
    <row r="2876" spans="1:5">
      <c r="A2876" s="8">
        <v>6362</v>
      </c>
      <c r="B2876" s="8" t="s">
        <v>4653</v>
      </c>
      <c r="C2876" s="8" t="s">
        <v>3821</v>
      </c>
      <c r="D2876" s="8" t="s">
        <v>3821</v>
      </c>
      <c r="E2876" s="8" t="s">
        <v>3670</v>
      </c>
    </row>
    <row r="2877" spans="1:5">
      <c r="A2877" s="8">
        <v>6363</v>
      </c>
      <c r="B2877" s="8" t="s">
        <v>4654</v>
      </c>
      <c r="C2877" s="8" t="s">
        <v>4655</v>
      </c>
      <c r="D2877" s="8" t="s">
        <v>164</v>
      </c>
      <c r="E2877" s="8" t="s">
        <v>40</v>
      </c>
    </row>
    <row r="2878" spans="1:5">
      <c r="A2878" s="8">
        <v>6364</v>
      </c>
      <c r="B2878" s="8" t="s">
        <v>4656</v>
      </c>
      <c r="C2878" s="8" t="s">
        <v>4657</v>
      </c>
      <c r="D2878" s="8" t="s">
        <v>4658</v>
      </c>
      <c r="E2878" s="8" t="s">
        <v>239</v>
      </c>
    </row>
    <row r="2879" spans="1:5">
      <c r="A2879" s="8">
        <v>6366</v>
      </c>
      <c r="B2879" s="8" t="s">
        <v>4659</v>
      </c>
      <c r="C2879" s="8" t="s">
        <v>4660</v>
      </c>
      <c r="D2879" s="8" t="s">
        <v>319</v>
      </c>
      <c r="E2879" s="8" t="s">
        <v>40</v>
      </c>
    </row>
    <row r="2880" spans="1:5">
      <c r="A2880" s="8">
        <v>6367</v>
      </c>
      <c r="B2880" s="8" t="s">
        <v>4661</v>
      </c>
      <c r="C2880" s="8" t="s">
        <v>174</v>
      </c>
      <c r="D2880" s="8" t="s">
        <v>60</v>
      </c>
      <c r="E2880" s="8" t="s">
        <v>40</v>
      </c>
    </row>
    <row r="2881" spans="1:5">
      <c r="A2881" s="8">
        <v>6369</v>
      </c>
      <c r="B2881" s="8" t="s">
        <v>4662</v>
      </c>
      <c r="C2881" s="8" t="s">
        <v>4663</v>
      </c>
      <c r="D2881" s="8" t="s">
        <v>164</v>
      </c>
      <c r="E2881" s="8" t="s">
        <v>40</v>
      </c>
    </row>
    <row r="2882" spans="1:5">
      <c r="A2882" s="8">
        <v>6371</v>
      </c>
      <c r="B2882" s="8" t="s">
        <v>4664</v>
      </c>
      <c r="C2882" s="8" t="s">
        <v>4665</v>
      </c>
      <c r="D2882" s="8" t="s">
        <v>213</v>
      </c>
      <c r="E2882" s="8" t="s">
        <v>40</v>
      </c>
    </row>
    <row r="2883" spans="1:5">
      <c r="A2883" s="8">
        <v>6372</v>
      </c>
      <c r="B2883" s="8" t="s">
        <v>4666</v>
      </c>
      <c r="C2883" s="8" t="s">
        <v>3007</v>
      </c>
      <c r="D2883" s="8" t="s">
        <v>92</v>
      </c>
      <c r="E2883" s="8" t="s">
        <v>40</v>
      </c>
    </row>
    <row r="2884" spans="1:5">
      <c r="A2884" s="8">
        <v>6376</v>
      </c>
      <c r="B2884" s="8" t="s">
        <v>4667</v>
      </c>
      <c r="C2884" s="8" t="s">
        <v>3821</v>
      </c>
      <c r="D2884" s="8" t="s">
        <v>3821</v>
      </c>
      <c r="E2884" s="8" t="s">
        <v>3670</v>
      </c>
    </row>
    <row r="2885" spans="1:5">
      <c r="A2885" s="8">
        <v>6377</v>
      </c>
      <c r="B2885" s="8" t="s">
        <v>4668</v>
      </c>
      <c r="C2885" s="8" t="s">
        <v>420</v>
      </c>
      <c r="D2885" s="8" t="s">
        <v>164</v>
      </c>
      <c r="E2885" s="8" t="s">
        <v>40</v>
      </c>
    </row>
    <row r="2886" spans="1:5">
      <c r="A2886" s="8">
        <v>6378</v>
      </c>
      <c r="B2886" s="8" t="s">
        <v>4669</v>
      </c>
      <c r="C2886" s="8" t="s">
        <v>829</v>
      </c>
      <c r="D2886" s="8" t="s">
        <v>238</v>
      </c>
      <c r="E2886" s="8" t="s">
        <v>239</v>
      </c>
    </row>
    <row r="2887" spans="1:5">
      <c r="A2887" s="8">
        <v>6379</v>
      </c>
      <c r="B2887" s="8" t="s">
        <v>4670</v>
      </c>
      <c r="C2887" s="8" t="s">
        <v>4671</v>
      </c>
      <c r="D2887" s="8" t="s">
        <v>213</v>
      </c>
      <c r="E2887" s="8" t="s">
        <v>40</v>
      </c>
    </row>
    <row r="2888" spans="1:5">
      <c r="A2888" s="8">
        <v>6380</v>
      </c>
      <c r="B2888" s="8" t="s">
        <v>4672</v>
      </c>
      <c r="C2888" s="8" t="s">
        <v>1834</v>
      </c>
      <c r="D2888" s="8" t="s">
        <v>1834</v>
      </c>
      <c r="E2888" s="8" t="s">
        <v>1835</v>
      </c>
    </row>
    <row r="2889" spans="1:5">
      <c r="A2889" s="8">
        <v>6381</v>
      </c>
      <c r="B2889" s="8" t="s">
        <v>4673</v>
      </c>
      <c r="C2889" s="8" t="s">
        <v>4674</v>
      </c>
      <c r="D2889" s="8" t="s">
        <v>132</v>
      </c>
      <c r="E2889" s="8" t="s">
        <v>40</v>
      </c>
    </row>
    <row r="2890" spans="1:5">
      <c r="A2890" s="8">
        <v>6382</v>
      </c>
      <c r="B2890" s="8" t="s">
        <v>4675</v>
      </c>
      <c r="C2890" s="8" t="s">
        <v>3001</v>
      </c>
      <c r="D2890" s="8" t="s">
        <v>43</v>
      </c>
      <c r="E2890" s="8" t="s">
        <v>40</v>
      </c>
    </row>
    <row r="2891" spans="1:5">
      <c r="A2891" s="8">
        <v>6383</v>
      </c>
      <c r="B2891" s="8" t="s">
        <v>4676</v>
      </c>
      <c r="C2891" s="8" t="s">
        <v>3754</v>
      </c>
      <c r="D2891" s="8" t="s">
        <v>3755</v>
      </c>
      <c r="E2891" s="8" t="s">
        <v>3670</v>
      </c>
    </row>
    <row r="2892" spans="1:5">
      <c r="A2892" s="8">
        <v>6386</v>
      </c>
      <c r="B2892" s="8" t="s">
        <v>4677</v>
      </c>
      <c r="C2892" s="8" t="s">
        <v>4678</v>
      </c>
      <c r="D2892" s="8" t="s">
        <v>3755</v>
      </c>
      <c r="E2892" s="8" t="s">
        <v>3670</v>
      </c>
    </row>
    <row r="2893" spans="1:5">
      <c r="A2893" s="8">
        <v>6388</v>
      </c>
      <c r="B2893" s="8" t="s">
        <v>4679</v>
      </c>
      <c r="C2893" s="8" t="s">
        <v>4379</v>
      </c>
      <c r="D2893" s="8" t="s">
        <v>1834</v>
      </c>
      <c r="E2893" s="8" t="s">
        <v>1835</v>
      </c>
    </row>
    <row r="2894" spans="1:5">
      <c r="A2894" s="8">
        <v>6390</v>
      </c>
      <c r="B2894" s="8" t="s">
        <v>4680</v>
      </c>
      <c r="C2894" s="8" t="s">
        <v>4681</v>
      </c>
      <c r="D2894" s="8" t="s">
        <v>4658</v>
      </c>
      <c r="E2894" s="8" t="s">
        <v>239</v>
      </c>
    </row>
    <row r="2895" spans="1:5">
      <c r="A2895" s="8">
        <v>6391</v>
      </c>
      <c r="B2895" s="8" t="s">
        <v>4682</v>
      </c>
      <c r="C2895" s="8" t="s">
        <v>690</v>
      </c>
      <c r="D2895" s="8" t="s">
        <v>691</v>
      </c>
      <c r="E2895" s="8" t="s">
        <v>40</v>
      </c>
    </row>
    <row r="2896" spans="1:5">
      <c r="A2896" s="8">
        <v>6392</v>
      </c>
      <c r="B2896" s="8" t="s">
        <v>4683</v>
      </c>
      <c r="C2896" s="8" t="s">
        <v>4684</v>
      </c>
      <c r="D2896" s="8" t="s">
        <v>4685</v>
      </c>
      <c r="E2896" s="8" t="s">
        <v>3670</v>
      </c>
    </row>
    <row r="2897" spans="1:5">
      <c r="A2897" s="8">
        <v>6393</v>
      </c>
      <c r="B2897" s="8" t="s">
        <v>4686</v>
      </c>
      <c r="C2897" s="8" t="s">
        <v>4687</v>
      </c>
      <c r="D2897" s="8" t="s">
        <v>4688</v>
      </c>
      <c r="E2897" s="8" t="s">
        <v>3670</v>
      </c>
    </row>
    <row r="2898" spans="1:5">
      <c r="A2898" s="8">
        <v>6394</v>
      </c>
      <c r="B2898" s="8" t="s">
        <v>4689</v>
      </c>
      <c r="C2898" s="8" t="s">
        <v>4690</v>
      </c>
      <c r="D2898" s="8" t="s">
        <v>4126</v>
      </c>
      <c r="E2898" s="8" t="s">
        <v>3670</v>
      </c>
    </row>
    <row r="2899" spans="1:5">
      <c r="A2899" s="8">
        <v>6397</v>
      </c>
      <c r="B2899" s="8" t="s">
        <v>4691</v>
      </c>
      <c r="C2899" s="8" t="s">
        <v>272</v>
      </c>
      <c r="D2899" s="8" t="s">
        <v>238</v>
      </c>
      <c r="E2899" s="8" t="s">
        <v>239</v>
      </c>
    </row>
    <row r="2900" spans="1:5">
      <c r="A2900" s="8">
        <v>6398</v>
      </c>
      <c r="B2900" s="8" t="s">
        <v>4692</v>
      </c>
      <c r="C2900" s="8" t="s">
        <v>4693</v>
      </c>
      <c r="D2900" s="8" t="s">
        <v>43</v>
      </c>
      <c r="E2900" s="8" t="s">
        <v>40</v>
      </c>
    </row>
    <row r="2901" spans="1:5">
      <c r="A2901" s="8">
        <v>6399</v>
      </c>
      <c r="B2901" s="8" t="s">
        <v>4694</v>
      </c>
      <c r="C2901" s="8" t="s">
        <v>4695</v>
      </c>
      <c r="D2901" s="8" t="s">
        <v>3908</v>
      </c>
      <c r="E2901" s="8" t="s">
        <v>3670</v>
      </c>
    </row>
    <row r="2902" spans="1:5">
      <c r="A2902" s="8">
        <v>6400</v>
      </c>
      <c r="B2902" s="8" t="s">
        <v>4696</v>
      </c>
      <c r="C2902" s="8" t="s">
        <v>4261</v>
      </c>
      <c r="D2902" s="8" t="s">
        <v>2069</v>
      </c>
      <c r="E2902" s="8" t="s">
        <v>40</v>
      </c>
    </row>
    <row r="2903" spans="1:5">
      <c r="A2903" s="8">
        <v>6401</v>
      </c>
      <c r="B2903" s="8" t="s">
        <v>4697</v>
      </c>
      <c r="C2903" s="8" t="s">
        <v>4698</v>
      </c>
      <c r="D2903" s="8" t="s">
        <v>54</v>
      </c>
      <c r="E2903" s="8" t="s">
        <v>40</v>
      </c>
    </row>
    <row r="2904" spans="1:5">
      <c r="A2904" s="8">
        <v>6402</v>
      </c>
      <c r="B2904" s="8" t="s">
        <v>4699</v>
      </c>
      <c r="C2904" s="8" t="s">
        <v>4700</v>
      </c>
      <c r="D2904" s="8" t="s">
        <v>1834</v>
      </c>
      <c r="E2904" s="8" t="s">
        <v>1835</v>
      </c>
    </row>
    <row r="2905" spans="1:5">
      <c r="A2905" s="8">
        <v>6403</v>
      </c>
      <c r="B2905" s="8" t="s">
        <v>4701</v>
      </c>
      <c r="C2905" s="8" t="s">
        <v>4702</v>
      </c>
      <c r="D2905" s="8" t="s">
        <v>4658</v>
      </c>
      <c r="E2905" s="8" t="s">
        <v>239</v>
      </c>
    </row>
    <row r="2906" spans="1:5">
      <c r="A2906" s="8">
        <v>6404</v>
      </c>
      <c r="B2906" s="8" t="s">
        <v>4703</v>
      </c>
      <c r="C2906" s="8" t="s">
        <v>4704</v>
      </c>
      <c r="D2906" s="8" t="s">
        <v>920</v>
      </c>
      <c r="E2906" s="8" t="s">
        <v>409</v>
      </c>
    </row>
    <row r="2907" spans="1:5">
      <c r="A2907" s="8">
        <v>6406</v>
      </c>
      <c r="B2907" s="8" t="s">
        <v>4705</v>
      </c>
      <c r="C2907" s="8" t="s">
        <v>4706</v>
      </c>
      <c r="D2907" s="8" t="s">
        <v>4658</v>
      </c>
      <c r="E2907" s="8" t="s">
        <v>239</v>
      </c>
    </row>
    <row r="2908" spans="1:5">
      <c r="A2908" s="8">
        <v>6407</v>
      </c>
      <c r="B2908" s="8" t="s">
        <v>4707</v>
      </c>
      <c r="C2908" s="8" t="s">
        <v>4537</v>
      </c>
      <c r="D2908" s="8" t="s">
        <v>4537</v>
      </c>
      <c r="E2908" s="8" t="s">
        <v>1461</v>
      </c>
    </row>
    <row r="2909" spans="1:5">
      <c r="A2909" s="8">
        <v>6408</v>
      </c>
      <c r="B2909" s="8" t="s">
        <v>4708</v>
      </c>
      <c r="C2909" s="8" t="s">
        <v>4709</v>
      </c>
      <c r="D2909" s="8" t="s">
        <v>4658</v>
      </c>
      <c r="E2909" s="8" t="s">
        <v>239</v>
      </c>
    </row>
    <row r="2910" spans="1:5">
      <c r="A2910" s="8">
        <v>6410</v>
      </c>
      <c r="B2910" s="8" t="s">
        <v>4710</v>
      </c>
      <c r="C2910" s="8" t="s">
        <v>4711</v>
      </c>
      <c r="D2910" s="8" t="s">
        <v>43</v>
      </c>
      <c r="E2910" s="8" t="s">
        <v>40</v>
      </c>
    </row>
    <row r="2911" spans="1:5">
      <c r="A2911" s="8">
        <v>6411</v>
      </c>
      <c r="B2911" s="8" t="s">
        <v>4712</v>
      </c>
      <c r="C2911" s="8" t="s">
        <v>2027</v>
      </c>
      <c r="D2911" s="8" t="s">
        <v>1563</v>
      </c>
      <c r="E2911" s="8" t="s">
        <v>40</v>
      </c>
    </row>
    <row r="2912" spans="1:5">
      <c r="A2912" s="8">
        <v>6412</v>
      </c>
      <c r="B2912" s="8" t="s">
        <v>4713</v>
      </c>
      <c r="C2912" s="8" t="s">
        <v>4714</v>
      </c>
      <c r="D2912" s="8" t="s">
        <v>213</v>
      </c>
      <c r="E2912" s="8" t="s">
        <v>40</v>
      </c>
    </row>
    <row r="2913" spans="1:5">
      <c r="A2913" s="8">
        <v>6413</v>
      </c>
      <c r="B2913" s="8" t="s">
        <v>4715</v>
      </c>
      <c r="C2913" s="8" t="s">
        <v>577</v>
      </c>
      <c r="D2913" s="8" t="s">
        <v>92</v>
      </c>
      <c r="E2913" s="8" t="s">
        <v>40</v>
      </c>
    </row>
    <row r="2914" spans="1:5">
      <c r="A2914" s="8">
        <v>6414</v>
      </c>
      <c r="B2914" s="8" t="s">
        <v>4716</v>
      </c>
      <c r="C2914" s="8" t="s">
        <v>3754</v>
      </c>
      <c r="D2914" s="8" t="s">
        <v>3755</v>
      </c>
      <c r="E2914" s="8" t="s">
        <v>3670</v>
      </c>
    </row>
    <row r="2915" spans="1:5">
      <c r="A2915" s="8">
        <v>6415</v>
      </c>
      <c r="B2915" s="8" t="s">
        <v>4717</v>
      </c>
      <c r="C2915" s="8" t="s">
        <v>1834</v>
      </c>
      <c r="D2915" s="8" t="s">
        <v>1834</v>
      </c>
      <c r="E2915" s="8" t="s">
        <v>1835</v>
      </c>
    </row>
    <row r="2916" spans="1:5">
      <c r="A2916" s="8">
        <v>6416</v>
      </c>
      <c r="B2916" s="8" t="s">
        <v>4718</v>
      </c>
      <c r="C2916" s="8" t="s">
        <v>4719</v>
      </c>
      <c r="D2916" s="8" t="s">
        <v>1834</v>
      </c>
      <c r="E2916" s="8" t="s">
        <v>1835</v>
      </c>
    </row>
    <row r="2917" spans="1:5">
      <c r="A2917" s="8">
        <v>6417</v>
      </c>
      <c r="B2917" s="8" t="s">
        <v>4720</v>
      </c>
      <c r="C2917" s="8" t="s">
        <v>4721</v>
      </c>
      <c r="D2917" s="8" t="s">
        <v>4721</v>
      </c>
      <c r="E2917" s="8" t="s">
        <v>4722</v>
      </c>
    </row>
    <row r="2918" spans="1:5">
      <c r="A2918" s="8">
        <v>6418</v>
      </c>
      <c r="B2918" s="8" t="s">
        <v>4723</v>
      </c>
      <c r="C2918" s="8" t="s">
        <v>2767</v>
      </c>
      <c r="D2918" s="8" t="s">
        <v>43</v>
      </c>
      <c r="E2918" s="8" t="s">
        <v>40</v>
      </c>
    </row>
    <row r="2919" spans="1:5">
      <c r="A2919" s="8">
        <v>6419</v>
      </c>
      <c r="B2919" s="8" t="s">
        <v>4724</v>
      </c>
      <c r="C2919" s="8" t="s">
        <v>4725</v>
      </c>
      <c r="D2919" s="8" t="s">
        <v>213</v>
      </c>
      <c r="E2919" s="8" t="s">
        <v>40</v>
      </c>
    </row>
    <row r="2920" spans="1:5">
      <c r="A2920" s="8">
        <v>6420</v>
      </c>
      <c r="B2920" s="8" t="s">
        <v>4726</v>
      </c>
      <c r="C2920" s="8" t="s">
        <v>4727</v>
      </c>
      <c r="D2920" s="8" t="s">
        <v>213</v>
      </c>
      <c r="E2920" s="8" t="s">
        <v>40</v>
      </c>
    </row>
    <row r="2921" spans="1:5">
      <c r="A2921" s="8">
        <v>6421</v>
      </c>
      <c r="B2921" s="8" t="s">
        <v>4728</v>
      </c>
      <c r="C2921" s="8" t="s">
        <v>4729</v>
      </c>
      <c r="D2921" s="8" t="s">
        <v>132</v>
      </c>
      <c r="E2921" s="8" t="s">
        <v>40</v>
      </c>
    </row>
    <row r="2922" spans="1:5">
      <c r="A2922" s="8">
        <v>6422</v>
      </c>
      <c r="B2922" s="8" t="s">
        <v>4730</v>
      </c>
      <c r="C2922" s="8" t="s">
        <v>4731</v>
      </c>
      <c r="D2922" s="8" t="s">
        <v>54</v>
      </c>
      <c r="E2922" s="8" t="s">
        <v>40</v>
      </c>
    </row>
    <row r="2923" spans="1:5">
      <c r="A2923" s="8">
        <v>6423</v>
      </c>
      <c r="B2923" s="8" t="s">
        <v>4732</v>
      </c>
      <c r="C2923" s="8" t="s">
        <v>4733</v>
      </c>
      <c r="D2923" s="8" t="s">
        <v>54</v>
      </c>
      <c r="E2923" s="8" t="s">
        <v>40</v>
      </c>
    </row>
    <row r="2924" spans="1:5">
      <c r="A2924" s="8">
        <v>6424</v>
      </c>
      <c r="B2924" s="8" t="s">
        <v>4734</v>
      </c>
      <c r="C2924" s="8" t="s">
        <v>4735</v>
      </c>
      <c r="D2924" s="8" t="s">
        <v>691</v>
      </c>
      <c r="E2924" s="8" t="s">
        <v>40</v>
      </c>
    </row>
    <row r="2925" spans="1:5">
      <c r="A2925" s="8">
        <v>6425</v>
      </c>
      <c r="B2925" s="8" t="s">
        <v>4736</v>
      </c>
      <c r="C2925" s="8" t="s">
        <v>4450</v>
      </c>
      <c r="D2925" s="8" t="s">
        <v>39</v>
      </c>
      <c r="E2925" s="8" t="s">
        <v>40</v>
      </c>
    </row>
    <row r="2926" spans="1:5">
      <c r="A2926" s="8">
        <v>6426</v>
      </c>
      <c r="B2926" s="8" t="s">
        <v>4737</v>
      </c>
      <c r="C2926" s="8" t="s">
        <v>679</v>
      </c>
      <c r="D2926" s="8" t="s">
        <v>429</v>
      </c>
      <c r="E2926" s="8" t="s">
        <v>40</v>
      </c>
    </row>
    <row r="2927" spans="1:5">
      <c r="A2927" s="8">
        <v>6428</v>
      </c>
      <c r="B2927" s="8" t="s">
        <v>4738</v>
      </c>
      <c r="C2927" s="8" t="s">
        <v>3772</v>
      </c>
      <c r="D2927" s="8" t="s">
        <v>39</v>
      </c>
      <c r="E2927" s="8" t="s">
        <v>40</v>
      </c>
    </row>
    <row r="2928" spans="1:5">
      <c r="A2928" s="8">
        <v>6429</v>
      </c>
      <c r="B2928" s="8" t="s">
        <v>4739</v>
      </c>
      <c r="C2928" s="8" t="s">
        <v>4740</v>
      </c>
      <c r="D2928" s="8" t="s">
        <v>4741</v>
      </c>
      <c r="E2928" s="8" t="s">
        <v>1835</v>
      </c>
    </row>
    <row r="2929" spans="1:5">
      <c r="A2929" s="8">
        <v>6430</v>
      </c>
      <c r="B2929" s="8" t="s">
        <v>4742</v>
      </c>
      <c r="C2929" s="8" t="s">
        <v>4743</v>
      </c>
      <c r="D2929" s="8" t="s">
        <v>4744</v>
      </c>
      <c r="E2929" s="8" t="s">
        <v>1835</v>
      </c>
    </row>
    <row r="2930" spans="1:5">
      <c r="A2930" s="8">
        <v>6432</v>
      </c>
      <c r="B2930" s="8" t="s">
        <v>4745</v>
      </c>
      <c r="C2930" s="8" t="s">
        <v>4746</v>
      </c>
      <c r="D2930" s="8" t="s">
        <v>1994</v>
      </c>
      <c r="E2930" s="8" t="s">
        <v>1995</v>
      </c>
    </row>
    <row r="2931" spans="1:5">
      <c r="A2931" s="8">
        <v>6433</v>
      </c>
      <c r="B2931" s="8" t="s">
        <v>4747</v>
      </c>
      <c r="C2931" s="8" t="s">
        <v>4748</v>
      </c>
      <c r="D2931" s="8" t="s">
        <v>4749</v>
      </c>
      <c r="E2931" s="8" t="s">
        <v>3670</v>
      </c>
    </row>
    <row r="2932" spans="1:5">
      <c r="A2932" s="8">
        <v>6434</v>
      </c>
      <c r="B2932" s="8" t="s">
        <v>4750</v>
      </c>
      <c r="C2932" s="8" t="s">
        <v>4751</v>
      </c>
      <c r="D2932" s="8" t="s">
        <v>1994</v>
      </c>
      <c r="E2932" s="8" t="s">
        <v>1995</v>
      </c>
    </row>
    <row r="2933" spans="1:5">
      <c r="A2933" s="8">
        <v>6435</v>
      </c>
      <c r="B2933" s="8" t="s">
        <v>4752</v>
      </c>
      <c r="C2933" s="8" t="s">
        <v>1834</v>
      </c>
      <c r="D2933" s="8" t="s">
        <v>1834</v>
      </c>
      <c r="E2933" s="8" t="s">
        <v>1835</v>
      </c>
    </row>
    <row r="2934" spans="1:5">
      <c r="A2934" s="8">
        <v>6436</v>
      </c>
      <c r="B2934" s="8" t="s">
        <v>4753</v>
      </c>
      <c r="C2934" s="8" t="s">
        <v>4754</v>
      </c>
      <c r="D2934" s="8" t="s">
        <v>1834</v>
      </c>
      <c r="E2934" s="8" t="s">
        <v>1835</v>
      </c>
    </row>
    <row r="2935" spans="1:5">
      <c r="A2935" s="8">
        <v>6439</v>
      </c>
      <c r="B2935" s="8" t="s">
        <v>4755</v>
      </c>
      <c r="C2935" s="8" t="s">
        <v>3821</v>
      </c>
      <c r="D2935" s="8" t="s">
        <v>3821</v>
      </c>
      <c r="E2935" s="8" t="s">
        <v>3670</v>
      </c>
    </row>
    <row r="2936" spans="1:5">
      <c r="A2936" s="8">
        <v>6440</v>
      </c>
      <c r="B2936" s="8" t="s">
        <v>4756</v>
      </c>
      <c r="C2936" s="8" t="s">
        <v>2657</v>
      </c>
      <c r="D2936" s="8" t="s">
        <v>1994</v>
      </c>
      <c r="E2936" s="8" t="s">
        <v>1995</v>
      </c>
    </row>
    <row r="2937" spans="1:5">
      <c r="A2937" s="8">
        <v>6441</v>
      </c>
      <c r="B2937" s="8" t="s">
        <v>4757</v>
      </c>
      <c r="C2937" s="8" t="s">
        <v>4125</v>
      </c>
      <c r="D2937" s="8" t="s">
        <v>4126</v>
      </c>
      <c r="E2937" s="8" t="s">
        <v>3670</v>
      </c>
    </row>
    <row r="2938" spans="1:5">
      <c r="A2938" s="8">
        <v>6442</v>
      </c>
      <c r="B2938" s="8" t="s">
        <v>4758</v>
      </c>
      <c r="C2938" s="8" t="s">
        <v>4759</v>
      </c>
      <c r="D2938" s="8" t="s">
        <v>603</v>
      </c>
      <c r="E2938" s="8" t="s">
        <v>40</v>
      </c>
    </row>
    <row r="2939" spans="1:5">
      <c r="A2939" s="8">
        <v>6443</v>
      </c>
      <c r="B2939" s="8" t="s">
        <v>4760</v>
      </c>
      <c r="C2939" s="8" t="s">
        <v>3003</v>
      </c>
      <c r="D2939" s="8" t="s">
        <v>603</v>
      </c>
      <c r="E2939" s="8" t="s">
        <v>40</v>
      </c>
    </row>
    <row r="2940" spans="1:5">
      <c r="A2940" s="8">
        <v>6444</v>
      </c>
      <c r="B2940" s="8" t="s">
        <v>4761</v>
      </c>
      <c r="C2940" s="8" t="s">
        <v>4537</v>
      </c>
      <c r="D2940" s="8" t="s">
        <v>4537</v>
      </c>
      <c r="E2940" s="8" t="s">
        <v>1461</v>
      </c>
    </row>
    <row r="2941" spans="1:5">
      <c r="A2941" s="8">
        <v>6445</v>
      </c>
      <c r="B2941" s="8" t="s">
        <v>4762</v>
      </c>
      <c r="C2941" s="8" t="s">
        <v>2213</v>
      </c>
      <c r="D2941" s="8" t="s">
        <v>603</v>
      </c>
      <c r="E2941" s="8" t="s">
        <v>40</v>
      </c>
    </row>
    <row r="2942" spans="1:5">
      <c r="A2942" s="8">
        <v>6447</v>
      </c>
      <c r="B2942" s="8" t="s">
        <v>4763</v>
      </c>
      <c r="C2942" s="8" t="s">
        <v>4764</v>
      </c>
      <c r="D2942" s="8" t="s">
        <v>1994</v>
      </c>
      <c r="E2942" s="8" t="s">
        <v>1995</v>
      </c>
    </row>
    <row r="2943" spans="1:5">
      <c r="A2943" s="8">
        <v>6449</v>
      </c>
      <c r="B2943" s="8" t="s">
        <v>4765</v>
      </c>
      <c r="C2943" s="8" t="s">
        <v>4766</v>
      </c>
      <c r="D2943" s="8" t="s">
        <v>3690</v>
      </c>
      <c r="E2943" s="8" t="s">
        <v>1995</v>
      </c>
    </row>
    <row r="2944" spans="1:5">
      <c r="A2944" s="8">
        <v>6451</v>
      </c>
      <c r="B2944" s="8" t="s">
        <v>4767</v>
      </c>
      <c r="C2944" s="8" t="s">
        <v>4768</v>
      </c>
      <c r="D2944" s="8" t="s">
        <v>79</v>
      </c>
      <c r="E2944" s="8" t="s">
        <v>40</v>
      </c>
    </row>
    <row r="2945" spans="1:5">
      <c r="A2945" s="8">
        <v>6453</v>
      </c>
      <c r="B2945" s="8" t="s">
        <v>4769</v>
      </c>
      <c r="C2945" s="8" t="s">
        <v>4770</v>
      </c>
      <c r="D2945" s="8" t="s">
        <v>1221</v>
      </c>
      <c r="E2945" s="8" t="s">
        <v>40</v>
      </c>
    </row>
    <row r="2946" spans="1:5">
      <c r="A2946" s="8">
        <v>6455</v>
      </c>
      <c r="B2946" s="8" t="s">
        <v>4771</v>
      </c>
      <c r="C2946" s="8" t="s">
        <v>2432</v>
      </c>
      <c r="D2946" s="8" t="s">
        <v>213</v>
      </c>
      <c r="E2946" s="8" t="s">
        <v>40</v>
      </c>
    </row>
    <row r="2947" spans="1:5">
      <c r="A2947" s="8">
        <v>6457</v>
      </c>
      <c r="B2947" s="8" t="s">
        <v>4772</v>
      </c>
      <c r="C2947" s="8" t="s">
        <v>2076</v>
      </c>
      <c r="D2947" s="8" t="s">
        <v>1563</v>
      </c>
      <c r="E2947" s="8" t="s">
        <v>40</v>
      </c>
    </row>
    <row r="2948" spans="1:5">
      <c r="A2948" s="8">
        <v>6458</v>
      </c>
      <c r="B2948" s="8" t="s">
        <v>4773</v>
      </c>
      <c r="C2948" s="8" t="s">
        <v>4681</v>
      </c>
      <c r="D2948" s="8" t="s">
        <v>4658</v>
      </c>
      <c r="E2948" s="8" t="s">
        <v>239</v>
      </c>
    </row>
    <row r="2949" spans="1:5">
      <c r="A2949" s="8">
        <v>6459</v>
      </c>
      <c r="B2949" s="8" t="s">
        <v>4774</v>
      </c>
      <c r="C2949" s="8">
        <v>34</v>
      </c>
      <c r="D2949" s="8" t="s">
        <v>1834</v>
      </c>
      <c r="E2949" s="8" t="s">
        <v>1835</v>
      </c>
    </row>
    <row r="2950" spans="1:5">
      <c r="A2950" s="8">
        <v>6460</v>
      </c>
      <c r="B2950" s="8" t="s">
        <v>4775</v>
      </c>
      <c r="C2950" s="8" t="s">
        <v>3713</v>
      </c>
      <c r="D2950" s="8" t="s">
        <v>81</v>
      </c>
      <c r="E2950" s="8" t="s">
        <v>40</v>
      </c>
    </row>
    <row r="2951" spans="1:5">
      <c r="A2951" s="8">
        <v>6461</v>
      </c>
      <c r="B2951" s="8" t="s">
        <v>4776</v>
      </c>
      <c r="C2951" s="8" t="s">
        <v>4777</v>
      </c>
      <c r="D2951" s="8" t="s">
        <v>238</v>
      </c>
      <c r="E2951" s="8" t="s">
        <v>239</v>
      </c>
    </row>
    <row r="2952" spans="1:5">
      <c r="A2952" s="8">
        <v>6463</v>
      </c>
      <c r="B2952" s="8" t="s">
        <v>4778</v>
      </c>
      <c r="C2952" s="8" t="s">
        <v>4779</v>
      </c>
      <c r="D2952" s="8" t="s">
        <v>54</v>
      </c>
      <c r="E2952" s="8" t="s">
        <v>40</v>
      </c>
    </row>
    <row r="2953" spans="1:5">
      <c r="A2953" s="8">
        <v>6464</v>
      </c>
      <c r="B2953" s="8" t="s">
        <v>4780</v>
      </c>
      <c r="C2953" s="8" t="s">
        <v>4781</v>
      </c>
      <c r="D2953" s="8" t="s">
        <v>69</v>
      </c>
      <c r="E2953" s="8" t="s">
        <v>40</v>
      </c>
    </row>
    <row r="2954" spans="1:5">
      <c r="A2954" s="8">
        <v>6465</v>
      </c>
      <c r="B2954" s="8" t="s">
        <v>4782</v>
      </c>
      <c r="C2954" s="8" t="s">
        <v>602</v>
      </c>
      <c r="D2954" s="8" t="s">
        <v>603</v>
      </c>
      <c r="E2954" s="8" t="s">
        <v>40</v>
      </c>
    </row>
    <row r="2955" spans="1:5">
      <c r="A2955" s="8">
        <v>6467</v>
      </c>
      <c r="B2955" s="8" t="s">
        <v>2577</v>
      </c>
      <c r="C2955" s="8" t="s">
        <v>4783</v>
      </c>
      <c r="D2955" s="8" t="s">
        <v>213</v>
      </c>
      <c r="E2955" s="8" t="s">
        <v>40</v>
      </c>
    </row>
    <row r="2956" spans="1:5">
      <c r="A2956" s="8">
        <v>6468</v>
      </c>
      <c r="B2956" s="8" t="s">
        <v>4784</v>
      </c>
      <c r="C2956" s="8" t="s">
        <v>4785</v>
      </c>
      <c r="D2956" s="8" t="s">
        <v>57</v>
      </c>
      <c r="E2956" s="8" t="s">
        <v>40</v>
      </c>
    </row>
    <row r="2957" spans="1:5">
      <c r="A2957" s="8">
        <v>6471</v>
      </c>
      <c r="B2957" s="8" t="s">
        <v>4786</v>
      </c>
      <c r="C2957" s="8" t="s">
        <v>3692</v>
      </c>
      <c r="D2957" s="8" t="s">
        <v>630</v>
      </c>
      <c r="E2957" s="8" t="s">
        <v>40</v>
      </c>
    </row>
    <row r="2958" spans="1:5">
      <c r="A2958" s="8">
        <v>6473</v>
      </c>
      <c r="B2958" s="8" t="s">
        <v>4787</v>
      </c>
      <c r="C2958" s="8" t="s">
        <v>701</v>
      </c>
      <c r="D2958" s="8" t="s">
        <v>57</v>
      </c>
      <c r="E2958" s="8" t="s">
        <v>40</v>
      </c>
    </row>
    <row r="2959" spans="1:5">
      <c r="A2959" s="8">
        <v>6474</v>
      </c>
      <c r="B2959" s="8" t="s">
        <v>4788</v>
      </c>
      <c r="C2959" s="8" t="s">
        <v>579</v>
      </c>
      <c r="D2959" s="8" t="s">
        <v>43</v>
      </c>
      <c r="E2959" s="8" t="s">
        <v>40</v>
      </c>
    </row>
    <row r="2960" spans="1:5">
      <c r="A2960" s="8">
        <v>6476</v>
      </c>
      <c r="B2960" s="8" t="s">
        <v>4789</v>
      </c>
      <c r="C2960" s="8" t="s">
        <v>4790</v>
      </c>
      <c r="D2960" s="8" t="s">
        <v>1994</v>
      </c>
      <c r="E2960" s="8" t="s">
        <v>1995</v>
      </c>
    </row>
    <row r="2961" spans="1:5">
      <c r="A2961" s="8">
        <v>6479</v>
      </c>
      <c r="B2961" s="8" t="s">
        <v>4791</v>
      </c>
      <c r="C2961" s="8" t="s">
        <v>966</v>
      </c>
      <c r="D2961" s="8" t="s">
        <v>92</v>
      </c>
      <c r="E2961" s="8" t="s">
        <v>40</v>
      </c>
    </row>
    <row r="2962" spans="1:5">
      <c r="A2962" s="8">
        <v>6481</v>
      </c>
      <c r="B2962" s="8" t="s">
        <v>1443</v>
      </c>
      <c r="C2962" s="8" t="s">
        <v>4792</v>
      </c>
      <c r="D2962" s="8" t="s">
        <v>238</v>
      </c>
      <c r="E2962" s="8" t="s">
        <v>239</v>
      </c>
    </row>
    <row r="2963" spans="1:5">
      <c r="A2963" s="8">
        <v>6482</v>
      </c>
      <c r="B2963" s="8" t="s">
        <v>1941</v>
      </c>
      <c r="C2963" s="8" t="s">
        <v>4793</v>
      </c>
      <c r="D2963" s="8" t="s">
        <v>92</v>
      </c>
      <c r="E2963" s="8" t="s">
        <v>40</v>
      </c>
    </row>
    <row r="2964" spans="1:5">
      <c r="A2964" s="8">
        <v>6483</v>
      </c>
      <c r="B2964" s="8" t="s">
        <v>4794</v>
      </c>
      <c r="C2964" s="8" t="s">
        <v>4795</v>
      </c>
      <c r="D2964" s="8" t="s">
        <v>4537</v>
      </c>
      <c r="E2964" s="8" t="s">
        <v>1461</v>
      </c>
    </row>
    <row r="2965" spans="1:5">
      <c r="A2965" s="8">
        <v>6484</v>
      </c>
      <c r="B2965" s="8" t="s">
        <v>4796</v>
      </c>
      <c r="C2965" s="8" t="s">
        <v>4797</v>
      </c>
      <c r="D2965" s="8" t="s">
        <v>54</v>
      </c>
      <c r="E2965" s="8" t="s">
        <v>40</v>
      </c>
    </row>
    <row r="2966" spans="1:5">
      <c r="A2966" s="8">
        <v>6485</v>
      </c>
      <c r="B2966" s="8" t="s">
        <v>4798</v>
      </c>
      <c r="C2966" s="8" t="s">
        <v>4681</v>
      </c>
      <c r="D2966" s="8" t="s">
        <v>4658</v>
      </c>
      <c r="E2966" s="8" t="s">
        <v>239</v>
      </c>
    </row>
    <row r="2967" spans="1:5">
      <c r="A2967" s="8">
        <v>6487</v>
      </c>
      <c r="B2967" s="8" t="s">
        <v>4799</v>
      </c>
      <c r="C2967" s="8" t="s">
        <v>3821</v>
      </c>
      <c r="D2967" s="8" t="s">
        <v>3821</v>
      </c>
      <c r="E2967" s="8" t="s">
        <v>3670</v>
      </c>
    </row>
    <row r="2968" spans="1:5">
      <c r="A2968" s="8">
        <v>6488</v>
      </c>
      <c r="B2968" s="8" t="s">
        <v>1627</v>
      </c>
      <c r="C2968" s="8" t="s">
        <v>431</v>
      </c>
      <c r="D2968" s="8" t="s">
        <v>164</v>
      </c>
      <c r="E2968" s="8" t="s">
        <v>40</v>
      </c>
    </row>
    <row r="2969" spans="1:5">
      <c r="A2969" s="8">
        <v>6489</v>
      </c>
      <c r="B2969" s="8" t="s">
        <v>4800</v>
      </c>
      <c r="C2969" s="8" t="s">
        <v>4801</v>
      </c>
      <c r="D2969" s="8" t="s">
        <v>1226</v>
      </c>
      <c r="E2969" s="8" t="s">
        <v>40</v>
      </c>
    </row>
    <row r="2970" spans="1:5">
      <c r="A2970" s="8">
        <v>6490</v>
      </c>
      <c r="B2970" s="8" t="s">
        <v>779</v>
      </c>
      <c r="C2970" s="8" t="s">
        <v>1962</v>
      </c>
      <c r="D2970" s="8" t="s">
        <v>54</v>
      </c>
      <c r="E2970" s="8" t="s">
        <v>40</v>
      </c>
    </row>
    <row r="2971" spans="1:5">
      <c r="A2971" s="8">
        <v>6492</v>
      </c>
      <c r="B2971" s="8" t="s">
        <v>4802</v>
      </c>
      <c r="C2971" s="8" t="s">
        <v>4803</v>
      </c>
      <c r="D2971" s="8" t="s">
        <v>51</v>
      </c>
      <c r="E2971" s="8" t="s">
        <v>40</v>
      </c>
    </row>
    <row r="2972" spans="1:5">
      <c r="A2972" s="8">
        <v>6493</v>
      </c>
      <c r="B2972" s="8" t="s">
        <v>4804</v>
      </c>
      <c r="C2972" s="8" t="s">
        <v>4805</v>
      </c>
      <c r="D2972" s="8" t="s">
        <v>39</v>
      </c>
      <c r="E2972" s="8" t="s">
        <v>40</v>
      </c>
    </row>
    <row r="2973" spans="1:5">
      <c r="A2973" s="8">
        <v>6494</v>
      </c>
      <c r="B2973" s="8" t="s">
        <v>4806</v>
      </c>
      <c r="C2973" s="8" t="s">
        <v>3821</v>
      </c>
      <c r="D2973" s="8" t="s">
        <v>3821</v>
      </c>
      <c r="E2973" s="8" t="s">
        <v>3670</v>
      </c>
    </row>
    <row r="2974" spans="1:5">
      <c r="A2974" s="8">
        <v>6498</v>
      </c>
      <c r="B2974" s="8" t="s">
        <v>4807</v>
      </c>
      <c r="C2974" s="8" t="s">
        <v>4808</v>
      </c>
      <c r="D2974" s="8" t="s">
        <v>79</v>
      </c>
      <c r="E2974" s="8" t="s">
        <v>40</v>
      </c>
    </row>
    <row r="2975" spans="1:5">
      <c r="A2975" s="8">
        <v>6499</v>
      </c>
      <c r="B2975" s="8" t="s">
        <v>4809</v>
      </c>
      <c r="C2975" s="8" t="s">
        <v>2657</v>
      </c>
      <c r="D2975" s="8" t="s">
        <v>43</v>
      </c>
      <c r="E2975" s="8" t="s">
        <v>40</v>
      </c>
    </row>
    <row r="2976" spans="1:5">
      <c r="A2976" s="8">
        <v>6500</v>
      </c>
      <c r="B2976" s="8" t="s">
        <v>4810</v>
      </c>
      <c r="C2976" s="8" t="s">
        <v>428</v>
      </c>
      <c r="D2976" s="8" t="s">
        <v>429</v>
      </c>
      <c r="E2976" s="8" t="s">
        <v>40</v>
      </c>
    </row>
    <row r="2977" spans="1:5">
      <c r="A2977" s="8">
        <v>6502</v>
      </c>
      <c r="B2977" s="8" t="s">
        <v>4811</v>
      </c>
      <c r="C2977" s="8" t="s">
        <v>679</v>
      </c>
      <c r="D2977" s="8" t="s">
        <v>429</v>
      </c>
      <c r="E2977" s="8" t="s">
        <v>40</v>
      </c>
    </row>
    <row r="2978" spans="1:5">
      <c r="A2978" s="8">
        <v>6503</v>
      </c>
      <c r="B2978" s="8" t="s">
        <v>4812</v>
      </c>
      <c r="C2978" s="8" t="s">
        <v>458</v>
      </c>
      <c r="D2978" s="8" t="s">
        <v>264</v>
      </c>
      <c r="E2978" s="8" t="s">
        <v>40</v>
      </c>
    </row>
    <row r="2979" spans="1:5">
      <c r="A2979" s="8">
        <v>6504</v>
      </c>
      <c r="B2979" s="8" t="s">
        <v>4813</v>
      </c>
      <c r="C2979" s="8" t="s">
        <v>936</v>
      </c>
      <c r="D2979" s="8" t="s">
        <v>159</v>
      </c>
      <c r="E2979" s="8" t="s">
        <v>40</v>
      </c>
    </row>
    <row r="2980" spans="1:5">
      <c r="A2980" s="8">
        <v>6505</v>
      </c>
      <c r="B2980" s="8" t="s">
        <v>4814</v>
      </c>
      <c r="C2980" s="8" t="s">
        <v>264</v>
      </c>
      <c r="D2980" s="8" t="s">
        <v>947</v>
      </c>
      <c r="E2980" s="8" t="s">
        <v>40</v>
      </c>
    </row>
    <row r="2981" spans="1:5">
      <c r="A2981" s="8">
        <v>6506</v>
      </c>
      <c r="B2981" s="8" t="s">
        <v>4815</v>
      </c>
      <c r="C2981" s="8" t="s">
        <v>4711</v>
      </c>
      <c r="D2981" s="8" t="s">
        <v>43</v>
      </c>
      <c r="E2981" s="8" t="s">
        <v>40</v>
      </c>
    </row>
    <row r="2982" spans="1:5">
      <c r="A2982" s="8">
        <v>6507</v>
      </c>
      <c r="B2982" s="8" t="s">
        <v>4816</v>
      </c>
      <c r="C2982" s="8" t="s">
        <v>4817</v>
      </c>
      <c r="D2982" s="8" t="s">
        <v>4164</v>
      </c>
      <c r="E2982" s="8" t="s">
        <v>1461</v>
      </c>
    </row>
    <row r="2983" spans="1:5">
      <c r="A2983" s="8">
        <v>6508</v>
      </c>
      <c r="B2983" s="8" t="s">
        <v>3629</v>
      </c>
      <c r="C2983" s="8" t="s">
        <v>4818</v>
      </c>
      <c r="D2983" s="8" t="s">
        <v>1994</v>
      </c>
      <c r="E2983" s="8" t="s">
        <v>1995</v>
      </c>
    </row>
    <row r="2984" spans="1:5">
      <c r="A2984" s="8">
        <v>6509</v>
      </c>
      <c r="B2984" s="8" t="s">
        <v>4819</v>
      </c>
      <c r="C2984" s="8" t="s">
        <v>4820</v>
      </c>
      <c r="D2984" s="8" t="s">
        <v>3690</v>
      </c>
      <c r="E2984" s="8" t="s">
        <v>1995</v>
      </c>
    </row>
    <row r="2985" spans="1:5">
      <c r="A2985" s="8">
        <v>6510</v>
      </c>
      <c r="B2985" s="8" t="s">
        <v>4821</v>
      </c>
      <c r="C2985" s="8" t="s">
        <v>4822</v>
      </c>
      <c r="D2985" s="8" t="s">
        <v>1994</v>
      </c>
      <c r="E2985" s="8" t="s">
        <v>1995</v>
      </c>
    </row>
    <row r="2986" spans="1:5">
      <c r="A2986" s="8">
        <v>6512</v>
      </c>
      <c r="B2986" s="8" t="s">
        <v>162</v>
      </c>
      <c r="C2986" s="8" t="s">
        <v>4823</v>
      </c>
      <c r="D2986" s="8" t="s">
        <v>429</v>
      </c>
      <c r="E2986" s="8" t="s">
        <v>40</v>
      </c>
    </row>
    <row r="2987" spans="1:5">
      <c r="A2987" s="8">
        <v>6513</v>
      </c>
      <c r="B2987" s="8" t="s">
        <v>4824</v>
      </c>
      <c r="C2987" s="8" t="s">
        <v>4825</v>
      </c>
      <c r="D2987" s="8" t="s">
        <v>238</v>
      </c>
      <c r="E2987" s="8" t="s">
        <v>239</v>
      </c>
    </row>
    <row r="2988" spans="1:5">
      <c r="A2988" s="8">
        <v>6514</v>
      </c>
      <c r="B2988" s="8" t="s">
        <v>4826</v>
      </c>
      <c r="C2988" s="8" t="s">
        <v>4827</v>
      </c>
      <c r="D2988" s="8" t="s">
        <v>238</v>
      </c>
      <c r="E2988" s="8" t="s">
        <v>239</v>
      </c>
    </row>
    <row r="2989" spans="1:5">
      <c r="A2989" s="8">
        <v>6515</v>
      </c>
      <c r="B2989" s="8" t="s">
        <v>4828</v>
      </c>
      <c r="C2989" s="8" t="s">
        <v>4829</v>
      </c>
      <c r="D2989" s="8" t="s">
        <v>43</v>
      </c>
      <c r="E2989" s="8" t="s">
        <v>40</v>
      </c>
    </row>
    <row r="2990" spans="1:5">
      <c r="A2990" s="8">
        <v>6517</v>
      </c>
      <c r="B2990" s="8" t="s">
        <v>4830</v>
      </c>
      <c r="C2990" s="8" t="s">
        <v>954</v>
      </c>
      <c r="D2990" s="8" t="s">
        <v>490</v>
      </c>
      <c r="E2990" s="8" t="s">
        <v>40</v>
      </c>
    </row>
    <row r="2991" spans="1:5">
      <c r="A2991" s="8">
        <v>6518</v>
      </c>
      <c r="B2991" s="8" t="s">
        <v>4831</v>
      </c>
      <c r="C2991" s="8" t="s">
        <v>641</v>
      </c>
      <c r="D2991" s="8" t="s">
        <v>92</v>
      </c>
      <c r="E2991" s="8" t="s">
        <v>40</v>
      </c>
    </row>
    <row r="2992" spans="1:5">
      <c r="A2992" s="8">
        <v>6519</v>
      </c>
      <c r="B2992" s="8" t="s">
        <v>4832</v>
      </c>
      <c r="C2992" s="8" t="s">
        <v>725</v>
      </c>
      <c r="D2992" s="8" t="s">
        <v>726</v>
      </c>
      <c r="E2992" s="8" t="s">
        <v>40</v>
      </c>
    </row>
    <row r="2993" spans="1:5">
      <c r="A2993" s="8">
        <v>6520</v>
      </c>
      <c r="B2993" s="8" t="s">
        <v>4833</v>
      </c>
      <c r="C2993" s="8" t="s">
        <v>4834</v>
      </c>
      <c r="D2993" s="8" t="s">
        <v>4835</v>
      </c>
      <c r="E2993" s="8" t="s">
        <v>4836</v>
      </c>
    </row>
    <row r="2994" spans="1:5">
      <c r="A2994" s="8">
        <v>6524</v>
      </c>
      <c r="B2994" s="8" t="s">
        <v>4837</v>
      </c>
      <c r="C2994" s="8" t="s">
        <v>4838</v>
      </c>
      <c r="D2994" s="8" t="s">
        <v>3690</v>
      </c>
      <c r="E2994" s="8" t="s">
        <v>1995</v>
      </c>
    </row>
    <row r="2995" spans="1:5">
      <c r="A2995" s="8">
        <v>6525</v>
      </c>
      <c r="B2995" s="8" t="s">
        <v>4839</v>
      </c>
      <c r="C2995" s="8" t="s">
        <v>1993</v>
      </c>
      <c r="D2995" s="8" t="s">
        <v>1994</v>
      </c>
      <c r="E2995" s="8" t="s">
        <v>1995</v>
      </c>
    </row>
    <row r="2996" spans="1:5">
      <c r="A2996" s="8">
        <v>6526</v>
      </c>
      <c r="B2996" s="8" t="s">
        <v>4840</v>
      </c>
      <c r="C2996" s="8" t="s">
        <v>4841</v>
      </c>
      <c r="D2996" s="8" t="s">
        <v>164</v>
      </c>
      <c r="E2996" s="8" t="s">
        <v>40</v>
      </c>
    </row>
    <row r="2997" spans="1:5">
      <c r="A2997" s="8">
        <v>6527</v>
      </c>
      <c r="B2997" s="8" t="s">
        <v>4842</v>
      </c>
      <c r="C2997" s="8" t="s">
        <v>4843</v>
      </c>
      <c r="D2997" s="8" t="s">
        <v>57</v>
      </c>
      <c r="E2997" s="8" t="s">
        <v>40</v>
      </c>
    </row>
    <row r="2998" spans="1:5">
      <c r="A2998" s="8">
        <v>6528</v>
      </c>
      <c r="B2998" s="8" t="s">
        <v>4618</v>
      </c>
      <c r="C2998" s="8" t="s">
        <v>4844</v>
      </c>
      <c r="D2998" s="8" t="s">
        <v>39</v>
      </c>
      <c r="E2998" s="8" t="s">
        <v>40</v>
      </c>
    </row>
    <row r="2999" spans="1:5">
      <c r="A2999" s="8">
        <v>6529</v>
      </c>
      <c r="B2999" s="8" t="s">
        <v>4845</v>
      </c>
      <c r="C2999" s="8" t="s">
        <v>4846</v>
      </c>
      <c r="D2999" s="8" t="s">
        <v>60</v>
      </c>
      <c r="E2999" s="8" t="s">
        <v>40</v>
      </c>
    </row>
    <row r="3000" spans="1:5">
      <c r="A3000" s="8">
        <v>6530</v>
      </c>
      <c r="B3000" s="8" t="s">
        <v>4847</v>
      </c>
      <c r="C3000" s="8" t="s">
        <v>641</v>
      </c>
      <c r="D3000" s="8" t="s">
        <v>92</v>
      </c>
      <c r="E3000" s="8" t="s">
        <v>40</v>
      </c>
    </row>
    <row r="3001" spans="1:5">
      <c r="A3001" s="8">
        <v>6531</v>
      </c>
      <c r="B3001" s="8" t="s">
        <v>4848</v>
      </c>
      <c r="C3001" s="8" t="s">
        <v>4849</v>
      </c>
      <c r="D3001" s="8" t="s">
        <v>39</v>
      </c>
      <c r="E3001" s="8" t="s">
        <v>40</v>
      </c>
    </row>
    <row r="3002" spans="1:5">
      <c r="A3002" s="8">
        <v>6532</v>
      </c>
      <c r="B3002" s="8" t="s">
        <v>4850</v>
      </c>
      <c r="C3002" s="8" t="s">
        <v>1114</v>
      </c>
      <c r="D3002" s="8" t="s">
        <v>39</v>
      </c>
      <c r="E3002" s="8" t="s">
        <v>40</v>
      </c>
    </row>
    <row r="3003" spans="1:5">
      <c r="A3003" s="8">
        <v>6533</v>
      </c>
      <c r="B3003" s="8" t="s">
        <v>4851</v>
      </c>
      <c r="C3003" s="8" t="s">
        <v>978</v>
      </c>
      <c r="D3003" s="8" t="s">
        <v>39</v>
      </c>
      <c r="E3003" s="8" t="s">
        <v>40</v>
      </c>
    </row>
    <row r="3004" spans="1:5">
      <c r="A3004" s="8">
        <v>6535</v>
      </c>
      <c r="B3004" s="8" t="s">
        <v>4852</v>
      </c>
      <c r="C3004" s="8" t="s">
        <v>2853</v>
      </c>
      <c r="D3004" s="8" t="s">
        <v>43</v>
      </c>
      <c r="E3004" s="8" t="s">
        <v>40</v>
      </c>
    </row>
    <row r="3005" spans="1:5">
      <c r="A3005" s="8">
        <v>6536</v>
      </c>
      <c r="B3005" s="8" t="s">
        <v>4853</v>
      </c>
      <c r="C3005" s="8" t="s">
        <v>4854</v>
      </c>
      <c r="D3005" s="8" t="s">
        <v>213</v>
      </c>
      <c r="E3005" s="8" t="s">
        <v>40</v>
      </c>
    </row>
    <row r="3006" spans="1:5">
      <c r="A3006" s="8">
        <v>6537</v>
      </c>
      <c r="B3006" s="8" t="s">
        <v>4855</v>
      </c>
      <c r="C3006" s="8" t="s">
        <v>508</v>
      </c>
      <c r="D3006" s="8" t="s">
        <v>238</v>
      </c>
      <c r="E3006" s="8" t="s">
        <v>239</v>
      </c>
    </row>
    <row r="3007" spans="1:5">
      <c r="A3007" s="8">
        <v>6538</v>
      </c>
      <c r="B3007" s="8" t="s">
        <v>4856</v>
      </c>
      <c r="C3007" s="8" t="s">
        <v>99</v>
      </c>
      <c r="D3007" s="8" t="s">
        <v>39</v>
      </c>
      <c r="E3007" s="8" t="s">
        <v>40</v>
      </c>
    </row>
    <row r="3008" spans="1:5">
      <c r="A3008" s="8">
        <v>6540</v>
      </c>
      <c r="B3008" s="8" t="s">
        <v>4857</v>
      </c>
      <c r="C3008" s="8" t="s">
        <v>4858</v>
      </c>
      <c r="D3008" s="8" t="s">
        <v>335</v>
      </c>
      <c r="E3008" s="8" t="s">
        <v>239</v>
      </c>
    </row>
    <row r="3009" spans="1:5">
      <c r="A3009" s="8">
        <v>6541</v>
      </c>
      <c r="B3009" s="8" t="s">
        <v>4859</v>
      </c>
      <c r="C3009" s="8" t="s">
        <v>4860</v>
      </c>
      <c r="D3009" s="8" t="s">
        <v>4861</v>
      </c>
      <c r="E3009" s="8" t="s">
        <v>3861</v>
      </c>
    </row>
    <row r="3010" spans="1:5">
      <c r="A3010" s="8">
        <v>6542</v>
      </c>
      <c r="B3010" s="8" t="s">
        <v>1172</v>
      </c>
      <c r="C3010" s="8" t="s">
        <v>3731</v>
      </c>
      <c r="D3010" s="8" t="s">
        <v>696</v>
      </c>
      <c r="E3010" s="8" t="s">
        <v>40</v>
      </c>
    </row>
    <row r="3011" spans="1:5">
      <c r="A3011" s="8">
        <v>6543</v>
      </c>
      <c r="B3011" s="8" t="s">
        <v>4862</v>
      </c>
      <c r="C3011" s="8" t="s">
        <v>4863</v>
      </c>
      <c r="D3011" s="8" t="s">
        <v>159</v>
      </c>
      <c r="E3011" s="8" t="s">
        <v>40</v>
      </c>
    </row>
    <row r="3012" spans="1:5">
      <c r="A3012" s="8">
        <v>6544</v>
      </c>
      <c r="B3012" s="8" t="s">
        <v>4864</v>
      </c>
      <c r="C3012" s="8" t="s">
        <v>4865</v>
      </c>
      <c r="D3012" s="8" t="s">
        <v>238</v>
      </c>
      <c r="E3012" s="8" t="s">
        <v>239</v>
      </c>
    </row>
    <row r="3013" spans="1:5">
      <c r="A3013" s="8">
        <v>6545</v>
      </c>
      <c r="B3013" s="8" t="s">
        <v>4866</v>
      </c>
      <c r="C3013" s="8" t="s">
        <v>4867</v>
      </c>
      <c r="D3013" s="8" t="s">
        <v>39</v>
      </c>
      <c r="E3013" s="8" t="s">
        <v>40</v>
      </c>
    </row>
    <row r="3014" spans="1:5">
      <c r="A3014" s="8">
        <v>6546</v>
      </c>
      <c r="B3014" s="8" t="s">
        <v>4868</v>
      </c>
      <c r="C3014" s="8" t="s">
        <v>4869</v>
      </c>
      <c r="D3014" s="8" t="s">
        <v>1563</v>
      </c>
      <c r="E3014" s="8" t="s">
        <v>40</v>
      </c>
    </row>
    <row r="3015" spans="1:5">
      <c r="A3015" s="8">
        <v>6547</v>
      </c>
      <c r="B3015" s="8" t="s">
        <v>4870</v>
      </c>
      <c r="C3015" s="8" t="s">
        <v>4871</v>
      </c>
      <c r="D3015" s="8" t="s">
        <v>164</v>
      </c>
      <c r="E3015" s="8" t="s">
        <v>40</v>
      </c>
    </row>
    <row r="3016" spans="1:5">
      <c r="A3016" s="8">
        <v>6548</v>
      </c>
      <c r="B3016" s="8" t="s">
        <v>4872</v>
      </c>
      <c r="C3016" s="8" t="s">
        <v>4873</v>
      </c>
      <c r="D3016" s="8" t="s">
        <v>39</v>
      </c>
      <c r="E3016" s="8" t="s">
        <v>40</v>
      </c>
    </row>
    <row r="3017" spans="1:5">
      <c r="A3017" s="8">
        <v>6550</v>
      </c>
      <c r="B3017" s="8" t="s">
        <v>4874</v>
      </c>
      <c r="C3017" s="8" t="s">
        <v>4875</v>
      </c>
      <c r="D3017" s="8" t="s">
        <v>39</v>
      </c>
      <c r="E3017" s="8" t="s">
        <v>40</v>
      </c>
    </row>
    <row r="3018" spans="1:5">
      <c r="A3018" s="8">
        <v>6552</v>
      </c>
      <c r="B3018" s="8" t="s">
        <v>404</v>
      </c>
      <c r="C3018" s="8" t="s">
        <v>4876</v>
      </c>
      <c r="D3018" s="8" t="s">
        <v>39</v>
      </c>
      <c r="E3018" s="8" t="s">
        <v>40</v>
      </c>
    </row>
    <row r="3019" spans="1:5">
      <c r="A3019" s="8">
        <v>6553</v>
      </c>
      <c r="B3019" s="8" t="s">
        <v>4877</v>
      </c>
      <c r="C3019" s="8" t="s">
        <v>4878</v>
      </c>
      <c r="D3019" s="8" t="s">
        <v>43</v>
      </c>
      <c r="E3019" s="8" t="s">
        <v>40</v>
      </c>
    </row>
    <row r="3020" spans="1:5">
      <c r="A3020" s="8">
        <v>6554</v>
      </c>
      <c r="B3020" s="8" t="s">
        <v>4879</v>
      </c>
      <c r="C3020" s="8" t="s">
        <v>4880</v>
      </c>
      <c r="D3020" s="8" t="s">
        <v>43</v>
      </c>
      <c r="E3020" s="8" t="s">
        <v>40</v>
      </c>
    </row>
    <row r="3021" spans="1:5">
      <c r="A3021" s="8">
        <v>6556</v>
      </c>
      <c r="B3021" s="8" t="s">
        <v>4881</v>
      </c>
      <c r="C3021" s="8" t="s">
        <v>4882</v>
      </c>
      <c r="D3021" s="8" t="s">
        <v>39</v>
      </c>
      <c r="E3021" s="8" t="s">
        <v>40</v>
      </c>
    </row>
    <row r="3022" spans="1:5">
      <c r="A3022" s="8">
        <v>6557</v>
      </c>
      <c r="B3022" s="8" t="s">
        <v>1211</v>
      </c>
      <c r="C3022" s="8" t="s">
        <v>4883</v>
      </c>
      <c r="D3022" s="8" t="s">
        <v>39</v>
      </c>
      <c r="E3022" s="8" t="s">
        <v>40</v>
      </c>
    </row>
    <row r="3023" spans="1:5">
      <c r="A3023" s="8">
        <v>6558</v>
      </c>
      <c r="B3023" s="8" t="s">
        <v>4884</v>
      </c>
      <c r="C3023" s="8" t="s">
        <v>4885</v>
      </c>
      <c r="D3023" s="8" t="s">
        <v>39</v>
      </c>
      <c r="E3023" s="8" t="s">
        <v>40</v>
      </c>
    </row>
    <row r="3024" spans="1:5">
      <c r="A3024" s="8">
        <v>6559</v>
      </c>
      <c r="B3024" s="8" t="s">
        <v>4886</v>
      </c>
      <c r="C3024" s="8" t="s">
        <v>4326</v>
      </c>
      <c r="D3024" s="8" t="s">
        <v>39</v>
      </c>
      <c r="E3024" s="8" t="s">
        <v>40</v>
      </c>
    </row>
    <row r="3025" spans="1:5">
      <c r="A3025" s="8">
        <v>6560</v>
      </c>
      <c r="B3025" s="8" t="s">
        <v>4887</v>
      </c>
      <c r="C3025" s="8" t="s">
        <v>1575</v>
      </c>
      <c r="D3025" s="8" t="s">
        <v>43</v>
      </c>
      <c r="E3025" s="8" t="s">
        <v>40</v>
      </c>
    </row>
    <row r="3026" spans="1:5">
      <c r="A3026" s="8">
        <v>6561</v>
      </c>
      <c r="B3026" s="8" t="s">
        <v>4888</v>
      </c>
      <c r="C3026" s="8" t="s">
        <v>4889</v>
      </c>
      <c r="D3026" s="8" t="s">
        <v>39</v>
      </c>
      <c r="E3026" s="8" t="s">
        <v>40</v>
      </c>
    </row>
    <row r="3027" spans="1:5">
      <c r="A3027" s="8">
        <v>6563</v>
      </c>
      <c r="B3027" s="8" t="s">
        <v>4890</v>
      </c>
      <c r="C3027" s="8" t="s">
        <v>4891</v>
      </c>
      <c r="D3027" s="8" t="s">
        <v>4658</v>
      </c>
      <c r="E3027" s="8" t="s">
        <v>239</v>
      </c>
    </row>
    <row r="3028" spans="1:5">
      <c r="A3028" s="8">
        <v>6564</v>
      </c>
      <c r="B3028" s="8" t="s">
        <v>4892</v>
      </c>
      <c r="C3028" s="8" t="s">
        <v>4825</v>
      </c>
      <c r="D3028" s="8" t="s">
        <v>238</v>
      </c>
      <c r="E3028" s="8" t="s">
        <v>239</v>
      </c>
    </row>
    <row r="3029" spans="1:5">
      <c r="A3029" s="8">
        <v>6565</v>
      </c>
      <c r="B3029" s="8" t="s">
        <v>4893</v>
      </c>
      <c r="C3029" s="8" t="s">
        <v>4894</v>
      </c>
      <c r="D3029" s="8" t="s">
        <v>429</v>
      </c>
      <c r="E3029" s="8" t="s">
        <v>40</v>
      </c>
    </row>
    <row r="3030" spans="1:5">
      <c r="A3030" s="8">
        <v>6566</v>
      </c>
      <c r="B3030" s="8" t="s">
        <v>4895</v>
      </c>
      <c r="C3030" s="8" t="s">
        <v>685</v>
      </c>
      <c r="D3030" s="8" t="s">
        <v>39</v>
      </c>
      <c r="E3030" s="8" t="s">
        <v>40</v>
      </c>
    </row>
    <row r="3031" spans="1:5">
      <c r="A3031" s="8">
        <v>6567</v>
      </c>
      <c r="B3031" s="8" t="s">
        <v>4896</v>
      </c>
      <c r="C3031" s="8" t="s">
        <v>3595</v>
      </c>
      <c r="D3031" s="8" t="s">
        <v>39</v>
      </c>
      <c r="E3031" s="8" t="s">
        <v>40</v>
      </c>
    </row>
    <row r="3032" spans="1:5">
      <c r="A3032" s="8">
        <v>6568</v>
      </c>
      <c r="B3032" s="8" t="s">
        <v>4897</v>
      </c>
      <c r="C3032" s="8" t="s">
        <v>2650</v>
      </c>
      <c r="D3032" s="8" t="s">
        <v>39</v>
      </c>
      <c r="E3032" s="8" t="s">
        <v>40</v>
      </c>
    </row>
    <row r="3033" spans="1:5">
      <c r="A3033" s="8">
        <v>6569</v>
      </c>
      <c r="B3033" s="8" t="s">
        <v>1991</v>
      </c>
      <c r="C3033" s="8" t="s">
        <v>4898</v>
      </c>
      <c r="D3033" s="8" t="s">
        <v>39</v>
      </c>
      <c r="E3033" s="8" t="s">
        <v>40</v>
      </c>
    </row>
    <row r="3034" spans="1:5">
      <c r="A3034" s="8">
        <v>6570</v>
      </c>
      <c r="B3034" s="8" t="s">
        <v>4899</v>
      </c>
      <c r="C3034" s="8" t="s">
        <v>4900</v>
      </c>
      <c r="D3034" s="8" t="s">
        <v>39</v>
      </c>
      <c r="E3034" s="8" t="s">
        <v>40</v>
      </c>
    </row>
    <row r="3035" spans="1:5">
      <c r="A3035" s="8">
        <v>6573</v>
      </c>
      <c r="B3035" s="8" t="s">
        <v>4901</v>
      </c>
      <c r="C3035" s="8" t="s">
        <v>4902</v>
      </c>
      <c r="D3035" s="8" t="s">
        <v>39</v>
      </c>
      <c r="E3035" s="8" t="s">
        <v>40</v>
      </c>
    </row>
    <row r="3036" spans="1:5">
      <c r="A3036" s="8">
        <v>6574</v>
      </c>
      <c r="B3036" s="8" t="s">
        <v>4903</v>
      </c>
      <c r="C3036" s="8" t="s">
        <v>4904</v>
      </c>
      <c r="D3036" s="8" t="s">
        <v>132</v>
      </c>
      <c r="E3036" s="8" t="s">
        <v>40</v>
      </c>
    </row>
    <row r="3037" spans="1:5">
      <c r="A3037" s="8">
        <v>6575</v>
      </c>
      <c r="B3037" s="8" t="s">
        <v>4905</v>
      </c>
      <c r="C3037" s="8" t="s">
        <v>966</v>
      </c>
      <c r="D3037" s="8" t="s">
        <v>1994</v>
      </c>
      <c r="E3037" s="8" t="s">
        <v>1995</v>
      </c>
    </row>
    <row r="3038" spans="1:5">
      <c r="A3038" s="8">
        <v>6579</v>
      </c>
      <c r="B3038" s="8" t="s">
        <v>4906</v>
      </c>
      <c r="C3038" s="8" t="s">
        <v>4907</v>
      </c>
      <c r="D3038" s="8" t="s">
        <v>1994</v>
      </c>
      <c r="E3038" s="8" t="s">
        <v>1995</v>
      </c>
    </row>
    <row r="3039" spans="1:5">
      <c r="A3039" s="8">
        <v>6580</v>
      </c>
      <c r="B3039" s="8" t="s">
        <v>4908</v>
      </c>
      <c r="C3039" s="8" t="s">
        <v>1146</v>
      </c>
      <c r="D3039" s="8" t="s">
        <v>39</v>
      </c>
      <c r="E3039" s="8" t="s">
        <v>40</v>
      </c>
    </row>
    <row r="3040" spans="1:5">
      <c r="A3040" s="8">
        <v>6581</v>
      </c>
      <c r="B3040" s="8" t="s">
        <v>4909</v>
      </c>
      <c r="C3040" s="8" t="s">
        <v>4910</v>
      </c>
      <c r="D3040" s="8" t="s">
        <v>39</v>
      </c>
      <c r="E3040" s="8" t="s">
        <v>40</v>
      </c>
    </row>
    <row r="3041" spans="1:5">
      <c r="A3041" s="8">
        <v>6582</v>
      </c>
      <c r="B3041" s="8" t="s">
        <v>4911</v>
      </c>
      <c r="C3041" s="8" t="s">
        <v>4912</v>
      </c>
      <c r="D3041" s="8" t="s">
        <v>39</v>
      </c>
      <c r="E3041" s="8" t="s">
        <v>40</v>
      </c>
    </row>
    <row r="3042" spans="1:5">
      <c r="A3042" s="8">
        <v>6583</v>
      </c>
      <c r="B3042" s="8" t="s">
        <v>4056</v>
      </c>
      <c r="C3042" s="8" t="s">
        <v>59</v>
      </c>
      <c r="D3042" s="8" t="s">
        <v>39</v>
      </c>
      <c r="E3042" s="8" t="s">
        <v>40</v>
      </c>
    </row>
    <row r="3043" spans="1:5">
      <c r="A3043" s="8">
        <v>6584</v>
      </c>
      <c r="B3043" s="8" t="s">
        <v>4913</v>
      </c>
      <c r="C3043" s="8" t="s">
        <v>4914</v>
      </c>
      <c r="D3043" s="8" t="s">
        <v>438</v>
      </c>
      <c r="E3043" s="8" t="s">
        <v>40</v>
      </c>
    </row>
    <row r="3044" spans="1:5">
      <c r="A3044" s="8">
        <v>6585</v>
      </c>
      <c r="B3044" s="8" t="s">
        <v>538</v>
      </c>
      <c r="C3044" s="8" t="s">
        <v>4915</v>
      </c>
      <c r="D3044" s="8" t="s">
        <v>92</v>
      </c>
      <c r="E3044" s="8" t="s">
        <v>40</v>
      </c>
    </row>
    <row r="3045" spans="1:5">
      <c r="A3045" s="8">
        <v>6586</v>
      </c>
      <c r="B3045" s="8" t="s">
        <v>4916</v>
      </c>
      <c r="C3045" s="8" t="s">
        <v>4917</v>
      </c>
      <c r="D3045" s="8" t="s">
        <v>51</v>
      </c>
      <c r="E3045" s="8" t="s">
        <v>40</v>
      </c>
    </row>
    <row r="3046" spans="1:5">
      <c r="A3046" s="8">
        <v>6588</v>
      </c>
      <c r="B3046" s="8" t="s">
        <v>4918</v>
      </c>
      <c r="C3046" s="8" t="s">
        <v>2230</v>
      </c>
      <c r="D3046" s="8" t="s">
        <v>39</v>
      </c>
      <c r="E3046" s="8" t="s">
        <v>40</v>
      </c>
    </row>
    <row r="3047" spans="1:5">
      <c r="A3047" s="8">
        <v>6589</v>
      </c>
      <c r="B3047" s="8" t="s">
        <v>4919</v>
      </c>
      <c r="C3047" s="8" t="s">
        <v>4920</v>
      </c>
      <c r="D3047" s="8" t="s">
        <v>39</v>
      </c>
      <c r="E3047" s="8" t="s">
        <v>40</v>
      </c>
    </row>
    <row r="3048" spans="1:5">
      <c r="A3048" s="8">
        <v>6590</v>
      </c>
      <c r="B3048" s="8" t="s">
        <v>4921</v>
      </c>
      <c r="C3048" s="8" t="s">
        <v>359</v>
      </c>
      <c r="D3048" s="8" t="s">
        <v>54</v>
      </c>
      <c r="E3048" s="8" t="s">
        <v>40</v>
      </c>
    </row>
    <row r="3049" spans="1:5">
      <c r="A3049" s="8">
        <v>6591</v>
      </c>
      <c r="B3049" s="8" t="s">
        <v>4922</v>
      </c>
      <c r="C3049" s="8" t="s">
        <v>4923</v>
      </c>
      <c r="D3049" s="8" t="s">
        <v>39</v>
      </c>
      <c r="E3049" s="8" t="s">
        <v>40</v>
      </c>
    </row>
    <row r="3050" spans="1:5">
      <c r="A3050" s="8">
        <v>6592</v>
      </c>
      <c r="B3050" s="8" t="s">
        <v>4924</v>
      </c>
      <c r="C3050" s="8" t="s">
        <v>4925</v>
      </c>
      <c r="D3050" s="8" t="s">
        <v>39</v>
      </c>
      <c r="E3050" s="8" t="s">
        <v>40</v>
      </c>
    </row>
    <row r="3051" spans="1:5">
      <c r="A3051" s="8">
        <v>6593</v>
      </c>
      <c r="B3051" s="8" t="s">
        <v>4926</v>
      </c>
      <c r="C3051" s="8" t="s">
        <v>4927</v>
      </c>
      <c r="D3051" s="8" t="s">
        <v>54</v>
      </c>
      <c r="E3051" s="8" t="s">
        <v>40</v>
      </c>
    </row>
    <row r="3052" spans="1:5">
      <c r="A3052" s="8">
        <v>6594</v>
      </c>
      <c r="B3052" s="8" t="s">
        <v>4928</v>
      </c>
      <c r="C3052" s="8" t="s">
        <v>4925</v>
      </c>
      <c r="D3052" s="8" t="s">
        <v>39</v>
      </c>
      <c r="E3052" s="8" t="s">
        <v>40</v>
      </c>
    </row>
    <row r="3053" spans="1:5">
      <c r="A3053" s="8">
        <v>6595</v>
      </c>
      <c r="B3053" s="8" t="s">
        <v>4929</v>
      </c>
      <c r="C3053" s="8" t="s">
        <v>4925</v>
      </c>
      <c r="D3053" s="8" t="s">
        <v>39</v>
      </c>
      <c r="E3053" s="8" t="s">
        <v>40</v>
      </c>
    </row>
    <row r="3054" spans="1:5">
      <c r="A3054" s="8">
        <v>6597</v>
      </c>
      <c r="B3054" s="8" t="s">
        <v>3949</v>
      </c>
      <c r="C3054" s="8" t="s">
        <v>583</v>
      </c>
      <c r="D3054" s="8" t="s">
        <v>39</v>
      </c>
      <c r="E3054" s="8" t="s">
        <v>40</v>
      </c>
    </row>
    <row r="3055" spans="1:5">
      <c r="A3055" s="8">
        <v>6599</v>
      </c>
      <c r="B3055" s="8" t="s">
        <v>4930</v>
      </c>
      <c r="C3055" s="8" t="s">
        <v>3483</v>
      </c>
      <c r="D3055" s="8" t="s">
        <v>39</v>
      </c>
      <c r="E3055" s="8" t="s">
        <v>40</v>
      </c>
    </row>
    <row r="3056" spans="1:5">
      <c r="A3056" s="8">
        <v>6600</v>
      </c>
      <c r="B3056" s="8" t="s">
        <v>4931</v>
      </c>
      <c r="C3056" s="8" t="s">
        <v>1001</v>
      </c>
      <c r="D3056" s="8" t="s">
        <v>39</v>
      </c>
      <c r="E3056" s="8" t="s">
        <v>40</v>
      </c>
    </row>
    <row r="3057" spans="1:5">
      <c r="A3057" s="8">
        <v>6601</v>
      </c>
      <c r="B3057" s="8" t="s">
        <v>4932</v>
      </c>
      <c r="C3057" s="8" t="s">
        <v>401</v>
      </c>
      <c r="D3057" s="8" t="s">
        <v>54</v>
      </c>
      <c r="E3057" s="8" t="s">
        <v>40</v>
      </c>
    </row>
    <row r="3058" spans="1:5">
      <c r="A3058" s="8">
        <v>6604</v>
      </c>
      <c r="B3058" s="8" t="s">
        <v>4933</v>
      </c>
      <c r="C3058" s="8" t="s">
        <v>4934</v>
      </c>
      <c r="D3058" s="8" t="s">
        <v>3477</v>
      </c>
      <c r="E3058" s="8" t="s">
        <v>1461</v>
      </c>
    </row>
    <row r="3059" spans="1:5">
      <c r="A3059" s="8">
        <v>6605</v>
      </c>
      <c r="B3059" s="8" t="s">
        <v>4935</v>
      </c>
      <c r="C3059" s="8" t="s">
        <v>4936</v>
      </c>
      <c r="D3059" s="8" t="s">
        <v>4241</v>
      </c>
      <c r="E3059" s="8" t="s">
        <v>1461</v>
      </c>
    </row>
    <row r="3060" spans="1:5">
      <c r="A3060" s="8">
        <v>6606</v>
      </c>
      <c r="B3060" s="8" t="s">
        <v>4937</v>
      </c>
      <c r="C3060" s="8" t="s">
        <v>2496</v>
      </c>
      <c r="D3060" s="8" t="s">
        <v>1461</v>
      </c>
      <c r="E3060" s="8" t="s">
        <v>1461</v>
      </c>
    </row>
    <row r="3061" spans="1:5">
      <c r="A3061" s="8">
        <v>6607</v>
      </c>
      <c r="B3061" s="8" t="s">
        <v>4938</v>
      </c>
      <c r="C3061" s="8" t="s">
        <v>4939</v>
      </c>
      <c r="D3061" s="8" t="s">
        <v>4939</v>
      </c>
      <c r="E3061" s="8" t="s">
        <v>1461</v>
      </c>
    </row>
    <row r="3062" spans="1:5">
      <c r="A3062" s="8">
        <v>6608</v>
      </c>
      <c r="B3062" s="8" t="s">
        <v>4940</v>
      </c>
      <c r="C3062" s="8" t="s">
        <v>4941</v>
      </c>
      <c r="D3062" s="8" t="s">
        <v>4942</v>
      </c>
      <c r="E3062" s="8" t="s">
        <v>1461</v>
      </c>
    </row>
    <row r="3063" spans="1:5">
      <c r="A3063" s="8">
        <v>6610</v>
      </c>
      <c r="B3063" s="8" t="s">
        <v>4943</v>
      </c>
      <c r="C3063" s="8" t="s">
        <v>3824</v>
      </c>
      <c r="D3063" s="8" t="s">
        <v>39</v>
      </c>
      <c r="E3063" s="8" t="s">
        <v>40</v>
      </c>
    </row>
    <row r="3064" spans="1:5">
      <c r="A3064" s="8">
        <v>6611</v>
      </c>
      <c r="B3064" s="8" t="s">
        <v>4944</v>
      </c>
      <c r="C3064" s="8" t="s">
        <v>4945</v>
      </c>
      <c r="D3064" s="8" t="s">
        <v>39</v>
      </c>
      <c r="E3064" s="8" t="s">
        <v>40</v>
      </c>
    </row>
    <row r="3065" spans="1:5">
      <c r="A3065" s="8">
        <v>6612</v>
      </c>
      <c r="B3065" s="8" t="s">
        <v>4946</v>
      </c>
      <c r="C3065" s="8" t="s">
        <v>3566</v>
      </c>
      <c r="D3065" s="8" t="s">
        <v>43</v>
      </c>
      <c r="E3065" s="8" t="s">
        <v>40</v>
      </c>
    </row>
    <row r="3066" spans="1:5">
      <c r="A3066" s="8">
        <v>6613</v>
      </c>
      <c r="B3066" s="8" t="s">
        <v>4947</v>
      </c>
      <c r="C3066" s="8" t="s">
        <v>4948</v>
      </c>
      <c r="D3066" s="8" t="s">
        <v>132</v>
      </c>
      <c r="E3066" s="8" t="s">
        <v>40</v>
      </c>
    </row>
    <row r="3067" spans="1:5">
      <c r="A3067" s="8">
        <v>6614</v>
      </c>
      <c r="B3067" s="8" t="s">
        <v>4949</v>
      </c>
      <c r="C3067" s="8" t="s">
        <v>4700</v>
      </c>
      <c r="D3067" s="8" t="s">
        <v>1834</v>
      </c>
      <c r="E3067" s="8" t="s">
        <v>1835</v>
      </c>
    </row>
    <row r="3068" spans="1:5">
      <c r="A3068" s="8">
        <v>6615</v>
      </c>
      <c r="B3068" s="8" t="s">
        <v>4950</v>
      </c>
      <c r="C3068" s="8" t="s">
        <v>4951</v>
      </c>
      <c r="D3068" s="8" t="s">
        <v>39</v>
      </c>
      <c r="E3068" s="8" t="s">
        <v>40</v>
      </c>
    </row>
    <row r="3069" spans="1:5">
      <c r="A3069" s="8">
        <v>6616</v>
      </c>
      <c r="B3069" s="8" t="s">
        <v>4952</v>
      </c>
      <c r="C3069" s="8" t="s">
        <v>1114</v>
      </c>
      <c r="D3069" s="8" t="s">
        <v>39</v>
      </c>
      <c r="E3069" s="8" t="s">
        <v>40</v>
      </c>
    </row>
    <row r="3070" spans="1:5">
      <c r="A3070" s="8">
        <v>6618</v>
      </c>
      <c r="B3070" s="8" t="s">
        <v>4953</v>
      </c>
      <c r="C3070" s="8" t="s">
        <v>4954</v>
      </c>
      <c r="D3070" s="8" t="s">
        <v>39</v>
      </c>
      <c r="E3070" s="8" t="s">
        <v>40</v>
      </c>
    </row>
    <row r="3071" spans="1:5">
      <c r="A3071" s="8">
        <v>6619</v>
      </c>
      <c r="B3071" s="8" t="s">
        <v>4955</v>
      </c>
      <c r="C3071" s="8" t="s">
        <v>4370</v>
      </c>
      <c r="D3071" s="8" t="s">
        <v>43</v>
      </c>
      <c r="E3071" s="8" t="s">
        <v>40</v>
      </c>
    </row>
    <row r="3072" spans="1:5">
      <c r="A3072" s="8">
        <v>6620</v>
      </c>
      <c r="B3072" s="8" t="s">
        <v>4956</v>
      </c>
      <c r="C3072" s="8" t="s">
        <v>4957</v>
      </c>
      <c r="D3072" s="8" t="s">
        <v>116</v>
      </c>
      <c r="E3072" s="8" t="s">
        <v>40</v>
      </c>
    </row>
    <row r="3073" spans="1:5">
      <c r="A3073" s="8">
        <v>6621</v>
      </c>
      <c r="B3073" s="8" t="s">
        <v>4958</v>
      </c>
      <c r="C3073" s="8" t="s">
        <v>3997</v>
      </c>
      <c r="D3073" s="8" t="s">
        <v>54</v>
      </c>
      <c r="E3073" s="8" t="s">
        <v>40</v>
      </c>
    </row>
    <row r="3074" spans="1:5">
      <c r="A3074" s="8">
        <v>6622</v>
      </c>
      <c r="B3074" s="8" t="s">
        <v>4959</v>
      </c>
      <c r="C3074" s="8" t="s">
        <v>4960</v>
      </c>
      <c r="D3074" s="8" t="s">
        <v>335</v>
      </c>
      <c r="E3074" s="8" t="s">
        <v>239</v>
      </c>
    </row>
    <row r="3075" spans="1:5">
      <c r="A3075" s="8">
        <v>6624</v>
      </c>
      <c r="B3075" s="8" t="s">
        <v>4961</v>
      </c>
      <c r="C3075" s="8" t="s">
        <v>4962</v>
      </c>
      <c r="D3075" s="8" t="s">
        <v>132</v>
      </c>
      <c r="E3075" s="8" t="s">
        <v>40</v>
      </c>
    </row>
    <row r="3076" spans="1:5">
      <c r="A3076" s="8">
        <v>6626</v>
      </c>
      <c r="B3076" s="8" t="s">
        <v>4963</v>
      </c>
      <c r="C3076" s="8" t="s">
        <v>4964</v>
      </c>
      <c r="D3076" s="8" t="s">
        <v>319</v>
      </c>
      <c r="E3076" s="8" t="s">
        <v>40</v>
      </c>
    </row>
    <row r="3077" spans="1:5">
      <c r="A3077" s="8">
        <v>6627</v>
      </c>
      <c r="B3077" s="8" t="s">
        <v>4965</v>
      </c>
      <c r="C3077" s="8" t="s">
        <v>1554</v>
      </c>
      <c r="D3077" s="8" t="s">
        <v>39</v>
      </c>
      <c r="E3077" s="8" t="s">
        <v>40</v>
      </c>
    </row>
    <row r="3078" spans="1:5">
      <c r="A3078" s="8">
        <v>6628</v>
      </c>
      <c r="B3078" s="8" t="s">
        <v>4966</v>
      </c>
      <c r="C3078" s="8" t="s">
        <v>4967</v>
      </c>
      <c r="D3078" s="8" t="s">
        <v>1221</v>
      </c>
      <c r="E3078" s="8" t="s">
        <v>40</v>
      </c>
    </row>
    <row r="3079" spans="1:5">
      <c r="A3079" s="8">
        <v>6630</v>
      </c>
      <c r="B3079" s="8" t="s">
        <v>4968</v>
      </c>
      <c r="C3079" s="8" t="s">
        <v>4969</v>
      </c>
      <c r="D3079" s="8" t="s">
        <v>213</v>
      </c>
      <c r="E3079" s="8" t="s">
        <v>40</v>
      </c>
    </row>
    <row r="3080" spans="1:5">
      <c r="A3080" s="8">
        <v>6631</v>
      </c>
      <c r="B3080" s="8" t="s">
        <v>4970</v>
      </c>
      <c r="C3080" s="8" t="s">
        <v>4971</v>
      </c>
      <c r="D3080" s="8" t="s">
        <v>39</v>
      </c>
      <c r="E3080" s="8" t="s">
        <v>40</v>
      </c>
    </row>
    <row r="3081" spans="1:5">
      <c r="A3081" s="8">
        <v>6632</v>
      </c>
      <c r="B3081" s="8" t="s">
        <v>4972</v>
      </c>
      <c r="C3081" s="8" t="s">
        <v>237</v>
      </c>
      <c r="D3081" s="8" t="s">
        <v>238</v>
      </c>
      <c r="E3081" s="8" t="s">
        <v>239</v>
      </c>
    </row>
    <row r="3082" spans="1:5">
      <c r="A3082" s="8">
        <v>6633</v>
      </c>
      <c r="B3082" s="8" t="s">
        <v>4973</v>
      </c>
      <c r="C3082" s="8" t="s">
        <v>1114</v>
      </c>
      <c r="D3082" s="8" t="s">
        <v>39</v>
      </c>
      <c r="E3082" s="8" t="s">
        <v>40</v>
      </c>
    </row>
    <row r="3083" spans="1:5">
      <c r="A3083" s="8">
        <v>6635</v>
      </c>
      <c r="B3083" s="8" t="s">
        <v>4974</v>
      </c>
      <c r="C3083" s="8" t="s">
        <v>1675</v>
      </c>
      <c r="D3083" s="8" t="s">
        <v>39</v>
      </c>
      <c r="E3083" s="8" t="s">
        <v>40</v>
      </c>
    </row>
    <row r="3084" spans="1:5">
      <c r="A3084" s="8">
        <v>6636</v>
      </c>
      <c r="B3084" s="8" t="s">
        <v>4975</v>
      </c>
      <c r="C3084" s="8" t="s">
        <v>549</v>
      </c>
      <c r="D3084" s="8" t="s">
        <v>54</v>
      </c>
      <c r="E3084" s="8" t="s">
        <v>40</v>
      </c>
    </row>
    <row r="3085" spans="1:5">
      <c r="A3085" s="8">
        <v>6637</v>
      </c>
      <c r="B3085" s="8" t="s">
        <v>4976</v>
      </c>
      <c r="C3085" s="8" t="s">
        <v>4977</v>
      </c>
      <c r="D3085" s="8" t="s">
        <v>39</v>
      </c>
      <c r="E3085" s="8" t="s">
        <v>40</v>
      </c>
    </row>
    <row r="3086" spans="1:5">
      <c r="A3086" s="8">
        <v>6638</v>
      </c>
      <c r="B3086" s="8" t="s">
        <v>4978</v>
      </c>
      <c r="C3086" s="8" t="s">
        <v>4979</v>
      </c>
      <c r="D3086" s="8" t="s">
        <v>39</v>
      </c>
      <c r="E3086" s="8" t="s">
        <v>40</v>
      </c>
    </row>
    <row r="3087" spans="1:5">
      <c r="A3087" s="8">
        <v>6639</v>
      </c>
      <c r="B3087" s="8" t="s">
        <v>4980</v>
      </c>
      <c r="C3087" s="8" t="s">
        <v>4981</v>
      </c>
      <c r="D3087" s="8" t="s">
        <v>429</v>
      </c>
      <c r="E3087" s="8" t="s">
        <v>40</v>
      </c>
    </row>
    <row r="3088" spans="1:5">
      <c r="A3088" s="8">
        <v>6640</v>
      </c>
      <c r="B3088" s="8" t="s">
        <v>4982</v>
      </c>
      <c r="C3088" s="8" t="s">
        <v>4983</v>
      </c>
      <c r="D3088" s="8" t="s">
        <v>51</v>
      </c>
      <c r="E3088" s="8" t="s">
        <v>40</v>
      </c>
    </row>
    <row r="3089" spans="1:5">
      <c r="A3089" s="8">
        <v>6642</v>
      </c>
      <c r="B3089" s="8" t="s">
        <v>4984</v>
      </c>
      <c r="C3089" s="8" t="s">
        <v>3028</v>
      </c>
      <c r="D3089" s="8" t="s">
        <v>39</v>
      </c>
      <c r="E3089" s="8" t="s">
        <v>40</v>
      </c>
    </row>
    <row r="3090" spans="1:5">
      <c r="A3090" s="8">
        <v>6643</v>
      </c>
      <c r="B3090" s="8" t="s">
        <v>4985</v>
      </c>
      <c r="C3090" s="8" t="s">
        <v>4986</v>
      </c>
      <c r="D3090" s="8" t="s">
        <v>132</v>
      </c>
      <c r="E3090" s="8" t="s">
        <v>40</v>
      </c>
    </row>
    <row r="3091" spans="1:5">
      <c r="A3091" s="8">
        <v>6644</v>
      </c>
      <c r="B3091" s="8" t="s">
        <v>4987</v>
      </c>
      <c r="C3091" s="8" t="s">
        <v>4988</v>
      </c>
      <c r="D3091" s="8" t="s">
        <v>43</v>
      </c>
      <c r="E3091" s="8" t="s">
        <v>40</v>
      </c>
    </row>
    <row r="3092" spans="1:5">
      <c r="A3092" s="8">
        <v>6645</v>
      </c>
      <c r="B3092" s="8" t="s">
        <v>4989</v>
      </c>
      <c r="C3092" s="8" t="s">
        <v>4462</v>
      </c>
      <c r="D3092" s="8" t="s">
        <v>164</v>
      </c>
      <c r="E3092" s="8" t="s">
        <v>40</v>
      </c>
    </row>
    <row r="3093" spans="1:5">
      <c r="A3093" s="8">
        <v>6646</v>
      </c>
      <c r="B3093" s="8" t="s">
        <v>4990</v>
      </c>
      <c r="C3093" s="8" t="s">
        <v>4991</v>
      </c>
      <c r="D3093" s="8" t="s">
        <v>164</v>
      </c>
      <c r="E3093" s="8" t="s">
        <v>40</v>
      </c>
    </row>
    <row r="3094" spans="1:5">
      <c r="A3094" s="8">
        <v>6647</v>
      </c>
      <c r="B3094" s="8" t="s">
        <v>4992</v>
      </c>
      <c r="C3094" s="8" t="s">
        <v>4993</v>
      </c>
      <c r="D3094" s="8" t="s">
        <v>3135</v>
      </c>
      <c r="E3094" s="8" t="s">
        <v>1461</v>
      </c>
    </row>
    <row r="3095" spans="1:5">
      <c r="A3095" s="8">
        <v>6648</v>
      </c>
      <c r="B3095" s="8" t="s">
        <v>4994</v>
      </c>
      <c r="C3095" s="8" t="s">
        <v>4995</v>
      </c>
      <c r="D3095" s="8" t="s">
        <v>54</v>
      </c>
      <c r="E3095" s="8" t="s">
        <v>40</v>
      </c>
    </row>
    <row r="3096" spans="1:5">
      <c r="A3096" s="8">
        <v>6649</v>
      </c>
      <c r="B3096" s="8" t="s">
        <v>4996</v>
      </c>
      <c r="C3096" s="8" t="s">
        <v>4997</v>
      </c>
      <c r="D3096" s="8" t="s">
        <v>39</v>
      </c>
      <c r="E3096" s="8" t="s">
        <v>40</v>
      </c>
    </row>
    <row r="3097" spans="1:5">
      <c r="A3097" s="8">
        <v>6650</v>
      </c>
      <c r="B3097" s="8" t="s">
        <v>4998</v>
      </c>
      <c r="C3097" s="8" t="s">
        <v>940</v>
      </c>
      <c r="D3097" s="8" t="s">
        <v>43</v>
      </c>
      <c r="E3097" s="8" t="s">
        <v>40</v>
      </c>
    </row>
    <row r="3098" spans="1:5">
      <c r="A3098" s="8">
        <v>6651</v>
      </c>
      <c r="B3098" s="8" t="s">
        <v>4999</v>
      </c>
      <c r="C3098" s="8" t="s">
        <v>5000</v>
      </c>
      <c r="D3098" s="8" t="s">
        <v>121</v>
      </c>
      <c r="E3098" s="8" t="s">
        <v>40</v>
      </c>
    </row>
    <row r="3099" spans="1:5">
      <c r="A3099" s="8">
        <v>6652</v>
      </c>
      <c r="B3099" s="8" t="s">
        <v>5001</v>
      </c>
      <c r="C3099" s="8" t="s">
        <v>3134</v>
      </c>
      <c r="D3099" s="8" t="s">
        <v>3135</v>
      </c>
      <c r="E3099" s="8" t="s">
        <v>1461</v>
      </c>
    </row>
    <row r="3100" spans="1:5">
      <c r="A3100" s="8">
        <v>6653</v>
      </c>
      <c r="B3100" s="8" t="s">
        <v>5002</v>
      </c>
      <c r="C3100" s="8" t="s">
        <v>5002</v>
      </c>
      <c r="D3100" s="8" t="s">
        <v>1994</v>
      </c>
      <c r="E3100" s="8" t="s">
        <v>1995</v>
      </c>
    </row>
    <row r="3101" spans="1:5">
      <c r="A3101" s="8">
        <v>6654</v>
      </c>
      <c r="B3101" s="8" t="s">
        <v>5003</v>
      </c>
      <c r="C3101" s="8" t="s">
        <v>954</v>
      </c>
      <c r="D3101" s="8" t="s">
        <v>490</v>
      </c>
      <c r="E3101" s="8" t="s">
        <v>40</v>
      </c>
    </row>
    <row r="3102" spans="1:5">
      <c r="A3102" s="8">
        <v>6655</v>
      </c>
      <c r="B3102" s="8" t="s">
        <v>2696</v>
      </c>
      <c r="C3102" s="8" t="s">
        <v>1832</v>
      </c>
      <c r="D3102" s="8" t="s">
        <v>164</v>
      </c>
      <c r="E3102" s="8" t="s">
        <v>40</v>
      </c>
    </row>
    <row r="3103" spans="1:5">
      <c r="A3103" s="8">
        <v>6656</v>
      </c>
      <c r="B3103" s="8" t="s">
        <v>5004</v>
      </c>
      <c r="C3103" s="8" t="s">
        <v>5005</v>
      </c>
      <c r="D3103" s="8" t="s">
        <v>92</v>
      </c>
      <c r="E3103" s="8" t="s">
        <v>40</v>
      </c>
    </row>
    <row r="3104" spans="1:5">
      <c r="A3104" s="8">
        <v>6657</v>
      </c>
      <c r="B3104" s="8" t="s">
        <v>5006</v>
      </c>
      <c r="C3104" s="8" t="s">
        <v>5007</v>
      </c>
      <c r="D3104" s="8" t="s">
        <v>43</v>
      </c>
      <c r="E3104" s="8" t="s">
        <v>40</v>
      </c>
    </row>
    <row r="3105" spans="1:5">
      <c r="A3105" s="8">
        <v>6658</v>
      </c>
      <c r="B3105" s="8" t="s">
        <v>5008</v>
      </c>
      <c r="C3105" s="8" t="s">
        <v>523</v>
      </c>
      <c r="D3105" s="8" t="s">
        <v>43</v>
      </c>
      <c r="E3105" s="8" t="s">
        <v>40</v>
      </c>
    </row>
    <row r="3106" spans="1:5">
      <c r="A3106" s="8">
        <v>6659</v>
      </c>
      <c r="B3106" s="8" t="s">
        <v>543</v>
      </c>
      <c r="C3106" s="8" t="s">
        <v>1785</v>
      </c>
      <c r="D3106" s="8" t="s">
        <v>43</v>
      </c>
      <c r="E3106" s="8" t="s">
        <v>40</v>
      </c>
    </row>
    <row r="3107" spans="1:5">
      <c r="A3107" s="8">
        <v>6660</v>
      </c>
      <c r="B3107" s="8" t="s">
        <v>5009</v>
      </c>
      <c r="C3107" s="8" t="s">
        <v>690</v>
      </c>
      <c r="D3107" s="8" t="s">
        <v>691</v>
      </c>
      <c r="E3107" s="8" t="s">
        <v>40</v>
      </c>
    </row>
    <row r="3108" spans="1:5">
      <c r="A3108" s="8">
        <v>6662</v>
      </c>
      <c r="B3108" s="8" t="s">
        <v>5010</v>
      </c>
      <c r="C3108" s="8" t="s">
        <v>4671</v>
      </c>
      <c r="D3108" s="8" t="s">
        <v>43</v>
      </c>
      <c r="E3108" s="8" t="s">
        <v>40</v>
      </c>
    </row>
    <row r="3109" spans="1:5">
      <c r="A3109" s="8">
        <v>6664</v>
      </c>
      <c r="B3109" s="8" t="s">
        <v>5011</v>
      </c>
      <c r="C3109" s="8" t="s">
        <v>1869</v>
      </c>
      <c r="D3109" s="8" t="s">
        <v>164</v>
      </c>
      <c r="E3109" s="8" t="s">
        <v>40</v>
      </c>
    </row>
    <row r="3110" spans="1:5">
      <c r="A3110" s="8">
        <v>6665</v>
      </c>
      <c r="B3110" s="8" t="s">
        <v>5012</v>
      </c>
      <c r="C3110" s="8" t="s">
        <v>2839</v>
      </c>
      <c r="D3110" s="8" t="s">
        <v>43</v>
      </c>
      <c r="E3110" s="8" t="s">
        <v>40</v>
      </c>
    </row>
    <row r="3111" spans="1:5">
      <c r="A3111" s="8">
        <v>6666</v>
      </c>
      <c r="B3111" s="8" t="s">
        <v>5013</v>
      </c>
      <c r="C3111" s="8" t="s">
        <v>5014</v>
      </c>
      <c r="D3111" s="8" t="s">
        <v>3135</v>
      </c>
      <c r="E3111" s="8" t="s">
        <v>1461</v>
      </c>
    </row>
    <row r="3112" spans="1:5">
      <c r="A3112" s="8">
        <v>6667</v>
      </c>
      <c r="B3112" s="8" t="s">
        <v>5015</v>
      </c>
      <c r="C3112" s="8" t="s">
        <v>5016</v>
      </c>
      <c r="D3112" s="8" t="s">
        <v>97</v>
      </c>
      <c r="E3112" s="8" t="s">
        <v>40</v>
      </c>
    </row>
    <row r="3113" spans="1:5">
      <c r="A3113" s="8">
        <v>6668</v>
      </c>
      <c r="B3113" s="8" t="s">
        <v>5017</v>
      </c>
      <c r="C3113" s="8" t="s">
        <v>5018</v>
      </c>
      <c r="D3113" s="8" t="s">
        <v>43</v>
      </c>
      <c r="E3113" s="8" t="s">
        <v>40</v>
      </c>
    </row>
    <row r="3114" spans="1:5">
      <c r="A3114" s="8">
        <v>6670</v>
      </c>
      <c r="B3114" s="8" t="s">
        <v>5019</v>
      </c>
      <c r="C3114" s="8" t="s">
        <v>1097</v>
      </c>
      <c r="D3114" s="8" t="s">
        <v>132</v>
      </c>
      <c r="E3114" s="8" t="s">
        <v>40</v>
      </c>
    </row>
    <row r="3115" spans="1:5">
      <c r="A3115" s="8">
        <v>6671</v>
      </c>
      <c r="B3115" s="8" t="s">
        <v>5020</v>
      </c>
      <c r="C3115" s="8" t="s">
        <v>2801</v>
      </c>
      <c r="D3115" s="8" t="s">
        <v>164</v>
      </c>
      <c r="E3115" s="8" t="s">
        <v>40</v>
      </c>
    </row>
    <row r="3116" spans="1:5">
      <c r="A3116" s="8">
        <v>6672</v>
      </c>
      <c r="B3116" s="8" t="s">
        <v>5021</v>
      </c>
      <c r="C3116" s="8" t="s">
        <v>2191</v>
      </c>
      <c r="D3116" s="8" t="s">
        <v>164</v>
      </c>
      <c r="E3116" s="8" t="s">
        <v>40</v>
      </c>
    </row>
    <row r="3117" spans="1:5">
      <c r="A3117" s="8">
        <v>6673</v>
      </c>
      <c r="B3117" s="8" t="s">
        <v>5022</v>
      </c>
      <c r="C3117" s="8" t="s">
        <v>5023</v>
      </c>
      <c r="D3117" s="8" t="s">
        <v>964</v>
      </c>
      <c r="E3117" s="8" t="s">
        <v>239</v>
      </c>
    </row>
    <row r="3118" spans="1:5">
      <c r="A3118" s="8">
        <v>6674</v>
      </c>
      <c r="B3118" s="8" t="s">
        <v>5024</v>
      </c>
      <c r="C3118" s="8" t="s">
        <v>641</v>
      </c>
      <c r="D3118" s="8" t="s">
        <v>92</v>
      </c>
      <c r="E3118" s="8" t="s">
        <v>40</v>
      </c>
    </row>
    <row r="3119" spans="1:5">
      <c r="A3119" s="8">
        <v>6676</v>
      </c>
      <c r="B3119" s="8" t="s">
        <v>5025</v>
      </c>
      <c r="C3119" s="8" t="s">
        <v>5026</v>
      </c>
      <c r="D3119" s="8" t="s">
        <v>3261</v>
      </c>
      <c r="E3119" s="8" t="s">
        <v>1461</v>
      </c>
    </row>
    <row r="3120" spans="1:5">
      <c r="A3120" s="8">
        <v>6677</v>
      </c>
      <c r="B3120" s="8" t="s">
        <v>5027</v>
      </c>
      <c r="C3120" s="8" t="s">
        <v>5028</v>
      </c>
      <c r="D3120" s="8" t="s">
        <v>393</v>
      </c>
      <c r="E3120" s="8" t="s">
        <v>40</v>
      </c>
    </row>
    <row r="3121" spans="1:5">
      <c r="A3121" s="8">
        <v>6679</v>
      </c>
      <c r="B3121" s="8" t="s">
        <v>5029</v>
      </c>
      <c r="C3121" s="8" t="s">
        <v>963</v>
      </c>
      <c r="D3121" s="8" t="s">
        <v>964</v>
      </c>
      <c r="E3121" s="8" t="s">
        <v>239</v>
      </c>
    </row>
    <row r="3122" spans="1:5">
      <c r="A3122" s="8">
        <v>6680</v>
      </c>
      <c r="B3122" s="8" t="s">
        <v>5030</v>
      </c>
      <c r="C3122" s="8" t="s">
        <v>1020</v>
      </c>
      <c r="D3122" s="8" t="s">
        <v>1018</v>
      </c>
      <c r="E3122" s="8" t="s">
        <v>40</v>
      </c>
    </row>
    <row r="3123" spans="1:5">
      <c r="A3123" s="8">
        <v>6682</v>
      </c>
      <c r="B3123" s="8" t="s">
        <v>5031</v>
      </c>
      <c r="C3123" s="8" t="s">
        <v>5032</v>
      </c>
      <c r="D3123" s="8" t="s">
        <v>809</v>
      </c>
      <c r="E3123" s="8" t="s">
        <v>40</v>
      </c>
    </row>
    <row r="3124" spans="1:5">
      <c r="A3124" s="8">
        <v>6683</v>
      </c>
      <c r="B3124" s="8" t="s">
        <v>5033</v>
      </c>
      <c r="C3124" s="8" t="s">
        <v>465</v>
      </c>
      <c r="D3124" s="8" t="s">
        <v>92</v>
      </c>
      <c r="E3124" s="8" t="s">
        <v>40</v>
      </c>
    </row>
    <row r="3125" spans="1:5">
      <c r="A3125" s="8">
        <v>6684</v>
      </c>
      <c r="B3125" s="8" t="s">
        <v>404</v>
      </c>
      <c r="C3125" s="8" t="s">
        <v>5034</v>
      </c>
      <c r="D3125" s="8" t="s">
        <v>164</v>
      </c>
      <c r="E3125" s="8" t="s">
        <v>40</v>
      </c>
    </row>
    <row r="3126" spans="1:5">
      <c r="A3126" s="8">
        <v>6685</v>
      </c>
      <c r="B3126" s="8" t="s">
        <v>915</v>
      </c>
      <c r="C3126" s="8" t="s">
        <v>231</v>
      </c>
      <c r="D3126" s="8" t="s">
        <v>57</v>
      </c>
      <c r="E3126" s="8" t="s">
        <v>40</v>
      </c>
    </row>
    <row r="3127" spans="1:5">
      <c r="A3127" s="8">
        <v>6686</v>
      </c>
      <c r="B3127" s="8" t="s">
        <v>5035</v>
      </c>
      <c r="C3127" s="8" t="s">
        <v>231</v>
      </c>
      <c r="D3127" s="8" t="s">
        <v>57</v>
      </c>
      <c r="E3127" s="8" t="s">
        <v>40</v>
      </c>
    </row>
    <row r="3128" spans="1:5">
      <c r="A3128" s="8">
        <v>6688</v>
      </c>
      <c r="B3128" s="8" t="s">
        <v>5036</v>
      </c>
      <c r="C3128" s="8" t="s">
        <v>304</v>
      </c>
      <c r="D3128" s="8" t="s">
        <v>43</v>
      </c>
      <c r="E3128" s="8" t="s">
        <v>40</v>
      </c>
    </row>
    <row r="3129" spans="1:5">
      <c r="A3129" s="8">
        <v>6690</v>
      </c>
      <c r="B3129" s="8" t="s">
        <v>5037</v>
      </c>
      <c r="C3129" s="8" t="s">
        <v>981</v>
      </c>
      <c r="D3129" s="8" t="s">
        <v>181</v>
      </c>
      <c r="E3129" s="8" t="s">
        <v>40</v>
      </c>
    </row>
    <row r="3130" spans="1:5">
      <c r="A3130" s="8">
        <v>6691</v>
      </c>
      <c r="B3130" s="8" t="s">
        <v>5038</v>
      </c>
      <c r="C3130" s="8" t="s">
        <v>3338</v>
      </c>
      <c r="D3130" s="8" t="s">
        <v>181</v>
      </c>
      <c r="E3130" s="8" t="s">
        <v>40</v>
      </c>
    </row>
    <row r="3131" spans="1:5">
      <c r="A3131" s="8">
        <v>6692</v>
      </c>
      <c r="B3131" s="8" t="s">
        <v>5039</v>
      </c>
      <c r="C3131" s="8" t="s">
        <v>5040</v>
      </c>
      <c r="D3131" s="8" t="s">
        <v>43</v>
      </c>
      <c r="E3131" s="8" t="s">
        <v>40</v>
      </c>
    </row>
    <row r="3132" spans="1:5">
      <c r="A3132" s="8">
        <v>6693</v>
      </c>
      <c r="B3132" s="8" t="s">
        <v>5041</v>
      </c>
      <c r="C3132" s="8" t="s">
        <v>871</v>
      </c>
      <c r="D3132" s="8" t="s">
        <v>319</v>
      </c>
      <c r="E3132" s="8" t="s">
        <v>40</v>
      </c>
    </row>
    <row r="3133" spans="1:5">
      <c r="A3133" s="8">
        <v>6694</v>
      </c>
      <c r="B3133" s="8" t="s">
        <v>5042</v>
      </c>
      <c r="C3133" s="8" t="s">
        <v>3082</v>
      </c>
      <c r="D3133" s="8" t="s">
        <v>3083</v>
      </c>
      <c r="E3133" s="8" t="s">
        <v>1461</v>
      </c>
    </row>
    <row r="3134" spans="1:5">
      <c r="A3134" s="8">
        <v>6695</v>
      </c>
      <c r="B3134" s="8" t="s">
        <v>5043</v>
      </c>
      <c r="C3134" s="8" t="s">
        <v>2428</v>
      </c>
      <c r="D3134" s="8" t="s">
        <v>43</v>
      </c>
      <c r="E3134" s="8" t="s">
        <v>40</v>
      </c>
    </row>
    <row r="3135" spans="1:5">
      <c r="A3135" s="8">
        <v>6696</v>
      </c>
      <c r="B3135" s="8" t="s">
        <v>5044</v>
      </c>
      <c r="C3135" s="8" t="s">
        <v>5045</v>
      </c>
      <c r="D3135" s="8" t="s">
        <v>603</v>
      </c>
      <c r="E3135" s="8" t="s">
        <v>40</v>
      </c>
    </row>
    <row r="3136" spans="1:5">
      <c r="A3136" s="8">
        <v>6697</v>
      </c>
      <c r="B3136" s="8" t="s">
        <v>5046</v>
      </c>
      <c r="C3136" s="8" t="s">
        <v>4700</v>
      </c>
      <c r="D3136" s="8" t="s">
        <v>1834</v>
      </c>
      <c r="E3136" s="8" t="s">
        <v>1835</v>
      </c>
    </row>
    <row r="3137" spans="1:5">
      <c r="A3137" s="8">
        <v>6699</v>
      </c>
      <c r="B3137" s="8" t="s">
        <v>666</v>
      </c>
      <c r="C3137" s="8" t="s">
        <v>5047</v>
      </c>
      <c r="D3137" s="8" t="s">
        <v>43</v>
      </c>
      <c r="E3137" s="8" t="s">
        <v>40</v>
      </c>
    </row>
    <row r="3138" spans="1:5">
      <c r="A3138" s="8">
        <v>6700</v>
      </c>
      <c r="B3138" s="8" t="s">
        <v>5048</v>
      </c>
      <c r="C3138" s="8" t="s">
        <v>963</v>
      </c>
      <c r="D3138" s="8" t="s">
        <v>964</v>
      </c>
      <c r="E3138" s="8" t="s">
        <v>239</v>
      </c>
    </row>
    <row r="3139" spans="1:5">
      <c r="A3139" s="8">
        <v>6701</v>
      </c>
      <c r="B3139" s="8" t="s">
        <v>5049</v>
      </c>
      <c r="C3139" s="8" t="s">
        <v>4512</v>
      </c>
      <c r="D3139" s="8" t="s">
        <v>4513</v>
      </c>
      <c r="E3139" s="8" t="s">
        <v>239</v>
      </c>
    </row>
    <row r="3140" spans="1:5">
      <c r="A3140" s="8">
        <v>6702</v>
      </c>
      <c r="B3140" s="8" t="s">
        <v>5050</v>
      </c>
      <c r="C3140" s="8" t="s">
        <v>5051</v>
      </c>
      <c r="D3140" s="8" t="s">
        <v>4942</v>
      </c>
      <c r="E3140" s="8" t="s">
        <v>1461</v>
      </c>
    </row>
    <row r="3141" spans="1:5">
      <c r="A3141" s="8">
        <v>6704</v>
      </c>
      <c r="B3141" s="8" t="s">
        <v>5052</v>
      </c>
      <c r="C3141" s="8" t="s">
        <v>398</v>
      </c>
      <c r="D3141" s="8" t="s">
        <v>388</v>
      </c>
      <c r="E3141" s="8" t="s">
        <v>40</v>
      </c>
    </row>
    <row r="3142" spans="1:5">
      <c r="A3142" s="8">
        <v>6705</v>
      </c>
      <c r="B3142" s="8" t="s">
        <v>5053</v>
      </c>
      <c r="C3142" s="8" t="s">
        <v>934</v>
      </c>
      <c r="D3142" s="8" t="s">
        <v>630</v>
      </c>
      <c r="E3142" s="8" t="s">
        <v>40</v>
      </c>
    </row>
    <row r="3143" spans="1:5">
      <c r="A3143" s="8">
        <v>6706</v>
      </c>
      <c r="B3143" s="8" t="s">
        <v>5054</v>
      </c>
      <c r="C3143" s="8" t="s">
        <v>3754</v>
      </c>
      <c r="D3143" s="8" t="s">
        <v>3755</v>
      </c>
      <c r="E3143" s="8" t="s">
        <v>3670</v>
      </c>
    </row>
    <row r="3144" spans="1:5">
      <c r="A3144" s="8">
        <v>6707</v>
      </c>
      <c r="B3144" s="8" t="s">
        <v>5055</v>
      </c>
      <c r="C3144" s="8" t="s">
        <v>5056</v>
      </c>
      <c r="D3144" s="8" t="s">
        <v>1221</v>
      </c>
      <c r="E3144" s="8" t="s">
        <v>40</v>
      </c>
    </row>
    <row r="3145" spans="1:5">
      <c r="A3145" s="8">
        <v>6708</v>
      </c>
      <c r="B3145" s="8" t="s">
        <v>5057</v>
      </c>
      <c r="C3145" s="8" t="s">
        <v>5058</v>
      </c>
      <c r="D3145" s="8" t="s">
        <v>1461</v>
      </c>
      <c r="E3145" s="8" t="s">
        <v>1461</v>
      </c>
    </row>
    <row r="3146" spans="1:5">
      <c r="A3146" s="8">
        <v>6709</v>
      </c>
      <c r="B3146" s="8" t="s">
        <v>5059</v>
      </c>
      <c r="C3146" s="8" t="s">
        <v>5060</v>
      </c>
      <c r="D3146" s="8" t="s">
        <v>1221</v>
      </c>
      <c r="E3146" s="8" t="s">
        <v>40</v>
      </c>
    </row>
    <row r="3147" spans="1:5">
      <c r="A3147" s="8">
        <v>6711</v>
      </c>
      <c r="B3147" s="8" t="s">
        <v>5061</v>
      </c>
      <c r="C3147" s="8" t="s">
        <v>5047</v>
      </c>
      <c r="D3147" s="8" t="s">
        <v>43</v>
      </c>
      <c r="E3147" s="8" t="s">
        <v>40</v>
      </c>
    </row>
    <row r="3148" spans="1:5">
      <c r="A3148" s="8">
        <v>6712</v>
      </c>
      <c r="B3148" s="8" t="s">
        <v>5062</v>
      </c>
      <c r="C3148" s="8" t="s">
        <v>5063</v>
      </c>
      <c r="D3148" s="8" t="s">
        <v>630</v>
      </c>
      <c r="E3148" s="8" t="s">
        <v>40</v>
      </c>
    </row>
    <row r="3149" spans="1:5">
      <c r="A3149" s="8">
        <v>6714</v>
      </c>
      <c r="B3149" s="8" t="s">
        <v>5064</v>
      </c>
      <c r="C3149" s="8" t="s">
        <v>778</v>
      </c>
      <c r="D3149" s="8" t="s">
        <v>630</v>
      </c>
      <c r="E3149" s="8" t="s">
        <v>40</v>
      </c>
    </row>
    <row r="3150" spans="1:5">
      <c r="A3150" s="8">
        <v>6715</v>
      </c>
      <c r="B3150" s="8" t="s">
        <v>5065</v>
      </c>
      <c r="C3150" s="8" t="s">
        <v>5066</v>
      </c>
      <c r="D3150" s="8" t="s">
        <v>630</v>
      </c>
      <c r="E3150" s="8" t="s">
        <v>40</v>
      </c>
    </row>
    <row r="3151" spans="1:5">
      <c r="A3151" s="8">
        <v>6716</v>
      </c>
      <c r="B3151" s="8" t="s">
        <v>5067</v>
      </c>
      <c r="C3151" s="8" t="s">
        <v>778</v>
      </c>
      <c r="D3151" s="8" t="s">
        <v>630</v>
      </c>
      <c r="E3151" s="8" t="s">
        <v>40</v>
      </c>
    </row>
    <row r="3152" spans="1:5">
      <c r="A3152" s="8">
        <v>6717</v>
      </c>
      <c r="B3152" s="8" t="s">
        <v>5068</v>
      </c>
      <c r="C3152" s="8" t="s">
        <v>5069</v>
      </c>
      <c r="D3152" s="8" t="s">
        <v>1563</v>
      </c>
      <c r="E3152" s="8" t="s">
        <v>40</v>
      </c>
    </row>
    <row r="3153" spans="1:5">
      <c r="A3153" s="8">
        <v>6718</v>
      </c>
      <c r="B3153" s="8" t="s">
        <v>5070</v>
      </c>
      <c r="C3153" s="8" t="s">
        <v>1704</v>
      </c>
      <c r="D3153" s="8" t="s">
        <v>43</v>
      </c>
      <c r="E3153" s="8" t="s">
        <v>40</v>
      </c>
    </row>
    <row r="3154" spans="1:5">
      <c r="A3154" s="8">
        <v>6720</v>
      </c>
      <c r="B3154" s="8" t="s">
        <v>5071</v>
      </c>
      <c r="C3154" s="8" t="s">
        <v>5072</v>
      </c>
      <c r="D3154" s="8" t="s">
        <v>1221</v>
      </c>
      <c r="E3154" s="8" t="s">
        <v>40</v>
      </c>
    </row>
    <row r="3155" spans="1:5">
      <c r="A3155" s="8">
        <v>6721</v>
      </c>
      <c r="B3155" s="8" t="s">
        <v>5073</v>
      </c>
      <c r="C3155" s="8" t="s">
        <v>286</v>
      </c>
      <c r="D3155" s="8" t="s">
        <v>79</v>
      </c>
      <c r="E3155" s="8" t="s">
        <v>40</v>
      </c>
    </row>
    <row r="3156" spans="1:5">
      <c r="A3156" s="8">
        <v>6722</v>
      </c>
      <c r="B3156" s="8" t="s">
        <v>5074</v>
      </c>
      <c r="C3156" s="8" t="s">
        <v>3120</v>
      </c>
      <c r="D3156" s="8" t="s">
        <v>57</v>
      </c>
      <c r="E3156" s="8" t="s">
        <v>40</v>
      </c>
    </row>
    <row r="3157" spans="1:5">
      <c r="A3157" s="8">
        <v>6723</v>
      </c>
      <c r="B3157" s="8" t="s">
        <v>5075</v>
      </c>
      <c r="C3157" s="8" t="s">
        <v>5076</v>
      </c>
      <c r="D3157" s="8" t="s">
        <v>60</v>
      </c>
      <c r="E3157" s="8" t="s">
        <v>40</v>
      </c>
    </row>
    <row r="3158" spans="1:5">
      <c r="A3158" s="8">
        <v>6725</v>
      </c>
      <c r="B3158" s="8" t="s">
        <v>5077</v>
      </c>
      <c r="C3158" s="8" t="s">
        <v>1205</v>
      </c>
      <c r="D3158" s="8" t="s">
        <v>238</v>
      </c>
      <c r="E3158" s="8" t="s">
        <v>239</v>
      </c>
    </row>
    <row r="3159" spans="1:5">
      <c r="A3159" s="8">
        <v>6727</v>
      </c>
      <c r="B3159" s="8" t="s">
        <v>5078</v>
      </c>
      <c r="C3159" s="8" t="s">
        <v>4991</v>
      </c>
      <c r="D3159" s="8" t="s">
        <v>164</v>
      </c>
      <c r="E3159" s="8" t="s">
        <v>40</v>
      </c>
    </row>
    <row r="3160" spans="1:5">
      <c r="A3160" s="8">
        <v>6729</v>
      </c>
      <c r="B3160" s="8" t="s">
        <v>5079</v>
      </c>
      <c r="C3160" s="8" t="s">
        <v>5080</v>
      </c>
      <c r="D3160" s="8" t="s">
        <v>429</v>
      </c>
      <c r="E3160" s="8" t="s">
        <v>40</v>
      </c>
    </row>
    <row r="3161" spans="1:5">
      <c r="A3161" s="8">
        <v>6730</v>
      </c>
      <c r="B3161" s="8" t="s">
        <v>5081</v>
      </c>
      <c r="C3161" s="8" t="s">
        <v>1015</v>
      </c>
      <c r="D3161" s="8" t="s">
        <v>69</v>
      </c>
      <c r="E3161" s="8" t="s">
        <v>40</v>
      </c>
    </row>
    <row r="3162" spans="1:5">
      <c r="A3162" s="8">
        <v>6731</v>
      </c>
      <c r="B3162" s="8" t="s">
        <v>5082</v>
      </c>
      <c r="C3162" s="8" t="s">
        <v>249</v>
      </c>
      <c r="D3162" s="8" t="s">
        <v>60</v>
      </c>
      <c r="E3162" s="8" t="s">
        <v>40</v>
      </c>
    </row>
    <row r="3163" spans="1:5">
      <c r="A3163" s="8">
        <v>6732</v>
      </c>
      <c r="B3163" s="8" t="s">
        <v>5083</v>
      </c>
      <c r="C3163" s="8" t="s">
        <v>5084</v>
      </c>
      <c r="D3163" s="8" t="s">
        <v>132</v>
      </c>
      <c r="E3163" s="8" t="s">
        <v>40</v>
      </c>
    </row>
    <row r="3164" spans="1:5">
      <c r="A3164" s="8">
        <v>6736</v>
      </c>
      <c r="B3164" s="8" t="s">
        <v>5085</v>
      </c>
      <c r="C3164" s="8" t="s">
        <v>5086</v>
      </c>
      <c r="D3164" s="8" t="s">
        <v>1025</v>
      </c>
      <c r="E3164" s="8" t="s">
        <v>1026</v>
      </c>
    </row>
    <row r="3165" spans="1:5">
      <c r="A3165" s="8">
        <v>6738</v>
      </c>
      <c r="B3165" s="8" t="s">
        <v>5087</v>
      </c>
      <c r="C3165" s="8" t="s">
        <v>5088</v>
      </c>
      <c r="D3165" s="8" t="s">
        <v>1724</v>
      </c>
      <c r="E3165" s="8" t="s">
        <v>1026</v>
      </c>
    </row>
    <row r="3166" spans="1:5">
      <c r="A3166" s="8">
        <v>6739</v>
      </c>
      <c r="B3166" s="8" t="s">
        <v>5089</v>
      </c>
      <c r="C3166" s="8" t="s">
        <v>5090</v>
      </c>
      <c r="D3166" s="8" t="s">
        <v>1037</v>
      </c>
      <c r="E3166" s="8" t="s">
        <v>1026</v>
      </c>
    </row>
    <row r="3167" spans="1:5">
      <c r="A3167" s="8">
        <v>6740</v>
      </c>
      <c r="B3167" s="8" t="s">
        <v>5091</v>
      </c>
      <c r="C3167" s="8" t="s">
        <v>5092</v>
      </c>
      <c r="D3167" s="8" t="s">
        <v>1276</v>
      </c>
      <c r="E3167" s="8" t="s">
        <v>1026</v>
      </c>
    </row>
    <row r="3168" spans="1:5">
      <c r="A3168" s="8">
        <v>6741</v>
      </c>
      <c r="B3168" s="8" t="s">
        <v>5093</v>
      </c>
      <c r="C3168" s="8" t="s">
        <v>5094</v>
      </c>
      <c r="D3168" s="8" t="s">
        <v>1031</v>
      </c>
      <c r="E3168" s="8" t="s">
        <v>1026</v>
      </c>
    </row>
    <row r="3169" spans="1:5">
      <c r="A3169" s="8">
        <v>6742</v>
      </c>
      <c r="B3169" s="8" t="s">
        <v>5095</v>
      </c>
      <c r="C3169" s="8" t="s">
        <v>5096</v>
      </c>
      <c r="D3169" s="8" t="s">
        <v>39</v>
      </c>
      <c r="E3169" s="8" t="s">
        <v>40</v>
      </c>
    </row>
    <row r="3170" spans="1:5">
      <c r="A3170" s="8">
        <v>6743</v>
      </c>
      <c r="B3170" s="8" t="s">
        <v>5097</v>
      </c>
      <c r="C3170" s="8" t="s">
        <v>5098</v>
      </c>
      <c r="D3170" s="8" t="s">
        <v>57</v>
      </c>
      <c r="E3170" s="8" t="s">
        <v>40</v>
      </c>
    </row>
    <row r="3171" spans="1:5">
      <c r="A3171" s="8">
        <v>6744</v>
      </c>
      <c r="B3171" s="8" t="s">
        <v>5099</v>
      </c>
      <c r="C3171" s="8" t="s">
        <v>690</v>
      </c>
      <c r="D3171" s="8" t="s">
        <v>691</v>
      </c>
      <c r="E3171" s="8" t="s">
        <v>40</v>
      </c>
    </row>
    <row r="3172" spans="1:5">
      <c r="A3172" s="8">
        <v>6746</v>
      </c>
      <c r="B3172" s="8" t="s">
        <v>2500</v>
      </c>
      <c r="C3172" s="8" t="s">
        <v>5100</v>
      </c>
      <c r="D3172" s="8" t="s">
        <v>54</v>
      </c>
      <c r="E3172" s="8" t="s">
        <v>40</v>
      </c>
    </row>
    <row r="3173" spans="1:5">
      <c r="A3173" s="8">
        <v>6748</v>
      </c>
      <c r="B3173" s="8" t="s">
        <v>5101</v>
      </c>
      <c r="C3173" s="8" t="s">
        <v>1508</v>
      </c>
      <c r="D3173" s="8" t="s">
        <v>92</v>
      </c>
      <c r="E3173" s="8" t="s">
        <v>40</v>
      </c>
    </row>
    <row r="3174" spans="1:5">
      <c r="A3174" s="8">
        <v>6749</v>
      </c>
      <c r="B3174" s="8" t="s">
        <v>5102</v>
      </c>
      <c r="C3174" s="8" t="s">
        <v>1323</v>
      </c>
      <c r="D3174" s="8" t="s">
        <v>1221</v>
      </c>
      <c r="E3174" s="8" t="s">
        <v>40</v>
      </c>
    </row>
    <row r="3175" spans="1:5">
      <c r="A3175" s="8">
        <v>6750</v>
      </c>
      <c r="B3175" s="8" t="s">
        <v>5103</v>
      </c>
      <c r="C3175" s="8" t="s">
        <v>4923</v>
      </c>
      <c r="D3175" s="8" t="s">
        <v>630</v>
      </c>
      <c r="E3175" s="8" t="s">
        <v>40</v>
      </c>
    </row>
    <row r="3176" spans="1:5">
      <c r="A3176" s="8">
        <v>6751</v>
      </c>
      <c r="B3176" s="8" t="s">
        <v>5104</v>
      </c>
      <c r="C3176" s="8" t="s">
        <v>1794</v>
      </c>
      <c r="D3176" s="8" t="s">
        <v>164</v>
      </c>
      <c r="E3176" s="8" t="s">
        <v>40</v>
      </c>
    </row>
    <row r="3177" spans="1:5">
      <c r="A3177" s="8">
        <v>6753</v>
      </c>
      <c r="B3177" s="8" t="s">
        <v>5105</v>
      </c>
      <c r="C3177" s="8" t="s">
        <v>1683</v>
      </c>
      <c r="D3177" s="8" t="s">
        <v>39</v>
      </c>
      <c r="E3177" s="8" t="s">
        <v>40</v>
      </c>
    </row>
    <row r="3178" spans="1:5">
      <c r="A3178" s="8">
        <v>6754</v>
      </c>
      <c r="B3178" s="8" t="s">
        <v>5106</v>
      </c>
      <c r="C3178" s="8" t="s">
        <v>2894</v>
      </c>
      <c r="D3178" s="8" t="s">
        <v>164</v>
      </c>
      <c r="E3178" s="8" t="s">
        <v>40</v>
      </c>
    </row>
    <row r="3179" spans="1:5">
      <c r="A3179" s="8">
        <v>6755</v>
      </c>
      <c r="B3179" s="8" t="s">
        <v>5107</v>
      </c>
      <c r="C3179" s="8" t="s">
        <v>5108</v>
      </c>
      <c r="D3179" s="8" t="s">
        <v>43</v>
      </c>
      <c r="E3179" s="8" t="s">
        <v>40</v>
      </c>
    </row>
    <row r="3180" spans="1:5">
      <c r="A3180" s="8">
        <v>6758</v>
      </c>
      <c r="B3180" s="8" t="s">
        <v>5109</v>
      </c>
      <c r="C3180" s="8" t="s">
        <v>5110</v>
      </c>
      <c r="D3180" s="8" t="s">
        <v>1221</v>
      </c>
      <c r="E3180" s="8" t="s">
        <v>40</v>
      </c>
    </row>
    <row r="3181" spans="1:5">
      <c r="A3181" s="8">
        <v>6762</v>
      </c>
      <c r="B3181" s="8" t="s">
        <v>5111</v>
      </c>
      <c r="C3181" s="8" t="s">
        <v>113</v>
      </c>
      <c r="D3181" s="8" t="s">
        <v>181</v>
      </c>
      <c r="E3181" s="8" t="s">
        <v>40</v>
      </c>
    </row>
    <row r="3182" spans="1:5">
      <c r="A3182" s="8">
        <v>6763</v>
      </c>
      <c r="B3182" s="8" t="s">
        <v>5112</v>
      </c>
      <c r="C3182" s="8" t="s">
        <v>180</v>
      </c>
      <c r="D3182" s="8" t="s">
        <v>181</v>
      </c>
      <c r="E3182" s="8" t="s">
        <v>40</v>
      </c>
    </row>
    <row r="3183" spans="1:5">
      <c r="A3183" s="8">
        <v>6764</v>
      </c>
      <c r="B3183" s="8" t="s">
        <v>5113</v>
      </c>
      <c r="C3183" s="8" t="s">
        <v>5114</v>
      </c>
      <c r="D3183" s="8" t="s">
        <v>43</v>
      </c>
      <c r="E3183" s="8" t="s">
        <v>40</v>
      </c>
    </row>
    <row r="3184" spans="1:5">
      <c r="A3184" s="8">
        <v>6765</v>
      </c>
      <c r="B3184" s="8" t="s">
        <v>5115</v>
      </c>
      <c r="C3184" s="8" t="s">
        <v>563</v>
      </c>
      <c r="D3184" s="8" t="s">
        <v>81</v>
      </c>
      <c r="E3184" s="8" t="s">
        <v>40</v>
      </c>
    </row>
    <row r="3185" spans="1:5">
      <c r="A3185" s="8">
        <v>6766</v>
      </c>
      <c r="B3185" s="8" t="s">
        <v>5116</v>
      </c>
      <c r="C3185" s="8" t="s">
        <v>3754</v>
      </c>
      <c r="D3185" s="8" t="s">
        <v>3755</v>
      </c>
      <c r="E3185" s="8" t="s">
        <v>3670</v>
      </c>
    </row>
    <row r="3186" spans="1:5">
      <c r="A3186" s="8">
        <v>6768</v>
      </c>
      <c r="B3186" s="8" t="s">
        <v>5117</v>
      </c>
      <c r="C3186" s="8" t="s">
        <v>5118</v>
      </c>
      <c r="D3186" s="8" t="s">
        <v>164</v>
      </c>
      <c r="E3186" s="8" t="s">
        <v>40</v>
      </c>
    </row>
    <row r="3187" spans="1:5">
      <c r="A3187" s="8">
        <v>6769</v>
      </c>
      <c r="B3187" s="8" t="s">
        <v>5119</v>
      </c>
      <c r="C3187" s="8" t="s">
        <v>3749</v>
      </c>
      <c r="D3187" s="8" t="s">
        <v>3749</v>
      </c>
      <c r="E3187" s="8" t="s">
        <v>3670</v>
      </c>
    </row>
    <row r="3188" spans="1:5">
      <c r="A3188" s="8">
        <v>6771</v>
      </c>
      <c r="B3188" s="8" t="s">
        <v>5120</v>
      </c>
      <c r="C3188" s="8" t="s">
        <v>3749</v>
      </c>
      <c r="D3188" s="8" t="s">
        <v>3749</v>
      </c>
      <c r="E3188" s="8" t="s">
        <v>3670</v>
      </c>
    </row>
    <row r="3189" spans="1:5">
      <c r="A3189" s="8">
        <v>6800</v>
      </c>
      <c r="B3189" s="8" t="s">
        <v>5121</v>
      </c>
      <c r="C3189" s="8" t="s">
        <v>420</v>
      </c>
      <c r="D3189" s="8" t="s">
        <v>164</v>
      </c>
      <c r="E3189" s="8" t="s">
        <v>40</v>
      </c>
    </row>
    <row r="3190" spans="1:5">
      <c r="A3190" s="8">
        <v>6801</v>
      </c>
      <c r="B3190" s="8" t="s">
        <v>5122</v>
      </c>
      <c r="C3190" s="8" t="s">
        <v>5123</v>
      </c>
      <c r="D3190" s="8" t="s">
        <v>3755</v>
      </c>
      <c r="E3190" s="8" t="s">
        <v>3670</v>
      </c>
    </row>
    <row r="3191" spans="1:5">
      <c r="A3191" s="8">
        <v>6802</v>
      </c>
      <c r="B3191" s="8" t="s">
        <v>5124</v>
      </c>
      <c r="C3191" s="8" t="s">
        <v>5125</v>
      </c>
      <c r="D3191" s="8" t="s">
        <v>159</v>
      </c>
      <c r="E3191" s="8" t="s">
        <v>40</v>
      </c>
    </row>
    <row r="3192" spans="1:5">
      <c r="A3192" s="8">
        <v>6803</v>
      </c>
      <c r="B3192" s="8" t="s">
        <v>5126</v>
      </c>
      <c r="C3192" s="8" t="s">
        <v>3821</v>
      </c>
      <c r="D3192" s="8" t="s">
        <v>3821</v>
      </c>
      <c r="E3192" s="8" t="s">
        <v>3670</v>
      </c>
    </row>
    <row r="3193" spans="1:5">
      <c r="A3193" s="8">
        <v>6804</v>
      </c>
      <c r="B3193" s="8" t="s">
        <v>5127</v>
      </c>
      <c r="C3193" s="8" t="s">
        <v>5128</v>
      </c>
      <c r="D3193" s="8" t="s">
        <v>43</v>
      </c>
      <c r="E3193" s="8" t="s">
        <v>40</v>
      </c>
    </row>
    <row r="3194" spans="1:5">
      <c r="A3194" s="8">
        <v>6805</v>
      </c>
      <c r="B3194" s="8" t="s">
        <v>5129</v>
      </c>
      <c r="C3194" s="8" t="s">
        <v>5130</v>
      </c>
      <c r="D3194" s="8" t="s">
        <v>4195</v>
      </c>
      <c r="E3194" s="8" t="s">
        <v>40</v>
      </c>
    </row>
    <row r="3195" spans="1:5">
      <c r="A3195" s="8">
        <v>6806</v>
      </c>
      <c r="B3195" s="8" t="s">
        <v>5131</v>
      </c>
      <c r="C3195" s="8" t="s">
        <v>5132</v>
      </c>
      <c r="D3195" s="8" t="s">
        <v>54</v>
      </c>
      <c r="E3195" s="8" t="s">
        <v>40</v>
      </c>
    </row>
    <row r="3196" spans="1:5">
      <c r="A3196" s="8">
        <v>6807</v>
      </c>
      <c r="B3196" s="8" t="s">
        <v>5133</v>
      </c>
      <c r="C3196" s="8" t="s">
        <v>4986</v>
      </c>
      <c r="D3196" s="8" t="s">
        <v>132</v>
      </c>
      <c r="E3196" s="8" t="s">
        <v>40</v>
      </c>
    </row>
    <row r="3197" spans="1:5">
      <c r="A3197" s="8">
        <v>6808</v>
      </c>
      <c r="B3197" s="8" t="s">
        <v>5134</v>
      </c>
      <c r="C3197" s="8" t="s">
        <v>5135</v>
      </c>
      <c r="D3197" s="8" t="s">
        <v>97</v>
      </c>
      <c r="E3197" s="8" t="s">
        <v>40</v>
      </c>
    </row>
    <row r="3198" spans="1:5">
      <c r="A3198" s="8">
        <v>6809</v>
      </c>
      <c r="B3198" s="8" t="s">
        <v>5136</v>
      </c>
      <c r="C3198" s="8" t="s">
        <v>5137</v>
      </c>
      <c r="D3198" s="8" t="s">
        <v>69</v>
      </c>
      <c r="E3198" s="8" t="s">
        <v>40</v>
      </c>
    </row>
    <row r="3199" spans="1:5">
      <c r="A3199" s="8">
        <v>6810</v>
      </c>
      <c r="B3199" s="8" t="s">
        <v>5138</v>
      </c>
      <c r="C3199" s="8" t="s">
        <v>5139</v>
      </c>
      <c r="D3199" s="8" t="s">
        <v>1226</v>
      </c>
      <c r="E3199" s="8" t="s">
        <v>40</v>
      </c>
    </row>
    <row r="3200" spans="1:5">
      <c r="A3200" s="8">
        <v>6811</v>
      </c>
      <c r="B3200" s="8" t="s">
        <v>5140</v>
      </c>
      <c r="C3200" s="8" t="s">
        <v>264</v>
      </c>
      <c r="D3200" s="8" t="s">
        <v>201</v>
      </c>
      <c r="E3200" s="8" t="s">
        <v>40</v>
      </c>
    </row>
    <row r="3201" spans="1:5">
      <c r="A3201" s="8">
        <v>6812</v>
      </c>
      <c r="B3201" s="8" t="s">
        <v>5141</v>
      </c>
      <c r="C3201" s="8" t="s">
        <v>3168</v>
      </c>
      <c r="D3201" s="8" t="s">
        <v>60</v>
      </c>
      <c r="E3201" s="8" t="s">
        <v>40</v>
      </c>
    </row>
    <row r="3202" spans="1:5">
      <c r="A3202" s="8">
        <v>6813</v>
      </c>
      <c r="B3202" s="8" t="s">
        <v>5142</v>
      </c>
      <c r="C3202" s="8" t="s">
        <v>4332</v>
      </c>
      <c r="D3202" s="8" t="s">
        <v>4333</v>
      </c>
      <c r="E3202" s="8" t="s">
        <v>4334</v>
      </c>
    </row>
    <row r="3203" spans="1:5">
      <c r="A3203" s="8">
        <v>6814</v>
      </c>
      <c r="B3203" s="8" t="s">
        <v>5143</v>
      </c>
      <c r="C3203" s="8" t="s">
        <v>4040</v>
      </c>
      <c r="D3203" s="8" t="s">
        <v>43</v>
      </c>
      <c r="E3203" s="8" t="s">
        <v>40</v>
      </c>
    </row>
    <row r="3204" spans="1:5">
      <c r="A3204" s="8">
        <v>6817</v>
      </c>
      <c r="B3204" s="8" t="s">
        <v>5144</v>
      </c>
      <c r="C3204" s="8" t="s">
        <v>5145</v>
      </c>
      <c r="D3204" s="8" t="s">
        <v>691</v>
      </c>
      <c r="E3204" s="8" t="s">
        <v>40</v>
      </c>
    </row>
    <row r="3205" spans="1:5">
      <c r="A3205" s="8">
        <v>6818</v>
      </c>
      <c r="B3205" s="8" t="s">
        <v>5146</v>
      </c>
      <c r="C3205" s="8" t="s">
        <v>4690</v>
      </c>
      <c r="D3205" s="8" t="s">
        <v>4126</v>
      </c>
      <c r="E3205" s="8" t="s">
        <v>3670</v>
      </c>
    </row>
    <row r="3206" spans="1:5">
      <c r="A3206" s="8">
        <v>6819</v>
      </c>
      <c r="B3206" s="8" t="s">
        <v>512</v>
      </c>
      <c r="C3206" s="8" t="s">
        <v>5147</v>
      </c>
      <c r="D3206" s="8" t="s">
        <v>5148</v>
      </c>
      <c r="E3206" s="8" t="s">
        <v>5149</v>
      </c>
    </row>
    <row r="3207" spans="1:5">
      <c r="A3207" s="8">
        <v>6820</v>
      </c>
      <c r="B3207" s="8" t="s">
        <v>5150</v>
      </c>
      <c r="C3207" s="8" t="s">
        <v>5151</v>
      </c>
      <c r="D3207" s="8" t="s">
        <v>2910</v>
      </c>
      <c r="E3207" s="8" t="s">
        <v>1461</v>
      </c>
    </row>
    <row r="3208" spans="1:5">
      <c r="A3208" s="8">
        <v>6821</v>
      </c>
      <c r="B3208" s="8" t="s">
        <v>5152</v>
      </c>
      <c r="C3208" s="8" t="s">
        <v>5153</v>
      </c>
      <c r="D3208" s="8" t="s">
        <v>43</v>
      </c>
      <c r="E3208" s="8" t="s">
        <v>40</v>
      </c>
    </row>
    <row r="3209" spans="1:5">
      <c r="A3209" s="8">
        <v>6822</v>
      </c>
      <c r="B3209" s="8" t="s">
        <v>5154</v>
      </c>
      <c r="C3209" s="8" t="s">
        <v>304</v>
      </c>
      <c r="D3209" s="8" t="s">
        <v>43</v>
      </c>
      <c r="E3209" s="8" t="s">
        <v>40</v>
      </c>
    </row>
    <row r="3210" spans="1:5">
      <c r="A3210" s="8">
        <v>6823</v>
      </c>
      <c r="B3210" s="8" t="s">
        <v>884</v>
      </c>
      <c r="C3210" s="8" t="s">
        <v>1097</v>
      </c>
      <c r="D3210" s="8" t="s">
        <v>132</v>
      </c>
      <c r="E3210" s="8" t="s">
        <v>40</v>
      </c>
    </row>
    <row r="3211" spans="1:5">
      <c r="A3211" s="8">
        <v>6824</v>
      </c>
      <c r="B3211" s="8" t="s">
        <v>5155</v>
      </c>
      <c r="C3211" s="8" t="s">
        <v>725</v>
      </c>
      <c r="D3211" s="8" t="s">
        <v>726</v>
      </c>
      <c r="E3211" s="8" t="s">
        <v>40</v>
      </c>
    </row>
    <row r="3212" spans="1:5">
      <c r="A3212" s="8">
        <v>6825</v>
      </c>
      <c r="B3212" s="8" t="s">
        <v>5156</v>
      </c>
      <c r="C3212" s="8" t="s">
        <v>3268</v>
      </c>
      <c r="D3212" s="8" t="s">
        <v>726</v>
      </c>
      <c r="E3212" s="8" t="s">
        <v>40</v>
      </c>
    </row>
    <row r="3213" spans="1:5">
      <c r="A3213" s="8">
        <v>6826</v>
      </c>
      <c r="B3213" s="8" t="s">
        <v>5157</v>
      </c>
      <c r="C3213" s="8" t="s">
        <v>725</v>
      </c>
      <c r="D3213" s="8" t="s">
        <v>726</v>
      </c>
      <c r="E3213" s="8" t="s">
        <v>40</v>
      </c>
    </row>
    <row r="3214" spans="1:5">
      <c r="A3214" s="8">
        <v>6827</v>
      </c>
      <c r="B3214" s="8" t="s">
        <v>5158</v>
      </c>
      <c r="C3214" s="8" t="s">
        <v>3749</v>
      </c>
      <c r="D3214" s="8" t="s">
        <v>3749</v>
      </c>
      <c r="E3214" s="8" t="s">
        <v>3670</v>
      </c>
    </row>
    <row r="3215" spans="1:5">
      <c r="A3215" s="8">
        <v>6829</v>
      </c>
      <c r="B3215" s="8" t="s">
        <v>5159</v>
      </c>
      <c r="C3215" s="8" t="s">
        <v>854</v>
      </c>
      <c r="D3215" s="8" t="s">
        <v>630</v>
      </c>
      <c r="E3215" s="8" t="s">
        <v>40</v>
      </c>
    </row>
    <row r="3216" spans="1:5">
      <c r="A3216" s="8">
        <v>6830</v>
      </c>
      <c r="B3216" s="8" t="s">
        <v>5160</v>
      </c>
      <c r="C3216" s="8" t="s">
        <v>1869</v>
      </c>
      <c r="D3216" s="8" t="s">
        <v>164</v>
      </c>
      <c r="E3216" s="8" t="s">
        <v>40</v>
      </c>
    </row>
    <row r="3217" spans="1:5">
      <c r="A3217" s="8">
        <v>6831</v>
      </c>
      <c r="B3217" s="8" t="s">
        <v>5161</v>
      </c>
      <c r="C3217" s="8" t="s">
        <v>5162</v>
      </c>
      <c r="D3217" s="8" t="s">
        <v>603</v>
      </c>
      <c r="E3217" s="8" t="s">
        <v>40</v>
      </c>
    </row>
    <row r="3218" spans="1:5">
      <c r="A3218" s="8">
        <v>6832</v>
      </c>
      <c r="B3218" s="8" t="s">
        <v>5163</v>
      </c>
      <c r="C3218" s="8" t="s">
        <v>5164</v>
      </c>
      <c r="D3218" s="8" t="s">
        <v>3135</v>
      </c>
      <c r="E3218" s="8" t="s">
        <v>1461</v>
      </c>
    </row>
    <row r="3219" spans="1:5">
      <c r="A3219" s="8">
        <v>6833</v>
      </c>
      <c r="B3219" s="8" t="s">
        <v>5165</v>
      </c>
      <c r="C3219" s="8" t="s">
        <v>641</v>
      </c>
      <c r="D3219" s="8" t="s">
        <v>92</v>
      </c>
      <c r="E3219" s="8" t="s">
        <v>40</v>
      </c>
    </row>
    <row r="3220" spans="1:5">
      <c r="A3220" s="8">
        <v>6834</v>
      </c>
      <c r="B3220" s="8" t="s">
        <v>5166</v>
      </c>
      <c r="C3220" s="8" t="s">
        <v>5167</v>
      </c>
      <c r="D3220" s="8" t="s">
        <v>81</v>
      </c>
      <c r="E3220" s="8" t="s">
        <v>40</v>
      </c>
    </row>
    <row r="3221" spans="1:5">
      <c r="A3221" s="8">
        <v>6835</v>
      </c>
      <c r="B3221" s="8" t="s">
        <v>5168</v>
      </c>
      <c r="C3221" s="8" t="s">
        <v>3200</v>
      </c>
      <c r="D3221" s="8" t="s">
        <v>3200</v>
      </c>
      <c r="E3221" s="8" t="s">
        <v>1461</v>
      </c>
    </row>
    <row r="3222" spans="1:5">
      <c r="A3222" s="8">
        <v>6836</v>
      </c>
      <c r="B3222" s="8" t="s">
        <v>5169</v>
      </c>
      <c r="C3222" s="8" t="s">
        <v>5170</v>
      </c>
      <c r="D3222" s="8" t="s">
        <v>1994</v>
      </c>
      <c r="E3222" s="8" t="s">
        <v>1995</v>
      </c>
    </row>
    <row r="3223" spans="1:5">
      <c r="A3223" s="8">
        <v>6837</v>
      </c>
      <c r="B3223" s="8" t="s">
        <v>5171</v>
      </c>
      <c r="C3223" s="8" t="s">
        <v>5172</v>
      </c>
      <c r="D3223" s="8" t="s">
        <v>1460</v>
      </c>
      <c r="E3223" s="8" t="s">
        <v>1461</v>
      </c>
    </row>
    <row r="3224" spans="1:5">
      <c r="A3224" s="8">
        <v>6838</v>
      </c>
      <c r="B3224" s="8" t="s">
        <v>5173</v>
      </c>
      <c r="C3224" s="8" t="s">
        <v>5174</v>
      </c>
      <c r="D3224" s="8" t="s">
        <v>1834</v>
      </c>
      <c r="E3224" s="8" t="s">
        <v>1835</v>
      </c>
    </row>
    <row r="3225" spans="1:5">
      <c r="A3225" s="8">
        <v>6840</v>
      </c>
      <c r="B3225" s="8" t="s">
        <v>2540</v>
      </c>
      <c r="C3225" s="8" t="s">
        <v>5175</v>
      </c>
      <c r="D3225" s="8" t="s">
        <v>51</v>
      </c>
      <c r="E3225" s="8" t="s">
        <v>40</v>
      </c>
    </row>
    <row r="3226" spans="1:5">
      <c r="A3226" s="8">
        <v>6841</v>
      </c>
      <c r="B3226" s="8" t="s">
        <v>5176</v>
      </c>
      <c r="C3226" s="8" t="s">
        <v>4035</v>
      </c>
      <c r="D3226" s="8" t="s">
        <v>964</v>
      </c>
      <c r="E3226" s="8" t="s">
        <v>239</v>
      </c>
    </row>
    <row r="3227" spans="1:5">
      <c r="A3227" s="8">
        <v>6842</v>
      </c>
      <c r="B3227" s="8" t="s">
        <v>5177</v>
      </c>
      <c r="C3227" s="8" t="s">
        <v>734</v>
      </c>
      <c r="D3227" s="8" t="s">
        <v>630</v>
      </c>
      <c r="E3227" s="8" t="s">
        <v>40</v>
      </c>
    </row>
    <row r="3228" spans="1:5">
      <c r="A3228" s="8">
        <v>6843</v>
      </c>
      <c r="B3228" s="8" t="s">
        <v>5178</v>
      </c>
      <c r="C3228" s="8" t="s">
        <v>1144</v>
      </c>
      <c r="D3228" s="8" t="s">
        <v>691</v>
      </c>
      <c r="E3228" s="8" t="s">
        <v>40</v>
      </c>
    </row>
    <row r="3229" spans="1:5">
      <c r="A3229" s="8">
        <v>6844</v>
      </c>
      <c r="B3229" s="8" t="s">
        <v>5179</v>
      </c>
      <c r="C3229" s="8" t="s">
        <v>5180</v>
      </c>
      <c r="D3229" s="8" t="s">
        <v>1563</v>
      </c>
      <c r="E3229" s="8" t="s">
        <v>40</v>
      </c>
    </row>
    <row r="3230" spans="1:5">
      <c r="A3230" s="8">
        <v>6845</v>
      </c>
      <c r="B3230" s="8" t="s">
        <v>5181</v>
      </c>
      <c r="C3230" s="8" t="s">
        <v>1644</v>
      </c>
      <c r="D3230" s="8" t="s">
        <v>603</v>
      </c>
      <c r="E3230" s="8" t="s">
        <v>40</v>
      </c>
    </row>
    <row r="3231" spans="1:5">
      <c r="A3231" s="8">
        <v>6846</v>
      </c>
      <c r="B3231" s="8" t="s">
        <v>5182</v>
      </c>
      <c r="C3231" s="8" t="s">
        <v>5183</v>
      </c>
      <c r="D3231" s="8" t="s">
        <v>490</v>
      </c>
      <c r="E3231" s="8" t="s">
        <v>40</v>
      </c>
    </row>
    <row r="3232" spans="1:5">
      <c r="A3232" s="8">
        <v>6847</v>
      </c>
      <c r="B3232" s="8" t="s">
        <v>5184</v>
      </c>
      <c r="C3232" s="8" t="s">
        <v>2196</v>
      </c>
      <c r="D3232" s="8" t="s">
        <v>335</v>
      </c>
      <c r="E3232" s="8" t="s">
        <v>239</v>
      </c>
    </row>
    <row r="3233" spans="1:5">
      <c r="A3233" s="8">
        <v>6850</v>
      </c>
      <c r="B3233" s="8" t="s">
        <v>5185</v>
      </c>
      <c r="C3233" s="8" t="s">
        <v>2090</v>
      </c>
      <c r="D3233" s="8" t="s">
        <v>57</v>
      </c>
      <c r="E3233" s="8" t="s">
        <v>40</v>
      </c>
    </row>
    <row r="3234" spans="1:5">
      <c r="A3234" s="8">
        <v>6851</v>
      </c>
      <c r="B3234" s="8" t="s">
        <v>5186</v>
      </c>
      <c r="C3234" s="8" t="s">
        <v>5187</v>
      </c>
      <c r="D3234" s="8" t="s">
        <v>335</v>
      </c>
      <c r="E3234" s="8" t="s">
        <v>239</v>
      </c>
    </row>
    <row r="3235" spans="1:5">
      <c r="A3235" s="8">
        <v>6852</v>
      </c>
      <c r="B3235" s="8" t="s">
        <v>740</v>
      </c>
      <c r="C3235" s="8" t="s">
        <v>741</v>
      </c>
      <c r="D3235" s="8" t="s">
        <v>39</v>
      </c>
      <c r="E3235" s="8" t="s">
        <v>40</v>
      </c>
    </row>
    <row r="3236" spans="1:5">
      <c r="A3236" s="8">
        <v>6854</v>
      </c>
      <c r="B3236" s="8" t="s">
        <v>5188</v>
      </c>
      <c r="C3236" s="8" t="s">
        <v>1205</v>
      </c>
      <c r="D3236" s="8" t="s">
        <v>238</v>
      </c>
      <c r="E3236" s="8" t="s">
        <v>239</v>
      </c>
    </row>
    <row r="3237" spans="1:5">
      <c r="A3237" s="8">
        <v>6855</v>
      </c>
      <c r="B3237" s="8" t="s">
        <v>5189</v>
      </c>
      <c r="C3237" s="8" t="s">
        <v>5190</v>
      </c>
      <c r="D3237" s="8" t="s">
        <v>51</v>
      </c>
      <c r="E3237" s="8" t="s">
        <v>40</v>
      </c>
    </row>
    <row r="3238" spans="1:5">
      <c r="A3238" s="8">
        <v>6856</v>
      </c>
      <c r="B3238" s="8" t="s">
        <v>5191</v>
      </c>
      <c r="C3238" s="8" t="s">
        <v>1205</v>
      </c>
      <c r="D3238" s="8" t="s">
        <v>238</v>
      </c>
      <c r="E3238" s="8" t="s">
        <v>239</v>
      </c>
    </row>
    <row r="3239" spans="1:5">
      <c r="A3239" s="8">
        <v>6858</v>
      </c>
      <c r="B3239" s="8" t="s">
        <v>5192</v>
      </c>
      <c r="C3239" s="8" t="s">
        <v>833</v>
      </c>
      <c r="D3239" s="8" t="s">
        <v>495</v>
      </c>
      <c r="E3239" s="8" t="s">
        <v>40</v>
      </c>
    </row>
    <row r="3240" spans="1:5">
      <c r="A3240" s="8">
        <v>6859</v>
      </c>
      <c r="B3240" s="8" t="s">
        <v>5193</v>
      </c>
      <c r="C3240" s="8" t="s">
        <v>5194</v>
      </c>
      <c r="D3240" s="8" t="s">
        <v>238</v>
      </c>
      <c r="E3240" s="8" t="s">
        <v>239</v>
      </c>
    </row>
    <row r="3241" spans="1:5">
      <c r="A3241" s="8">
        <v>6860</v>
      </c>
      <c r="B3241" s="8" t="s">
        <v>5195</v>
      </c>
      <c r="C3241" s="8" t="s">
        <v>5196</v>
      </c>
      <c r="D3241" s="8" t="s">
        <v>48</v>
      </c>
      <c r="E3241" s="8" t="s">
        <v>40</v>
      </c>
    </row>
    <row r="3242" spans="1:5">
      <c r="A3242" s="8">
        <v>6861</v>
      </c>
      <c r="B3242" s="8" t="s">
        <v>5197</v>
      </c>
      <c r="C3242" s="8" t="s">
        <v>1780</v>
      </c>
      <c r="D3242" s="8" t="s">
        <v>39</v>
      </c>
      <c r="E3242" s="8" t="s">
        <v>40</v>
      </c>
    </row>
    <row r="3243" spans="1:5">
      <c r="A3243" s="8">
        <v>6862</v>
      </c>
      <c r="B3243" s="8" t="s">
        <v>5198</v>
      </c>
      <c r="C3243" s="8" t="s">
        <v>1114</v>
      </c>
      <c r="D3243" s="8" t="s">
        <v>39</v>
      </c>
      <c r="E3243" s="8" t="s">
        <v>40</v>
      </c>
    </row>
    <row r="3244" spans="1:5">
      <c r="A3244" s="8">
        <v>6863</v>
      </c>
      <c r="B3244" s="8" t="s">
        <v>5199</v>
      </c>
      <c r="C3244" s="8" t="s">
        <v>5200</v>
      </c>
      <c r="D3244" s="8" t="s">
        <v>438</v>
      </c>
      <c r="E3244" s="8" t="s">
        <v>40</v>
      </c>
    </row>
    <row r="3245" spans="1:5">
      <c r="A3245" s="8">
        <v>6864</v>
      </c>
      <c r="B3245" s="8" t="s">
        <v>5201</v>
      </c>
      <c r="C3245" s="8" t="s">
        <v>5202</v>
      </c>
      <c r="D3245" s="8" t="s">
        <v>238</v>
      </c>
      <c r="E3245" s="8" t="s">
        <v>239</v>
      </c>
    </row>
    <row r="3246" spans="1:5">
      <c r="A3246" s="8">
        <v>6865</v>
      </c>
      <c r="B3246" s="8" t="s">
        <v>5203</v>
      </c>
      <c r="C3246" s="8" t="s">
        <v>5204</v>
      </c>
      <c r="D3246" s="8" t="s">
        <v>238</v>
      </c>
      <c r="E3246" s="8" t="s">
        <v>239</v>
      </c>
    </row>
    <row r="3247" spans="1:5">
      <c r="A3247" s="8">
        <v>6866</v>
      </c>
      <c r="B3247" s="8" t="s">
        <v>5205</v>
      </c>
      <c r="C3247" s="8" t="s">
        <v>2834</v>
      </c>
      <c r="D3247" s="8" t="s">
        <v>238</v>
      </c>
      <c r="E3247" s="8" t="s">
        <v>239</v>
      </c>
    </row>
    <row r="3248" spans="1:5">
      <c r="A3248" s="8">
        <v>6867</v>
      </c>
      <c r="B3248" s="8" t="s">
        <v>5206</v>
      </c>
      <c r="C3248" s="8" t="s">
        <v>531</v>
      </c>
      <c r="D3248" s="8" t="s">
        <v>238</v>
      </c>
      <c r="E3248" s="8" t="s">
        <v>239</v>
      </c>
    </row>
    <row r="3249" spans="1:5">
      <c r="A3249" s="8">
        <v>6868</v>
      </c>
      <c r="B3249" s="8" t="s">
        <v>5207</v>
      </c>
      <c r="C3249" s="8" t="s">
        <v>5208</v>
      </c>
      <c r="D3249" s="8" t="s">
        <v>54</v>
      </c>
      <c r="E3249" s="8" t="s">
        <v>40</v>
      </c>
    </row>
    <row r="3250" spans="1:5">
      <c r="A3250" s="8">
        <v>6869</v>
      </c>
      <c r="B3250" s="8" t="s">
        <v>5209</v>
      </c>
      <c r="C3250" s="8" t="s">
        <v>5210</v>
      </c>
      <c r="D3250" s="8" t="s">
        <v>335</v>
      </c>
      <c r="E3250" s="8" t="s">
        <v>239</v>
      </c>
    </row>
    <row r="3251" spans="1:5">
      <c r="A3251" s="8">
        <v>6870</v>
      </c>
      <c r="B3251" s="8" t="s">
        <v>5211</v>
      </c>
      <c r="C3251" s="8" t="s">
        <v>2646</v>
      </c>
      <c r="D3251" s="8" t="s">
        <v>54</v>
      </c>
      <c r="E3251" s="8" t="s">
        <v>40</v>
      </c>
    </row>
    <row r="3252" spans="1:5">
      <c r="A3252" s="8">
        <v>6871</v>
      </c>
      <c r="B3252" s="8" t="s">
        <v>5212</v>
      </c>
      <c r="C3252" s="8" t="s">
        <v>5213</v>
      </c>
      <c r="D3252" s="8" t="s">
        <v>92</v>
      </c>
      <c r="E3252" s="8" t="s">
        <v>40</v>
      </c>
    </row>
    <row r="3253" spans="1:5">
      <c r="A3253" s="8">
        <v>6872</v>
      </c>
      <c r="B3253" s="8" t="s">
        <v>5214</v>
      </c>
      <c r="C3253" s="8" t="s">
        <v>5215</v>
      </c>
      <c r="D3253" s="8" t="s">
        <v>335</v>
      </c>
      <c r="E3253" s="8" t="s">
        <v>239</v>
      </c>
    </row>
    <row r="3254" spans="1:5">
      <c r="A3254" s="8">
        <v>6873</v>
      </c>
      <c r="B3254" s="8" t="s">
        <v>320</v>
      </c>
      <c r="C3254" s="8" t="s">
        <v>54</v>
      </c>
      <c r="D3254" s="8" t="s">
        <v>54</v>
      </c>
      <c r="E3254" s="8" t="s">
        <v>40</v>
      </c>
    </row>
    <row r="3255" spans="1:5">
      <c r="A3255" s="8">
        <v>6874</v>
      </c>
      <c r="B3255" s="8" t="s">
        <v>5216</v>
      </c>
      <c r="C3255" s="8" t="s">
        <v>5217</v>
      </c>
      <c r="D3255" s="8" t="s">
        <v>5218</v>
      </c>
      <c r="E3255" s="8" t="s">
        <v>1835</v>
      </c>
    </row>
    <row r="3256" spans="1:5">
      <c r="A3256" s="8">
        <v>6875</v>
      </c>
      <c r="B3256" s="8" t="s">
        <v>5219</v>
      </c>
      <c r="C3256" s="8" t="s">
        <v>508</v>
      </c>
      <c r="D3256" s="8" t="s">
        <v>238</v>
      </c>
      <c r="E3256" s="8" t="s">
        <v>239</v>
      </c>
    </row>
    <row r="3257" spans="1:5">
      <c r="A3257" s="8">
        <v>6877</v>
      </c>
      <c r="B3257" s="8" t="s">
        <v>2151</v>
      </c>
      <c r="C3257" s="8" t="s">
        <v>681</v>
      </c>
      <c r="D3257" s="8" t="s">
        <v>39</v>
      </c>
      <c r="E3257" s="8" t="s">
        <v>40</v>
      </c>
    </row>
    <row r="3258" spans="1:5">
      <c r="A3258" s="8">
        <v>6878</v>
      </c>
      <c r="B3258" s="8" t="s">
        <v>5220</v>
      </c>
      <c r="C3258" s="8" t="s">
        <v>1403</v>
      </c>
      <c r="D3258" s="8" t="s">
        <v>238</v>
      </c>
      <c r="E3258" s="8" t="s">
        <v>239</v>
      </c>
    </row>
    <row r="3259" spans="1:5">
      <c r="A3259" s="8">
        <v>6880</v>
      </c>
      <c r="B3259" s="8" t="s">
        <v>5221</v>
      </c>
      <c r="C3259" s="8" t="s">
        <v>5222</v>
      </c>
      <c r="D3259" s="8" t="s">
        <v>54</v>
      </c>
      <c r="E3259" s="8" t="s">
        <v>40</v>
      </c>
    </row>
    <row r="3260" spans="1:5">
      <c r="A3260" s="8">
        <v>6881</v>
      </c>
      <c r="B3260" s="8" t="s">
        <v>5223</v>
      </c>
      <c r="C3260" s="8" t="s">
        <v>1205</v>
      </c>
      <c r="D3260" s="8" t="s">
        <v>238</v>
      </c>
      <c r="E3260" s="8" t="s">
        <v>239</v>
      </c>
    </row>
    <row r="3261" spans="1:5">
      <c r="A3261" s="8">
        <v>6882</v>
      </c>
      <c r="B3261" s="8" t="s">
        <v>5224</v>
      </c>
      <c r="C3261" s="8" t="s">
        <v>5225</v>
      </c>
      <c r="D3261" s="8" t="s">
        <v>159</v>
      </c>
      <c r="E3261" s="8" t="s">
        <v>40</v>
      </c>
    </row>
    <row r="3262" spans="1:5">
      <c r="A3262" s="8">
        <v>6883</v>
      </c>
      <c r="B3262" s="8" t="s">
        <v>5226</v>
      </c>
      <c r="C3262" s="8" t="s">
        <v>4040</v>
      </c>
      <c r="D3262" s="8" t="s">
        <v>43</v>
      </c>
      <c r="E3262" s="8" t="s">
        <v>40</v>
      </c>
    </row>
    <row r="3263" spans="1:5">
      <c r="A3263" s="8">
        <v>6884</v>
      </c>
      <c r="B3263" s="8" t="s">
        <v>5227</v>
      </c>
      <c r="C3263" s="8" t="s">
        <v>5228</v>
      </c>
      <c r="D3263" s="8" t="s">
        <v>43</v>
      </c>
      <c r="E3263" s="8" t="s">
        <v>40</v>
      </c>
    </row>
    <row r="3264" spans="1:5">
      <c r="A3264" s="8">
        <v>6885</v>
      </c>
      <c r="B3264" s="8" t="s">
        <v>5229</v>
      </c>
      <c r="C3264" s="8" t="s">
        <v>858</v>
      </c>
      <c r="D3264" s="8" t="s">
        <v>43</v>
      </c>
      <c r="E3264" s="8" t="s">
        <v>40</v>
      </c>
    </row>
    <row r="3265" spans="1:5">
      <c r="A3265" s="8">
        <v>6886</v>
      </c>
      <c r="B3265" s="8" t="s">
        <v>5230</v>
      </c>
      <c r="C3265" s="8" t="s">
        <v>5231</v>
      </c>
      <c r="D3265" s="8" t="s">
        <v>691</v>
      </c>
      <c r="E3265" s="8" t="s">
        <v>40</v>
      </c>
    </row>
    <row r="3266" spans="1:5">
      <c r="A3266" s="8">
        <v>6887</v>
      </c>
      <c r="B3266" s="8" t="s">
        <v>5232</v>
      </c>
      <c r="C3266" s="8" t="s">
        <v>4188</v>
      </c>
      <c r="D3266" s="8" t="s">
        <v>630</v>
      </c>
      <c r="E3266" s="8" t="s">
        <v>40</v>
      </c>
    </row>
    <row r="3267" spans="1:5">
      <c r="A3267" s="8">
        <v>6888</v>
      </c>
      <c r="B3267" s="8" t="s">
        <v>5233</v>
      </c>
      <c r="C3267" s="8" t="s">
        <v>5234</v>
      </c>
      <c r="D3267" s="8" t="s">
        <v>429</v>
      </c>
      <c r="E3267" s="8" t="s">
        <v>40</v>
      </c>
    </row>
    <row r="3268" spans="1:5">
      <c r="A3268" s="8">
        <v>6889</v>
      </c>
      <c r="B3268" s="8" t="s">
        <v>5235</v>
      </c>
      <c r="C3268" s="8" t="s">
        <v>4046</v>
      </c>
      <c r="D3268" s="8" t="s">
        <v>213</v>
      </c>
      <c r="E3268" s="8" t="s">
        <v>40</v>
      </c>
    </row>
    <row r="3269" spans="1:5">
      <c r="A3269" s="8">
        <v>6891</v>
      </c>
      <c r="B3269" s="8" t="s">
        <v>5236</v>
      </c>
      <c r="C3269" s="8" t="s">
        <v>5237</v>
      </c>
      <c r="D3269" s="8" t="s">
        <v>69</v>
      </c>
      <c r="E3269" s="8" t="s">
        <v>40</v>
      </c>
    </row>
    <row r="3270" spans="1:5">
      <c r="A3270" s="8">
        <v>6892</v>
      </c>
      <c r="B3270" s="8" t="s">
        <v>5238</v>
      </c>
      <c r="C3270" s="8" t="s">
        <v>5239</v>
      </c>
      <c r="D3270" s="8" t="s">
        <v>54</v>
      </c>
      <c r="E3270" s="8" t="s">
        <v>40</v>
      </c>
    </row>
    <row r="3271" spans="1:5">
      <c r="A3271" s="8">
        <v>6893</v>
      </c>
      <c r="B3271" s="8" t="s">
        <v>5240</v>
      </c>
      <c r="C3271" s="8" t="s">
        <v>5241</v>
      </c>
      <c r="D3271" s="8" t="s">
        <v>438</v>
      </c>
      <c r="E3271" s="8" t="s">
        <v>40</v>
      </c>
    </row>
    <row r="3272" spans="1:5">
      <c r="A3272" s="8">
        <v>6894</v>
      </c>
      <c r="B3272" s="8" t="s">
        <v>5242</v>
      </c>
      <c r="C3272" s="8" t="s">
        <v>127</v>
      </c>
      <c r="D3272" s="8" t="s">
        <v>429</v>
      </c>
      <c r="E3272" s="8" t="s">
        <v>40</v>
      </c>
    </row>
    <row r="3273" spans="1:5">
      <c r="A3273" s="8">
        <v>6895</v>
      </c>
      <c r="B3273" s="8" t="s">
        <v>5243</v>
      </c>
      <c r="C3273" s="8" t="s">
        <v>797</v>
      </c>
      <c r="D3273" s="8" t="s">
        <v>181</v>
      </c>
      <c r="E3273" s="8" t="s">
        <v>40</v>
      </c>
    </row>
    <row r="3274" spans="1:5">
      <c r="A3274" s="8">
        <v>6896</v>
      </c>
      <c r="B3274" s="8" t="s">
        <v>5244</v>
      </c>
      <c r="C3274" s="8" t="s">
        <v>5245</v>
      </c>
      <c r="D3274" s="8" t="s">
        <v>3261</v>
      </c>
      <c r="E3274" s="8" t="s">
        <v>1461</v>
      </c>
    </row>
    <row r="3275" spans="1:5">
      <c r="A3275" s="8">
        <v>6897</v>
      </c>
      <c r="B3275" s="8" t="s">
        <v>5246</v>
      </c>
      <c r="C3275" s="8" t="s">
        <v>5247</v>
      </c>
      <c r="D3275" s="8" t="s">
        <v>48</v>
      </c>
      <c r="E3275" s="8" t="s">
        <v>40</v>
      </c>
    </row>
    <row r="3276" spans="1:5">
      <c r="A3276" s="8">
        <v>6898</v>
      </c>
      <c r="B3276" s="8" t="s">
        <v>5248</v>
      </c>
      <c r="C3276" s="8" t="s">
        <v>3732</v>
      </c>
      <c r="D3276" s="8" t="s">
        <v>164</v>
      </c>
      <c r="E3276" s="8" t="s">
        <v>40</v>
      </c>
    </row>
    <row r="3277" spans="1:5">
      <c r="A3277" s="8">
        <v>6899</v>
      </c>
      <c r="B3277" s="8" t="s">
        <v>5249</v>
      </c>
      <c r="C3277" s="8" t="s">
        <v>1058</v>
      </c>
      <c r="D3277" s="8" t="s">
        <v>429</v>
      </c>
      <c r="E3277" s="8" t="s">
        <v>40</v>
      </c>
    </row>
    <row r="3278" spans="1:5">
      <c r="A3278" s="8">
        <v>6900</v>
      </c>
      <c r="B3278" s="8" t="s">
        <v>5250</v>
      </c>
      <c r="C3278" s="8" t="s">
        <v>5251</v>
      </c>
      <c r="D3278" s="8" t="s">
        <v>69</v>
      </c>
      <c r="E3278" s="8" t="s">
        <v>40</v>
      </c>
    </row>
    <row r="3279" spans="1:5">
      <c r="A3279" s="8">
        <v>6901</v>
      </c>
      <c r="B3279" s="8" t="s">
        <v>5252</v>
      </c>
      <c r="C3279" s="8" t="s">
        <v>5253</v>
      </c>
      <c r="D3279" s="8" t="s">
        <v>164</v>
      </c>
      <c r="E3279" s="8" t="s">
        <v>40</v>
      </c>
    </row>
    <row r="3280" spans="1:5">
      <c r="A3280" s="8">
        <v>6902</v>
      </c>
      <c r="B3280" s="8" t="s">
        <v>5254</v>
      </c>
      <c r="C3280" s="8" t="s">
        <v>5255</v>
      </c>
      <c r="D3280" s="8" t="s">
        <v>5256</v>
      </c>
      <c r="E3280" s="8" t="s">
        <v>409</v>
      </c>
    </row>
    <row r="3281" spans="1:5">
      <c r="A3281" s="8">
        <v>6904</v>
      </c>
      <c r="B3281" s="8" t="s">
        <v>5257</v>
      </c>
      <c r="C3281" s="8" t="s">
        <v>523</v>
      </c>
      <c r="D3281" s="8" t="s">
        <v>43</v>
      </c>
      <c r="E3281" s="8" t="s">
        <v>40</v>
      </c>
    </row>
    <row r="3282" spans="1:5">
      <c r="A3282" s="8">
        <v>6905</v>
      </c>
      <c r="B3282" s="8" t="s">
        <v>5258</v>
      </c>
      <c r="C3282" s="8" t="s">
        <v>3229</v>
      </c>
      <c r="D3282" s="8" t="s">
        <v>630</v>
      </c>
      <c r="E3282" s="8" t="s">
        <v>40</v>
      </c>
    </row>
    <row r="3283" spans="1:5">
      <c r="A3283" s="8">
        <v>6906</v>
      </c>
      <c r="B3283" s="8" t="s">
        <v>5259</v>
      </c>
      <c r="C3283" s="8" t="s">
        <v>143</v>
      </c>
      <c r="D3283" s="8" t="s">
        <v>121</v>
      </c>
      <c r="E3283" s="8" t="s">
        <v>40</v>
      </c>
    </row>
    <row r="3284" spans="1:5">
      <c r="A3284" s="8">
        <v>6907</v>
      </c>
      <c r="B3284" s="8" t="s">
        <v>5260</v>
      </c>
      <c r="C3284" s="8" t="s">
        <v>3821</v>
      </c>
      <c r="D3284" s="8" t="s">
        <v>3821</v>
      </c>
      <c r="E3284" s="8" t="s">
        <v>3670</v>
      </c>
    </row>
    <row r="3285" spans="1:5">
      <c r="A3285" s="8">
        <v>6908</v>
      </c>
      <c r="B3285" s="8" t="s">
        <v>5261</v>
      </c>
      <c r="C3285" s="8" t="s">
        <v>2233</v>
      </c>
      <c r="D3285" s="8" t="s">
        <v>429</v>
      </c>
      <c r="E3285" s="8" t="s">
        <v>40</v>
      </c>
    </row>
    <row r="3286" spans="1:5">
      <c r="A3286" s="8">
        <v>6909</v>
      </c>
      <c r="B3286" s="8" t="s">
        <v>5262</v>
      </c>
      <c r="C3286" s="8" t="s">
        <v>5263</v>
      </c>
      <c r="D3286" s="8" t="s">
        <v>5263</v>
      </c>
      <c r="E3286" s="8" t="s">
        <v>4009</v>
      </c>
    </row>
    <row r="3287" spans="1:5">
      <c r="A3287" s="8">
        <v>6910</v>
      </c>
      <c r="B3287" s="8" t="s">
        <v>5264</v>
      </c>
      <c r="C3287" s="8" t="s">
        <v>5265</v>
      </c>
      <c r="D3287" s="8" t="s">
        <v>630</v>
      </c>
      <c r="E3287" s="8" t="s">
        <v>40</v>
      </c>
    </row>
    <row r="3288" spans="1:5">
      <c r="A3288" s="8">
        <v>6911</v>
      </c>
      <c r="B3288" s="8" t="s">
        <v>5266</v>
      </c>
      <c r="C3288" s="8" t="s">
        <v>5267</v>
      </c>
      <c r="D3288" s="8" t="s">
        <v>54</v>
      </c>
      <c r="E3288" s="8" t="s">
        <v>40</v>
      </c>
    </row>
    <row r="3289" spans="1:5">
      <c r="A3289" s="8">
        <v>6912</v>
      </c>
      <c r="B3289" s="8" t="s">
        <v>5268</v>
      </c>
      <c r="C3289" s="8" t="s">
        <v>1319</v>
      </c>
      <c r="D3289" s="8" t="s">
        <v>1221</v>
      </c>
      <c r="E3289" s="8" t="s">
        <v>40</v>
      </c>
    </row>
    <row r="3290" spans="1:5">
      <c r="A3290" s="8">
        <v>6913</v>
      </c>
      <c r="B3290" s="8" t="s">
        <v>5269</v>
      </c>
      <c r="C3290" s="8" t="s">
        <v>5270</v>
      </c>
      <c r="D3290" s="8" t="s">
        <v>132</v>
      </c>
      <c r="E3290" s="8" t="s">
        <v>40</v>
      </c>
    </row>
    <row r="3291" spans="1:5">
      <c r="A3291" s="8">
        <v>6914</v>
      </c>
      <c r="B3291" s="8" t="s">
        <v>5271</v>
      </c>
      <c r="C3291" s="8" t="s">
        <v>5272</v>
      </c>
      <c r="D3291" s="8" t="s">
        <v>39</v>
      </c>
      <c r="E3291" s="8" t="s">
        <v>40</v>
      </c>
    </row>
    <row r="3292" spans="1:5">
      <c r="A3292" s="8">
        <v>6915</v>
      </c>
      <c r="B3292" s="8" t="s">
        <v>4469</v>
      </c>
      <c r="C3292" s="8" t="s">
        <v>5018</v>
      </c>
      <c r="D3292" s="8" t="s">
        <v>43</v>
      </c>
      <c r="E3292" s="8" t="s">
        <v>40</v>
      </c>
    </row>
    <row r="3293" spans="1:5">
      <c r="A3293" s="8">
        <v>6916</v>
      </c>
      <c r="B3293" s="8" t="s">
        <v>5273</v>
      </c>
      <c r="C3293" s="8" t="s">
        <v>563</v>
      </c>
      <c r="D3293" s="8" t="s">
        <v>81</v>
      </c>
      <c r="E3293" s="8" t="s">
        <v>40</v>
      </c>
    </row>
    <row r="3294" spans="1:5">
      <c r="A3294" s="8">
        <v>6917</v>
      </c>
      <c r="B3294" s="8" t="s">
        <v>5274</v>
      </c>
      <c r="C3294" s="8" t="s">
        <v>5275</v>
      </c>
      <c r="D3294" s="8" t="s">
        <v>238</v>
      </c>
      <c r="E3294" s="8" t="s">
        <v>239</v>
      </c>
    </row>
    <row r="3295" spans="1:5">
      <c r="A3295" s="8">
        <v>6918</v>
      </c>
      <c r="B3295" s="8" t="s">
        <v>5276</v>
      </c>
      <c r="C3295" s="8" t="s">
        <v>5277</v>
      </c>
      <c r="D3295" s="8" t="s">
        <v>43</v>
      </c>
      <c r="E3295" s="8" t="s">
        <v>40</v>
      </c>
    </row>
    <row r="3296" spans="1:5">
      <c r="A3296" s="8">
        <v>6919</v>
      </c>
      <c r="B3296" s="8" t="s">
        <v>5278</v>
      </c>
      <c r="C3296" s="8" t="s">
        <v>707</v>
      </c>
      <c r="D3296" s="8" t="s">
        <v>630</v>
      </c>
      <c r="E3296" s="8" t="s">
        <v>40</v>
      </c>
    </row>
    <row r="3297" spans="1:5">
      <c r="A3297" s="8">
        <v>6920</v>
      </c>
      <c r="B3297" s="8" t="s">
        <v>5279</v>
      </c>
      <c r="C3297" s="8" t="s">
        <v>2995</v>
      </c>
      <c r="D3297" s="8" t="s">
        <v>2996</v>
      </c>
      <c r="E3297" s="8" t="s">
        <v>2997</v>
      </c>
    </row>
    <row r="3298" spans="1:5">
      <c r="A3298" s="8">
        <v>6921</v>
      </c>
      <c r="B3298" s="8" t="s">
        <v>5280</v>
      </c>
      <c r="C3298" s="8" t="s">
        <v>3231</v>
      </c>
      <c r="D3298" s="8" t="s">
        <v>48</v>
      </c>
      <c r="E3298" s="8" t="s">
        <v>40</v>
      </c>
    </row>
    <row r="3299" spans="1:5">
      <c r="A3299" s="8">
        <v>6922</v>
      </c>
      <c r="B3299" s="8" t="s">
        <v>5281</v>
      </c>
      <c r="C3299" s="8" t="s">
        <v>5282</v>
      </c>
      <c r="D3299" s="8" t="s">
        <v>92</v>
      </c>
      <c r="E3299" s="8" t="s">
        <v>40</v>
      </c>
    </row>
    <row r="3300" spans="1:5">
      <c r="A3300" s="8">
        <v>6923</v>
      </c>
      <c r="B3300" s="8" t="s">
        <v>5283</v>
      </c>
      <c r="C3300" s="8" t="s">
        <v>5284</v>
      </c>
      <c r="D3300" s="8" t="s">
        <v>1226</v>
      </c>
      <c r="E3300" s="8" t="s">
        <v>40</v>
      </c>
    </row>
    <row r="3301" spans="1:5">
      <c r="A3301" s="8">
        <v>6925</v>
      </c>
      <c r="B3301" s="8" t="s">
        <v>5285</v>
      </c>
      <c r="C3301" s="8" t="s">
        <v>5286</v>
      </c>
      <c r="D3301" s="8" t="s">
        <v>630</v>
      </c>
      <c r="E3301" s="8" t="s">
        <v>40</v>
      </c>
    </row>
    <row r="3302" spans="1:5">
      <c r="A3302" s="8">
        <v>6926</v>
      </c>
      <c r="B3302" s="8" t="s">
        <v>5287</v>
      </c>
      <c r="C3302" s="8" t="s">
        <v>1093</v>
      </c>
      <c r="D3302" s="8" t="s">
        <v>43</v>
      </c>
      <c r="E3302" s="8" t="s">
        <v>40</v>
      </c>
    </row>
    <row r="3303" spans="1:5">
      <c r="A3303" s="8">
        <v>6927</v>
      </c>
      <c r="B3303" s="8" t="s">
        <v>5288</v>
      </c>
      <c r="C3303" s="8" t="s">
        <v>563</v>
      </c>
      <c r="D3303" s="8" t="s">
        <v>81</v>
      </c>
      <c r="E3303" s="8" t="s">
        <v>40</v>
      </c>
    </row>
    <row r="3304" spans="1:5">
      <c r="A3304" s="8">
        <v>6928</v>
      </c>
      <c r="B3304" s="8" t="s">
        <v>5289</v>
      </c>
      <c r="C3304" s="8" t="s">
        <v>4575</v>
      </c>
      <c r="D3304" s="8" t="s">
        <v>490</v>
      </c>
      <c r="E3304" s="8" t="s">
        <v>40</v>
      </c>
    </row>
    <row r="3305" spans="1:5">
      <c r="A3305" s="8">
        <v>6929</v>
      </c>
      <c r="B3305" s="8" t="s">
        <v>5290</v>
      </c>
      <c r="C3305" s="8" t="s">
        <v>5291</v>
      </c>
      <c r="D3305" s="8" t="s">
        <v>335</v>
      </c>
      <c r="E3305" s="8" t="s">
        <v>239</v>
      </c>
    </row>
    <row r="3306" spans="1:5">
      <c r="A3306" s="8">
        <v>6931</v>
      </c>
      <c r="B3306" s="8" t="s">
        <v>5292</v>
      </c>
      <c r="C3306" s="8" t="s">
        <v>736</v>
      </c>
      <c r="D3306" s="8" t="s">
        <v>92</v>
      </c>
      <c r="E3306" s="8" t="s">
        <v>40</v>
      </c>
    </row>
    <row r="3307" spans="1:5">
      <c r="A3307" s="8">
        <v>6932</v>
      </c>
      <c r="B3307" s="8" t="s">
        <v>5293</v>
      </c>
      <c r="C3307" s="8" t="s">
        <v>5294</v>
      </c>
      <c r="D3307" s="8" t="s">
        <v>429</v>
      </c>
      <c r="E3307" s="8" t="s">
        <v>40</v>
      </c>
    </row>
    <row r="3308" spans="1:5">
      <c r="A3308" s="8">
        <v>6933</v>
      </c>
      <c r="B3308" s="8" t="s">
        <v>5295</v>
      </c>
      <c r="C3308" s="8" t="s">
        <v>5296</v>
      </c>
      <c r="D3308" s="8" t="s">
        <v>137</v>
      </c>
      <c r="E3308" s="8" t="s">
        <v>40</v>
      </c>
    </row>
    <row r="3309" spans="1:5">
      <c r="A3309" s="8">
        <v>6934</v>
      </c>
      <c r="B3309" s="8" t="s">
        <v>5297</v>
      </c>
      <c r="C3309" s="8" t="s">
        <v>3195</v>
      </c>
      <c r="D3309" s="8" t="s">
        <v>43</v>
      </c>
      <c r="E3309" s="8" t="s">
        <v>40</v>
      </c>
    </row>
    <row r="3310" spans="1:5">
      <c r="A3310" s="8">
        <v>6935</v>
      </c>
      <c r="B3310" s="8" t="s">
        <v>5298</v>
      </c>
      <c r="C3310" s="8" t="s">
        <v>5299</v>
      </c>
      <c r="D3310" s="8" t="s">
        <v>164</v>
      </c>
      <c r="E3310" s="8" t="s">
        <v>40</v>
      </c>
    </row>
    <row r="3311" spans="1:5">
      <c r="A3311" s="8">
        <v>6936</v>
      </c>
      <c r="B3311" s="8" t="s">
        <v>5300</v>
      </c>
      <c r="C3311" s="8" t="s">
        <v>2003</v>
      </c>
      <c r="D3311" s="8" t="s">
        <v>81</v>
      </c>
      <c r="E3311" s="8" t="s">
        <v>40</v>
      </c>
    </row>
    <row r="3312" spans="1:5">
      <c r="A3312" s="8">
        <v>6937</v>
      </c>
      <c r="B3312" s="8" t="s">
        <v>5301</v>
      </c>
      <c r="C3312" s="8" t="s">
        <v>3336</v>
      </c>
      <c r="D3312" s="8" t="s">
        <v>490</v>
      </c>
      <c r="E3312" s="8" t="s">
        <v>40</v>
      </c>
    </row>
    <row r="3313" spans="1:5">
      <c r="A3313" s="8">
        <v>6938</v>
      </c>
      <c r="B3313" s="8" t="s">
        <v>5302</v>
      </c>
      <c r="C3313" s="8" t="s">
        <v>523</v>
      </c>
      <c r="D3313" s="8" t="s">
        <v>43</v>
      </c>
      <c r="E3313" s="8" t="s">
        <v>40</v>
      </c>
    </row>
    <row r="3314" spans="1:5">
      <c r="A3314" s="8">
        <v>6939</v>
      </c>
      <c r="B3314" s="8" t="s">
        <v>5303</v>
      </c>
      <c r="C3314" s="8" t="s">
        <v>3754</v>
      </c>
      <c r="D3314" s="8" t="s">
        <v>3755</v>
      </c>
      <c r="E3314" s="8" t="s">
        <v>3670</v>
      </c>
    </row>
    <row r="3315" spans="1:5">
      <c r="A3315" s="8">
        <v>6940</v>
      </c>
      <c r="B3315" s="8" t="s">
        <v>5304</v>
      </c>
      <c r="C3315" s="8" t="s">
        <v>3821</v>
      </c>
      <c r="D3315" s="8" t="s">
        <v>3821</v>
      </c>
      <c r="E3315" s="8" t="s">
        <v>3670</v>
      </c>
    </row>
    <row r="3316" spans="1:5">
      <c r="A3316" s="8">
        <v>6941</v>
      </c>
      <c r="B3316" s="8" t="s">
        <v>5305</v>
      </c>
      <c r="C3316" s="8" t="s">
        <v>3821</v>
      </c>
      <c r="D3316" s="8" t="s">
        <v>3821</v>
      </c>
      <c r="E3316" s="8" t="s">
        <v>3670</v>
      </c>
    </row>
    <row r="3317" spans="1:5">
      <c r="A3317" s="8">
        <v>6943</v>
      </c>
      <c r="B3317" s="8" t="s">
        <v>5306</v>
      </c>
      <c r="C3317" s="8" t="s">
        <v>591</v>
      </c>
      <c r="D3317" s="8" t="s">
        <v>48</v>
      </c>
      <c r="E3317" s="8" t="s">
        <v>40</v>
      </c>
    </row>
    <row r="3318" spans="1:5">
      <c r="A3318" s="8">
        <v>6944</v>
      </c>
      <c r="B3318" s="8" t="s">
        <v>1170</v>
      </c>
      <c r="C3318" s="8" t="s">
        <v>1163</v>
      </c>
      <c r="D3318" s="8" t="s">
        <v>630</v>
      </c>
      <c r="E3318" s="8" t="s">
        <v>40</v>
      </c>
    </row>
    <row r="3319" spans="1:5">
      <c r="A3319" s="8">
        <v>6945</v>
      </c>
      <c r="B3319" s="8" t="s">
        <v>5307</v>
      </c>
      <c r="C3319" s="8" t="s">
        <v>5308</v>
      </c>
      <c r="D3319" s="8" t="s">
        <v>48</v>
      </c>
      <c r="E3319" s="8" t="s">
        <v>40</v>
      </c>
    </row>
    <row r="3320" spans="1:5">
      <c r="A3320" s="8">
        <v>6946</v>
      </c>
      <c r="B3320" s="8" t="s">
        <v>5309</v>
      </c>
      <c r="C3320" s="8" t="s">
        <v>3743</v>
      </c>
      <c r="D3320" s="8" t="s">
        <v>3744</v>
      </c>
      <c r="E3320" s="8" t="s">
        <v>3670</v>
      </c>
    </row>
    <row r="3321" spans="1:5">
      <c r="A3321" s="8">
        <v>6947</v>
      </c>
      <c r="B3321" s="8" t="s">
        <v>5310</v>
      </c>
      <c r="C3321" s="8" t="s">
        <v>2836</v>
      </c>
      <c r="D3321" s="8" t="s">
        <v>2836</v>
      </c>
      <c r="E3321" s="8" t="s">
        <v>2837</v>
      </c>
    </row>
    <row r="3322" spans="1:5">
      <c r="A3322" s="8">
        <v>6948</v>
      </c>
      <c r="B3322" s="8" t="s">
        <v>5311</v>
      </c>
      <c r="C3322" s="8" t="s">
        <v>5312</v>
      </c>
      <c r="D3322" s="8" t="s">
        <v>1834</v>
      </c>
      <c r="E3322" s="8" t="s">
        <v>1835</v>
      </c>
    </row>
    <row r="3323" spans="1:5">
      <c r="A3323" s="8">
        <v>6949</v>
      </c>
      <c r="B3323" s="8" t="s">
        <v>5313</v>
      </c>
      <c r="C3323" s="8" t="s">
        <v>4125</v>
      </c>
      <c r="D3323" s="8" t="s">
        <v>4126</v>
      </c>
      <c r="E3323" s="8" t="s">
        <v>3670</v>
      </c>
    </row>
    <row r="3324" spans="1:5">
      <c r="A3324" s="8">
        <v>6950</v>
      </c>
      <c r="B3324" s="8" t="s">
        <v>5314</v>
      </c>
      <c r="C3324" s="8" t="s">
        <v>233</v>
      </c>
      <c r="D3324" s="8" t="s">
        <v>213</v>
      </c>
      <c r="E3324" s="8" t="s">
        <v>40</v>
      </c>
    </row>
    <row r="3325" spans="1:5">
      <c r="A3325" s="8">
        <v>6951</v>
      </c>
      <c r="B3325" s="8" t="s">
        <v>3403</v>
      </c>
      <c r="C3325" s="8" t="s">
        <v>5315</v>
      </c>
      <c r="D3325" s="8" t="s">
        <v>164</v>
      </c>
      <c r="E3325" s="8" t="s">
        <v>40</v>
      </c>
    </row>
    <row r="3326" spans="1:5">
      <c r="A3326" s="8">
        <v>6952</v>
      </c>
      <c r="B3326" s="8" t="s">
        <v>5316</v>
      </c>
      <c r="C3326" s="8" t="s">
        <v>3754</v>
      </c>
      <c r="D3326" s="8" t="s">
        <v>3755</v>
      </c>
      <c r="E3326" s="8" t="s">
        <v>3670</v>
      </c>
    </row>
    <row r="3327" spans="1:5">
      <c r="A3327" s="8">
        <v>6953</v>
      </c>
      <c r="B3327" s="8" t="s">
        <v>5317</v>
      </c>
      <c r="C3327" s="8" t="s">
        <v>5215</v>
      </c>
      <c r="D3327" s="8" t="s">
        <v>335</v>
      </c>
      <c r="E3327" s="8" t="s">
        <v>239</v>
      </c>
    </row>
    <row r="3328" spans="1:5">
      <c r="A3328" s="8">
        <v>6954</v>
      </c>
      <c r="B3328" s="8" t="s">
        <v>5318</v>
      </c>
      <c r="C3328" s="8" t="s">
        <v>841</v>
      </c>
      <c r="D3328" s="8" t="s">
        <v>39</v>
      </c>
      <c r="E3328" s="8" t="s">
        <v>40</v>
      </c>
    </row>
    <row r="3329" spans="1:5">
      <c r="A3329" s="8">
        <v>6955</v>
      </c>
      <c r="B3329" s="8" t="s">
        <v>5319</v>
      </c>
      <c r="C3329" s="8" t="s">
        <v>1638</v>
      </c>
      <c r="D3329" s="8" t="s">
        <v>1639</v>
      </c>
      <c r="E3329" s="8" t="s">
        <v>1640</v>
      </c>
    </row>
    <row r="3330" spans="1:5">
      <c r="A3330" s="8">
        <v>6956</v>
      </c>
      <c r="B3330" s="8" t="s">
        <v>5320</v>
      </c>
      <c r="C3330" s="8" t="s">
        <v>5321</v>
      </c>
      <c r="D3330" s="8" t="s">
        <v>79</v>
      </c>
      <c r="E3330" s="8" t="s">
        <v>40</v>
      </c>
    </row>
    <row r="3331" spans="1:5">
      <c r="A3331" s="8">
        <v>6957</v>
      </c>
      <c r="B3331" s="8" t="s">
        <v>5322</v>
      </c>
      <c r="C3331" s="8" t="s">
        <v>2865</v>
      </c>
      <c r="D3331" s="8" t="s">
        <v>726</v>
      </c>
      <c r="E3331" s="8" t="s">
        <v>40</v>
      </c>
    </row>
    <row r="3332" spans="1:5">
      <c r="A3332" s="8">
        <v>6958</v>
      </c>
      <c r="B3332" s="8" t="s">
        <v>2831</v>
      </c>
      <c r="C3332" s="8" t="s">
        <v>76</v>
      </c>
      <c r="D3332" s="8" t="s">
        <v>39</v>
      </c>
      <c r="E3332" s="8" t="s">
        <v>40</v>
      </c>
    </row>
    <row r="3333" spans="1:5">
      <c r="A3333" s="8">
        <v>6959</v>
      </c>
      <c r="B3333" s="8" t="s">
        <v>5323</v>
      </c>
      <c r="C3333" s="8" t="s">
        <v>5324</v>
      </c>
      <c r="D3333" s="8" t="s">
        <v>264</v>
      </c>
      <c r="E3333" s="8" t="s">
        <v>40</v>
      </c>
    </row>
    <row r="3334" spans="1:5">
      <c r="A3334" s="8">
        <v>6960</v>
      </c>
      <c r="B3334" s="8" t="s">
        <v>5325</v>
      </c>
      <c r="C3334" s="8" t="s">
        <v>1572</v>
      </c>
      <c r="D3334" s="8" t="s">
        <v>43</v>
      </c>
      <c r="E3334" s="8" t="s">
        <v>40</v>
      </c>
    </row>
    <row r="3335" spans="1:5">
      <c r="A3335" s="8">
        <v>6961</v>
      </c>
      <c r="B3335" s="8" t="s">
        <v>5326</v>
      </c>
      <c r="C3335" s="8" t="s">
        <v>5327</v>
      </c>
      <c r="D3335" s="8" t="s">
        <v>319</v>
      </c>
      <c r="E3335" s="8" t="s">
        <v>40</v>
      </c>
    </row>
    <row r="3336" spans="1:5">
      <c r="A3336" s="8">
        <v>6962</v>
      </c>
      <c r="B3336" s="8" t="s">
        <v>5328</v>
      </c>
      <c r="C3336" s="8" t="s">
        <v>713</v>
      </c>
      <c r="D3336" s="8" t="s">
        <v>43</v>
      </c>
      <c r="E3336" s="8" t="s">
        <v>40</v>
      </c>
    </row>
    <row r="3337" spans="1:5">
      <c r="A3337" s="8">
        <v>6963</v>
      </c>
      <c r="B3337" s="8" t="s">
        <v>5329</v>
      </c>
      <c r="C3337" s="8" t="s">
        <v>5330</v>
      </c>
      <c r="D3337" s="8" t="s">
        <v>39</v>
      </c>
      <c r="E3337" s="8" t="s">
        <v>40</v>
      </c>
    </row>
    <row r="3338" spans="1:5">
      <c r="A3338" s="8">
        <v>6964</v>
      </c>
      <c r="B3338" s="8" t="s">
        <v>5331</v>
      </c>
      <c r="C3338" s="8" t="s">
        <v>563</v>
      </c>
      <c r="D3338" s="8" t="s">
        <v>81</v>
      </c>
      <c r="E3338" s="8" t="s">
        <v>40</v>
      </c>
    </row>
    <row r="3339" spans="1:5">
      <c r="A3339" s="8">
        <v>6965</v>
      </c>
      <c r="B3339" s="8" t="s">
        <v>5332</v>
      </c>
      <c r="C3339" s="8" t="s">
        <v>5333</v>
      </c>
      <c r="D3339" s="8" t="s">
        <v>5334</v>
      </c>
      <c r="E3339" s="8" t="s">
        <v>1461</v>
      </c>
    </row>
    <row r="3340" spans="1:5">
      <c r="A3340" s="8">
        <v>6966</v>
      </c>
      <c r="B3340" s="8" t="s">
        <v>5335</v>
      </c>
      <c r="C3340" s="8" t="s">
        <v>2019</v>
      </c>
      <c r="D3340" s="8" t="s">
        <v>1461</v>
      </c>
      <c r="E3340" s="8" t="s">
        <v>1461</v>
      </c>
    </row>
    <row r="3341" spans="1:5">
      <c r="A3341" s="8">
        <v>6967</v>
      </c>
      <c r="B3341" s="8" t="s">
        <v>5336</v>
      </c>
      <c r="C3341" s="8" t="s">
        <v>3821</v>
      </c>
      <c r="D3341" s="8" t="s">
        <v>3821</v>
      </c>
      <c r="E3341" s="8" t="s">
        <v>3670</v>
      </c>
    </row>
    <row r="3342" spans="1:5">
      <c r="A3342" s="8">
        <v>6968</v>
      </c>
      <c r="B3342" s="8" t="s">
        <v>5337</v>
      </c>
      <c r="C3342" s="8" t="s">
        <v>2995</v>
      </c>
      <c r="D3342" s="8" t="s">
        <v>2996</v>
      </c>
      <c r="E3342" s="8" t="s">
        <v>2997</v>
      </c>
    </row>
    <row r="3343" spans="1:5">
      <c r="A3343" s="8">
        <v>6969</v>
      </c>
      <c r="B3343" s="8" t="s">
        <v>5338</v>
      </c>
      <c r="C3343" s="8" t="s">
        <v>5339</v>
      </c>
      <c r="D3343" s="8" t="s">
        <v>54</v>
      </c>
      <c r="E3343" s="8" t="s">
        <v>40</v>
      </c>
    </row>
    <row r="3344" spans="1:5">
      <c r="A3344" s="8">
        <v>6970</v>
      </c>
      <c r="B3344" s="8" t="s">
        <v>5340</v>
      </c>
      <c r="C3344" s="8" t="s">
        <v>3907</v>
      </c>
      <c r="D3344" s="8" t="s">
        <v>3908</v>
      </c>
      <c r="E3344" s="8" t="s">
        <v>3670</v>
      </c>
    </row>
    <row r="3345" spans="1:5">
      <c r="A3345" s="8">
        <v>6971</v>
      </c>
      <c r="B3345" s="8" t="s">
        <v>5341</v>
      </c>
      <c r="C3345" s="8" t="s">
        <v>5342</v>
      </c>
      <c r="D3345" s="8" t="s">
        <v>4688</v>
      </c>
      <c r="E3345" s="8" t="s">
        <v>3670</v>
      </c>
    </row>
    <row r="3346" spans="1:5">
      <c r="A3346" s="8">
        <v>6973</v>
      </c>
      <c r="B3346" s="8" t="s">
        <v>5343</v>
      </c>
      <c r="C3346" s="8" t="s">
        <v>5344</v>
      </c>
      <c r="D3346" s="8" t="s">
        <v>5345</v>
      </c>
      <c r="E3346" s="8" t="s">
        <v>5346</v>
      </c>
    </row>
    <row r="3347" spans="1:5">
      <c r="A3347" s="8">
        <v>6974</v>
      </c>
      <c r="B3347" s="8" t="s">
        <v>5347</v>
      </c>
      <c r="C3347" s="8" t="s">
        <v>5348</v>
      </c>
      <c r="D3347" s="8" t="s">
        <v>809</v>
      </c>
      <c r="E3347" s="8" t="s">
        <v>40</v>
      </c>
    </row>
    <row r="3348" spans="1:5">
      <c r="A3348" s="8">
        <v>6975</v>
      </c>
      <c r="B3348" s="8" t="s">
        <v>5349</v>
      </c>
      <c r="C3348" s="8" t="s">
        <v>835</v>
      </c>
      <c r="D3348" s="8" t="s">
        <v>238</v>
      </c>
      <c r="E3348" s="8" t="s">
        <v>239</v>
      </c>
    </row>
    <row r="3349" spans="1:5">
      <c r="A3349" s="8">
        <v>6976</v>
      </c>
      <c r="B3349" s="8" t="s">
        <v>1192</v>
      </c>
      <c r="C3349" s="8" t="s">
        <v>1179</v>
      </c>
      <c r="D3349" s="8" t="s">
        <v>691</v>
      </c>
      <c r="E3349" s="8" t="s">
        <v>40</v>
      </c>
    </row>
    <row r="3350" spans="1:5">
      <c r="A3350" s="8">
        <v>6977</v>
      </c>
      <c r="B3350" s="8" t="s">
        <v>5350</v>
      </c>
      <c r="C3350" s="8" t="s">
        <v>531</v>
      </c>
      <c r="D3350" s="8" t="s">
        <v>238</v>
      </c>
      <c r="E3350" s="8" t="s">
        <v>239</v>
      </c>
    </row>
    <row r="3351" spans="1:5">
      <c r="A3351" s="8">
        <v>6978</v>
      </c>
      <c r="B3351" s="8" t="s">
        <v>5351</v>
      </c>
      <c r="C3351" s="8" t="s">
        <v>5352</v>
      </c>
      <c r="D3351" s="8" t="s">
        <v>238</v>
      </c>
      <c r="E3351" s="8" t="s">
        <v>239</v>
      </c>
    </row>
    <row r="3352" spans="1:5">
      <c r="A3352" s="8">
        <v>6979</v>
      </c>
      <c r="B3352" s="8" t="s">
        <v>5353</v>
      </c>
      <c r="C3352" s="8" t="s">
        <v>5354</v>
      </c>
      <c r="D3352" s="8" t="s">
        <v>964</v>
      </c>
      <c r="E3352" s="8" t="s">
        <v>239</v>
      </c>
    </row>
    <row r="3353" spans="1:5">
      <c r="A3353" s="8">
        <v>6981</v>
      </c>
      <c r="B3353" s="8" t="s">
        <v>5355</v>
      </c>
      <c r="C3353" s="8" t="s">
        <v>981</v>
      </c>
      <c r="D3353" s="8" t="s">
        <v>43</v>
      </c>
      <c r="E3353" s="8" t="s">
        <v>40</v>
      </c>
    </row>
    <row r="3354" spans="1:5">
      <c r="A3354" s="8">
        <v>6982</v>
      </c>
      <c r="B3354" s="8" t="s">
        <v>5356</v>
      </c>
      <c r="C3354" s="8" t="s">
        <v>5357</v>
      </c>
      <c r="D3354" s="8" t="s">
        <v>5357</v>
      </c>
      <c r="E3354" s="8" t="s">
        <v>5358</v>
      </c>
    </row>
    <row r="3355" spans="1:5">
      <c r="A3355" s="8">
        <v>6983</v>
      </c>
      <c r="B3355" s="8" t="s">
        <v>5359</v>
      </c>
      <c r="C3355" s="8" t="s">
        <v>3134</v>
      </c>
      <c r="D3355" s="8" t="s">
        <v>3135</v>
      </c>
      <c r="E3355" s="8" t="s">
        <v>1461</v>
      </c>
    </row>
    <row r="3356" spans="1:5">
      <c r="A3356" s="8">
        <v>6984</v>
      </c>
      <c r="B3356" s="8" t="s">
        <v>5360</v>
      </c>
      <c r="C3356" s="8" t="s">
        <v>4125</v>
      </c>
      <c r="D3356" s="8" t="s">
        <v>4126</v>
      </c>
      <c r="E3356" s="8" t="s">
        <v>3670</v>
      </c>
    </row>
    <row r="3357" spans="1:5">
      <c r="A3357" s="8">
        <v>6985</v>
      </c>
      <c r="B3357" s="8" t="s">
        <v>5361</v>
      </c>
      <c r="C3357" s="8" t="s">
        <v>5362</v>
      </c>
      <c r="D3357" s="8" t="s">
        <v>2789</v>
      </c>
      <c r="E3357" s="8" t="s">
        <v>1835</v>
      </c>
    </row>
    <row r="3358" spans="1:5">
      <c r="A3358" s="8">
        <v>6986</v>
      </c>
      <c r="B3358" s="8" t="s">
        <v>5363</v>
      </c>
      <c r="C3358" s="8" t="s">
        <v>4125</v>
      </c>
      <c r="D3358" s="8" t="s">
        <v>4126</v>
      </c>
      <c r="E3358" s="8" t="s">
        <v>3670</v>
      </c>
    </row>
    <row r="3359" spans="1:5">
      <c r="A3359" s="8">
        <v>6987</v>
      </c>
      <c r="B3359" s="8" t="s">
        <v>5364</v>
      </c>
      <c r="C3359" s="8" t="s">
        <v>5365</v>
      </c>
      <c r="D3359" s="8" t="s">
        <v>238</v>
      </c>
      <c r="E3359" s="8" t="s">
        <v>239</v>
      </c>
    </row>
    <row r="3360" spans="1:5">
      <c r="A3360" s="8">
        <v>6988</v>
      </c>
      <c r="B3360" s="8" t="s">
        <v>5366</v>
      </c>
      <c r="C3360" s="8" t="s">
        <v>4741</v>
      </c>
      <c r="D3360" s="8" t="s">
        <v>4741</v>
      </c>
      <c r="E3360" s="8" t="s">
        <v>1835</v>
      </c>
    </row>
    <row r="3361" spans="1:5">
      <c r="A3361" s="8">
        <v>6989</v>
      </c>
      <c r="B3361" s="8" t="s">
        <v>5367</v>
      </c>
      <c r="C3361" s="8" t="s">
        <v>5368</v>
      </c>
      <c r="D3361" s="8" t="s">
        <v>1834</v>
      </c>
      <c r="E3361" s="8" t="s">
        <v>1835</v>
      </c>
    </row>
    <row r="3362" spans="1:5">
      <c r="A3362" s="8">
        <v>6990</v>
      </c>
      <c r="B3362" s="8" t="s">
        <v>5369</v>
      </c>
      <c r="C3362" s="8" t="s">
        <v>3821</v>
      </c>
      <c r="D3362" s="8" t="s">
        <v>3821</v>
      </c>
      <c r="E3362" s="8" t="s">
        <v>3670</v>
      </c>
    </row>
    <row r="3363" spans="1:5">
      <c r="A3363" s="8">
        <v>6991</v>
      </c>
      <c r="B3363" s="8" t="s">
        <v>5370</v>
      </c>
      <c r="C3363" s="8" t="s">
        <v>3821</v>
      </c>
      <c r="D3363" s="8" t="s">
        <v>3821</v>
      </c>
      <c r="E3363" s="8" t="s">
        <v>3670</v>
      </c>
    </row>
    <row r="3364" spans="1:5">
      <c r="A3364" s="8">
        <v>6992</v>
      </c>
      <c r="B3364" s="8" t="s">
        <v>5371</v>
      </c>
      <c r="C3364" s="8" t="s">
        <v>3433</v>
      </c>
      <c r="D3364" s="8" t="s">
        <v>238</v>
      </c>
      <c r="E3364" s="8" t="s">
        <v>239</v>
      </c>
    </row>
    <row r="3365" spans="1:5">
      <c r="A3365" s="8">
        <v>6993</v>
      </c>
      <c r="B3365" s="8" t="s">
        <v>5372</v>
      </c>
      <c r="C3365" s="8" t="s">
        <v>5373</v>
      </c>
      <c r="D3365" s="8" t="s">
        <v>164</v>
      </c>
      <c r="E3365" s="8" t="s">
        <v>40</v>
      </c>
    </row>
    <row r="3366" spans="1:5">
      <c r="A3366" s="8">
        <v>6995</v>
      </c>
      <c r="B3366" s="8" t="s">
        <v>5374</v>
      </c>
      <c r="C3366" s="8" t="s">
        <v>1785</v>
      </c>
      <c r="D3366" s="8" t="s">
        <v>43</v>
      </c>
      <c r="E3366" s="8" t="s">
        <v>40</v>
      </c>
    </row>
    <row r="3367" spans="1:5">
      <c r="A3367" s="8">
        <v>6996</v>
      </c>
      <c r="B3367" s="8" t="s">
        <v>5375</v>
      </c>
      <c r="C3367" s="8" t="s">
        <v>3044</v>
      </c>
      <c r="D3367" s="8" t="s">
        <v>3045</v>
      </c>
      <c r="E3367" s="8" t="s">
        <v>1995</v>
      </c>
    </row>
    <row r="3368" spans="1:5">
      <c r="A3368" s="8">
        <v>6997</v>
      </c>
      <c r="B3368" s="8" t="s">
        <v>5376</v>
      </c>
      <c r="C3368" s="8" t="s">
        <v>5377</v>
      </c>
      <c r="D3368" s="8" t="s">
        <v>5377</v>
      </c>
      <c r="E3368" s="8" t="s">
        <v>3670</v>
      </c>
    </row>
    <row r="3369" spans="1:5">
      <c r="A3369" s="8">
        <v>6998</v>
      </c>
      <c r="B3369" s="8" t="s">
        <v>5378</v>
      </c>
      <c r="C3369" s="8" t="s">
        <v>5379</v>
      </c>
      <c r="D3369" s="8" t="s">
        <v>5379</v>
      </c>
      <c r="E3369" s="8" t="s">
        <v>2837</v>
      </c>
    </row>
    <row r="3370" spans="1:5">
      <c r="A3370" s="8">
        <v>6999</v>
      </c>
      <c r="B3370" s="8" t="s">
        <v>5380</v>
      </c>
      <c r="C3370" s="8" t="s">
        <v>5381</v>
      </c>
      <c r="D3370" s="8" t="s">
        <v>5381</v>
      </c>
      <c r="E3370" s="8" t="s">
        <v>1835</v>
      </c>
    </row>
    <row r="3371" spans="1:5">
      <c r="A3371" s="8">
        <v>7000</v>
      </c>
      <c r="B3371" s="8" t="s">
        <v>5382</v>
      </c>
      <c r="C3371" s="8" t="s">
        <v>4684</v>
      </c>
      <c r="D3371" s="8" t="s">
        <v>4685</v>
      </c>
      <c r="E3371" s="8" t="s">
        <v>3670</v>
      </c>
    </row>
    <row r="3372" spans="1:5">
      <c r="A3372" s="8">
        <v>7001</v>
      </c>
      <c r="B3372" s="8" t="s">
        <v>5383</v>
      </c>
      <c r="C3372" s="8" t="s">
        <v>5384</v>
      </c>
      <c r="D3372" s="8" t="s">
        <v>4688</v>
      </c>
      <c r="E3372" s="8" t="s">
        <v>3670</v>
      </c>
    </row>
    <row r="3373" spans="1:5">
      <c r="A3373" s="8">
        <v>7002</v>
      </c>
      <c r="B3373" s="8" t="s">
        <v>5385</v>
      </c>
      <c r="C3373" s="8" t="s">
        <v>5386</v>
      </c>
      <c r="D3373" s="8" t="s">
        <v>5387</v>
      </c>
      <c r="E3373" s="8" t="s">
        <v>3670</v>
      </c>
    </row>
    <row r="3374" spans="1:5">
      <c r="A3374" s="8">
        <v>7004</v>
      </c>
      <c r="B3374" s="8" t="s">
        <v>5388</v>
      </c>
      <c r="C3374" s="8" t="s">
        <v>2738</v>
      </c>
      <c r="D3374" s="8" t="s">
        <v>54</v>
      </c>
      <c r="E3374" s="8" t="s">
        <v>40</v>
      </c>
    </row>
    <row r="3375" spans="1:5">
      <c r="A3375" s="8">
        <v>7006</v>
      </c>
      <c r="B3375" s="8" t="s">
        <v>2788</v>
      </c>
      <c r="C3375" s="8" t="s">
        <v>3754</v>
      </c>
      <c r="D3375" s="8" t="s">
        <v>3755</v>
      </c>
      <c r="E3375" s="8" t="s">
        <v>3670</v>
      </c>
    </row>
    <row r="3376" spans="1:5">
      <c r="A3376" s="8">
        <v>7008</v>
      </c>
      <c r="B3376" s="8" t="s">
        <v>5389</v>
      </c>
      <c r="C3376" s="8" t="s">
        <v>5390</v>
      </c>
      <c r="D3376" s="8" t="s">
        <v>1834</v>
      </c>
      <c r="E3376" s="8" t="s">
        <v>1835</v>
      </c>
    </row>
    <row r="3377" spans="1:5">
      <c r="A3377" s="8">
        <v>7009</v>
      </c>
      <c r="B3377" s="8" t="s">
        <v>5391</v>
      </c>
      <c r="C3377" s="8" t="s">
        <v>5342</v>
      </c>
      <c r="D3377" s="8" t="s">
        <v>4688</v>
      </c>
      <c r="E3377" s="8" t="s">
        <v>3670</v>
      </c>
    </row>
    <row r="3378" spans="1:5">
      <c r="A3378" s="8">
        <v>7010</v>
      </c>
      <c r="B3378" s="8" t="s">
        <v>5392</v>
      </c>
      <c r="C3378" s="8" t="s">
        <v>5393</v>
      </c>
      <c r="D3378" s="8" t="s">
        <v>5381</v>
      </c>
      <c r="E3378" s="8" t="s">
        <v>1835</v>
      </c>
    </row>
    <row r="3379" spans="1:5">
      <c r="A3379" s="8">
        <v>7013</v>
      </c>
      <c r="B3379" s="8" t="s">
        <v>5394</v>
      </c>
      <c r="C3379" s="8" t="s">
        <v>237</v>
      </c>
      <c r="D3379" s="8" t="s">
        <v>238</v>
      </c>
      <c r="E3379" s="8" t="s">
        <v>239</v>
      </c>
    </row>
    <row r="3380" spans="1:5">
      <c r="A3380" s="8">
        <v>7016</v>
      </c>
      <c r="B3380" s="8" t="s">
        <v>5395</v>
      </c>
      <c r="C3380" s="8" t="s">
        <v>5396</v>
      </c>
      <c r="D3380" s="8" t="s">
        <v>54</v>
      </c>
      <c r="E3380" s="8" t="s">
        <v>40</v>
      </c>
    </row>
    <row r="3381" spans="1:5">
      <c r="A3381" s="8">
        <v>7017</v>
      </c>
      <c r="B3381" s="8" t="s">
        <v>5397</v>
      </c>
      <c r="C3381" s="8" t="s">
        <v>1508</v>
      </c>
      <c r="D3381" s="8" t="s">
        <v>92</v>
      </c>
      <c r="E3381" s="8" t="s">
        <v>40</v>
      </c>
    </row>
    <row r="3382" spans="1:5">
      <c r="A3382" s="8">
        <v>7018</v>
      </c>
      <c r="B3382" s="8" t="s">
        <v>5398</v>
      </c>
      <c r="C3382" s="8" t="s">
        <v>5399</v>
      </c>
      <c r="D3382" s="8" t="s">
        <v>5400</v>
      </c>
      <c r="E3382" s="8" t="s">
        <v>1461</v>
      </c>
    </row>
    <row r="3383" spans="1:5">
      <c r="A3383" s="8">
        <v>7019</v>
      </c>
      <c r="B3383" s="8" t="s">
        <v>5401</v>
      </c>
      <c r="C3383" s="8" t="s">
        <v>1364</v>
      </c>
      <c r="D3383" s="8" t="s">
        <v>1221</v>
      </c>
      <c r="E3383" s="8" t="s">
        <v>40</v>
      </c>
    </row>
    <row r="3384" spans="1:5">
      <c r="A3384" s="8">
        <v>7020</v>
      </c>
      <c r="B3384" s="8" t="s">
        <v>5402</v>
      </c>
      <c r="C3384" s="8" t="s">
        <v>5403</v>
      </c>
      <c r="D3384" s="8" t="s">
        <v>39</v>
      </c>
      <c r="E3384" s="8" t="s">
        <v>40</v>
      </c>
    </row>
    <row r="3385" spans="1:5">
      <c r="A3385" s="8">
        <v>7021</v>
      </c>
      <c r="B3385" s="8" t="s">
        <v>5404</v>
      </c>
      <c r="C3385" s="8" t="s">
        <v>659</v>
      </c>
      <c r="D3385" s="8" t="s">
        <v>132</v>
      </c>
      <c r="E3385" s="8" t="s">
        <v>40</v>
      </c>
    </row>
    <row r="3386" spans="1:5">
      <c r="A3386" s="8">
        <v>7022</v>
      </c>
      <c r="B3386" s="8" t="s">
        <v>5405</v>
      </c>
      <c r="C3386" s="8" t="s">
        <v>139</v>
      </c>
      <c r="D3386" s="8" t="s">
        <v>238</v>
      </c>
      <c r="E3386" s="8" t="s">
        <v>239</v>
      </c>
    </row>
    <row r="3387" spans="1:5">
      <c r="A3387" s="8">
        <v>7023</v>
      </c>
      <c r="B3387" s="8" t="s">
        <v>5406</v>
      </c>
      <c r="C3387" s="8" t="s">
        <v>5407</v>
      </c>
      <c r="D3387" s="8" t="s">
        <v>1994</v>
      </c>
      <c r="E3387" s="8" t="s">
        <v>1995</v>
      </c>
    </row>
    <row r="3388" spans="1:5">
      <c r="A3388" s="8">
        <v>7024</v>
      </c>
      <c r="B3388" s="8" t="s">
        <v>5408</v>
      </c>
      <c r="C3388" s="8" t="s">
        <v>5409</v>
      </c>
      <c r="D3388" s="8" t="s">
        <v>48</v>
      </c>
      <c r="E3388" s="8" t="s">
        <v>40</v>
      </c>
    </row>
    <row r="3389" spans="1:5">
      <c r="A3389" s="8">
        <v>7025</v>
      </c>
      <c r="B3389" s="8" t="s">
        <v>5410</v>
      </c>
      <c r="C3389" s="8" t="s">
        <v>5411</v>
      </c>
      <c r="D3389" s="8" t="s">
        <v>43</v>
      </c>
      <c r="E3389" s="8" t="s">
        <v>40</v>
      </c>
    </row>
    <row r="3390" spans="1:5">
      <c r="A3390" s="8">
        <v>7026</v>
      </c>
      <c r="B3390" s="8" t="s">
        <v>779</v>
      </c>
      <c r="C3390" s="8" t="s">
        <v>150</v>
      </c>
      <c r="D3390" s="8" t="s">
        <v>57</v>
      </c>
      <c r="E3390" s="8" t="s">
        <v>40</v>
      </c>
    </row>
    <row r="3391" spans="1:5">
      <c r="A3391" s="8">
        <v>7027</v>
      </c>
      <c r="B3391" s="8" t="s">
        <v>5412</v>
      </c>
      <c r="C3391" s="8" t="s">
        <v>5413</v>
      </c>
      <c r="D3391" s="8" t="s">
        <v>54</v>
      </c>
      <c r="E3391" s="8" t="s">
        <v>40</v>
      </c>
    </row>
    <row r="3392" spans="1:5">
      <c r="A3392" s="8">
        <v>7028</v>
      </c>
      <c r="B3392" s="8" t="s">
        <v>5414</v>
      </c>
      <c r="C3392" s="8" t="s">
        <v>5415</v>
      </c>
      <c r="D3392" s="8" t="s">
        <v>1221</v>
      </c>
      <c r="E3392" s="8" t="s">
        <v>40</v>
      </c>
    </row>
    <row r="3393" spans="1:5">
      <c r="A3393" s="8">
        <v>7029</v>
      </c>
      <c r="B3393" s="8" t="s">
        <v>5416</v>
      </c>
      <c r="C3393" s="8" t="s">
        <v>5417</v>
      </c>
      <c r="D3393" s="8" t="s">
        <v>429</v>
      </c>
      <c r="E3393" s="8" t="s">
        <v>40</v>
      </c>
    </row>
    <row r="3394" spans="1:5">
      <c r="A3394" s="8">
        <v>7030</v>
      </c>
      <c r="B3394" s="8" t="s">
        <v>5418</v>
      </c>
      <c r="C3394" s="8" t="s">
        <v>4571</v>
      </c>
      <c r="D3394" s="8" t="s">
        <v>54</v>
      </c>
      <c r="E3394" s="8" t="s">
        <v>40</v>
      </c>
    </row>
    <row r="3395" spans="1:5">
      <c r="A3395" s="8">
        <v>7031</v>
      </c>
      <c r="B3395" s="8" t="s">
        <v>5419</v>
      </c>
      <c r="C3395" s="8" t="s">
        <v>5420</v>
      </c>
      <c r="D3395" s="8" t="s">
        <v>54</v>
      </c>
      <c r="E3395" s="8" t="s">
        <v>40</v>
      </c>
    </row>
    <row r="3396" spans="1:5">
      <c r="A3396" s="8">
        <v>7032</v>
      </c>
      <c r="B3396" s="8" t="s">
        <v>5421</v>
      </c>
      <c r="C3396" s="8" t="s">
        <v>5422</v>
      </c>
      <c r="D3396" s="8" t="s">
        <v>603</v>
      </c>
      <c r="E3396" s="8" t="s">
        <v>40</v>
      </c>
    </row>
    <row r="3397" spans="1:5">
      <c r="A3397" s="8">
        <v>7033</v>
      </c>
      <c r="B3397" s="8" t="s">
        <v>5423</v>
      </c>
      <c r="C3397" s="8" t="s">
        <v>5424</v>
      </c>
      <c r="D3397" s="8" t="s">
        <v>5256</v>
      </c>
      <c r="E3397" s="8" t="s">
        <v>409</v>
      </c>
    </row>
    <row r="3398" spans="1:5">
      <c r="A3398" s="8">
        <v>7034</v>
      </c>
      <c r="B3398" s="8" t="s">
        <v>5425</v>
      </c>
      <c r="C3398" s="8" t="s">
        <v>5426</v>
      </c>
      <c r="D3398" s="8" t="s">
        <v>603</v>
      </c>
      <c r="E3398" s="8" t="s">
        <v>40</v>
      </c>
    </row>
    <row r="3399" spans="1:5">
      <c r="A3399" s="8">
        <v>7035</v>
      </c>
      <c r="B3399" s="8" t="s">
        <v>5427</v>
      </c>
      <c r="C3399" s="8" t="s">
        <v>5428</v>
      </c>
      <c r="D3399" s="8" t="s">
        <v>1834</v>
      </c>
      <c r="E3399" s="8" t="s">
        <v>1835</v>
      </c>
    </row>
    <row r="3400" spans="1:5">
      <c r="A3400" s="8">
        <v>7036</v>
      </c>
      <c r="B3400" s="8" t="s">
        <v>5429</v>
      </c>
      <c r="C3400" s="8" t="s">
        <v>359</v>
      </c>
      <c r="D3400" s="8" t="s">
        <v>54</v>
      </c>
      <c r="E3400" s="8" t="s">
        <v>40</v>
      </c>
    </row>
    <row r="3401" spans="1:5">
      <c r="A3401" s="8">
        <v>7037</v>
      </c>
      <c r="B3401" s="8" t="s">
        <v>5430</v>
      </c>
      <c r="C3401" s="8" t="s">
        <v>5431</v>
      </c>
      <c r="D3401" s="8" t="s">
        <v>5432</v>
      </c>
      <c r="E3401" s="8" t="s">
        <v>1461</v>
      </c>
    </row>
    <row r="3402" spans="1:5">
      <c r="A3402" s="8">
        <v>7038</v>
      </c>
      <c r="B3402" s="8" t="s">
        <v>5433</v>
      </c>
      <c r="C3402" s="8" t="s">
        <v>1364</v>
      </c>
      <c r="D3402" s="8" t="s">
        <v>1221</v>
      </c>
      <c r="E3402" s="8" t="s">
        <v>40</v>
      </c>
    </row>
    <row r="3403" spans="1:5">
      <c r="A3403" s="8">
        <v>7039</v>
      </c>
      <c r="B3403" s="8" t="s">
        <v>5434</v>
      </c>
      <c r="C3403" s="8" t="s">
        <v>5435</v>
      </c>
      <c r="D3403" s="8" t="s">
        <v>1034</v>
      </c>
      <c r="E3403" s="8" t="s">
        <v>1026</v>
      </c>
    </row>
    <row r="3404" spans="1:5">
      <c r="A3404" s="8">
        <v>7040</v>
      </c>
      <c r="B3404" s="8" t="s">
        <v>5436</v>
      </c>
      <c r="C3404" s="8" t="s">
        <v>5437</v>
      </c>
      <c r="D3404" s="8" t="s">
        <v>4537</v>
      </c>
      <c r="E3404" s="8" t="s">
        <v>1461</v>
      </c>
    </row>
    <row r="3405" spans="1:5">
      <c r="A3405" s="8">
        <v>7041</v>
      </c>
      <c r="B3405" s="8" t="s">
        <v>5438</v>
      </c>
      <c r="C3405" s="8" t="s">
        <v>5439</v>
      </c>
      <c r="D3405" s="8" t="s">
        <v>1221</v>
      </c>
      <c r="E3405" s="8" t="s">
        <v>40</v>
      </c>
    </row>
    <row r="3406" spans="1:5">
      <c r="A3406" s="8">
        <v>7042</v>
      </c>
      <c r="B3406" s="8" t="s">
        <v>5440</v>
      </c>
      <c r="C3406" s="8" t="s">
        <v>3406</v>
      </c>
      <c r="D3406" s="8" t="s">
        <v>43</v>
      </c>
      <c r="E3406" s="8" t="s">
        <v>40</v>
      </c>
    </row>
    <row r="3407" spans="1:5">
      <c r="A3407" s="8">
        <v>7043</v>
      </c>
      <c r="B3407" s="8" t="s">
        <v>5441</v>
      </c>
      <c r="C3407" s="8" t="s">
        <v>5442</v>
      </c>
      <c r="D3407" s="8" t="s">
        <v>81</v>
      </c>
      <c r="E3407" s="8" t="s">
        <v>40</v>
      </c>
    </row>
    <row r="3408" spans="1:5">
      <c r="A3408" s="8">
        <v>7045</v>
      </c>
      <c r="B3408" s="8" t="s">
        <v>5443</v>
      </c>
      <c r="C3408" s="8" t="s">
        <v>5444</v>
      </c>
      <c r="D3408" s="8" t="s">
        <v>48</v>
      </c>
      <c r="E3408" s="8" t="s">
        <v>40</v>
      </c>
    </row>
    <row r="3409" spans="1:5">
      <c r="A3409" s="8">
        <v>7046</v>
      </c>
      <c r="B3409" s="8" t="s">
        <v>5445</v>
      </c>
      <c r="C3409" s="8" t="s">
        <v>2254</v>
      </c>
      <c r="D3409" s="8" t="s">
        <v>2254</v>
      </c>
      <c r="E3409" s="8" t="s">
        <v>1461</v>
      </c>
    </row>
    <row r="3410" spans="1:5">
      <c r="A3410" s="8">
        <v>7047</v>
      </c>
      <c r="B3410" s="8" t="s">
        <v>5446</v>
      </c>
      <c r="C3410" s="8" t="s">
        <v>5447</v>
      </c>
      <c r="D3410" s="8" t="s">
        <v>4688</v>
      </c>
      <c r="E3410" s="8" t="s">
        <v>3670</v>
      </c>
    </row>
    <row r="3411" spans="1:5">
      <c r="A3411" s="8">
        <v>7048</v>
      </c>
      <c r="B3411" s="8" t="s">
        <v>5448</v>
      </c>
      <c r="C3411" s="8" t="s">
        <v>5449</v>
      </c>
      <c r="D3411" s="8" t="s">
        <v>668</v>
      </c>
      <c r="E3411" s="8" t="s">
        <v>40</v>
      </c>
    </row>
    <row r="3412" spans="1:5">
      <c r="A3412" s="8">
        <v>7050</v>
      </c>
      <c r="B3412" s="8" t="s">
        <v>5450</v>
      </c>
      <c r="C3412" s="8" t="s">
        <v>5368</v>
      </c>
      <c r="D3412" s="8" t="s">
        <v>1834</v>
      </c>
      <c r="E3412" s="8" t="s">
        <v>1835</v>
      </c>
    </row>
    <row r="3413" spans="1:5">
      <c r="A3413" s="8">
        <v>7051</v>
      </c>
      <c r="B3413" s="8" t="s">
        <v>5451</v>
      </c>
      <c r="C3413" s="8" t="s">
        <v>5452</v>
      </c>
      <c r="D3413" s="8" t="s">
        <v>43</v>
      </c>
      <c r="E3413" s="8" t="s">
        <v>40</v>
      </c>
    </row>
    <row r="3414" spans="1:5">
      <c r="A3414" s="8">
        <v>7052</v>
      </c>
      <c r="B3414" s="8" t="s">
        <v>5453</v>
      </c>
      <c r="C3414" s="8" t="s">
        <v>3211</v>
      </c>
      <c r="D3414" s="8" t="s">
        <v>238</v>
      </c>
      <c r="E3414" s="8" t="s">
        <v>239</v>
      </c>
    </row>
    <row r="3415" spans="1:5">
      <c r="A3415" s="8">
        <v>7053</v>
      </c>
      <c r="B3415" s="8" t="s">
        <v>5454</v>
      </c>
      <c r="C3415" s="8" t="s">
        <v>5455</v>
      </c>
      <c r="D3415" s="8" t="s">
        <v>335</v>
      </c>
      <c r="E3415" s="8" t="s">
        <v>239</v>
      </c>
    </row>
    <row r="3416" spans="1:5">
      <c r="A3416" s="8">
        <v>7054</v>
      </c>
      <c r="B3416" s="8" t="s">
        <v>5456</v>
      </c>
      <c r="C3416" s="8" t="s">
        <v>681</v>
      </c>
      <c r="D3416" s="8" t="s">
        <v>39</v>
      </c>
      <c r="E3416" s="8" t="s">
        <v>40</v>
      </c>
    </row>
    <row r="3417" spans="1:5">
      <c r="A3417" s="8">
        <v>7055</v>
      </c>
      <c r="B3417" s="8" t="s">
        <v>5457</v>
      </c>
      <c r="C3417" s="8" t="s">
        <v>5458</v>
      </c>
      <c r="D3417" s="8" t="s">
        <v>81</v>
      </c>
      <c r="E3417" s="8" t="s">
        <v>40</v>
      </c>
    </row>
    <row r="3418" spans="1:5">
      <c r="A3418" s="8">
        <v>7056</v>
      </c>
      <c r="B3418" s="8" t="s">
        <v>5459</v>
      </c>
      <c r="C3418" s="8" t="s">
        <v>5460</v>
      </c>
      <c r="D3418" s="8" t="s">
        <v>39</v>
      </c>
      <c r="E3418" s="8" t="s">
        <v>40</v>
      </c>
    </row>
    <row r="3419" spans="1:5">
      <c r="A3419" s="8">
        <v>7057</v>
      </c>
      <c r="B3419" s="8" t="s">
        <v>5461</v>
      </c>
      <c r="C3419" s="8" t="s">
        <v>5462</v>
      </c>
      <c r="D3419" s="8" t="s">
        <v>43</v>
      </c>
      <c r="E3419" s="8" t="s">
        <v>40</v>
      </c>
    </row>
    <row r="3420" spans="1:5">
      <c r="A3420" s="8">
        <v>7058</v>
      </c>
      <c r="B3420" s="8" t="s">
        <v>1251</v>
      </c>
      <c r="C3420" s="8" t="s">
        <v>5463</v>
      </c>
      <c r="D3420" s="8" t="s">
        <v>238</v>
      </c>
      <c r="E3420" s="8" t="s">
        <v>239</v>
      </c>
    </row>
    <row r="3421" spans="1:5">
      <c r="A3421" s="8">
        <v>7059</v>
      </c>
      <c r="B3421" s="8" t="s">
        <v>5464</v>
      </c>
      <c r="C3421" s="8" t="s">
        <v>5465</v>
      </c>
      <c r="D3421" s="8" t="s">
        <v>92</v>
      </c>
      <c r="E3421" s="8" t="s">
        <v>40</v>
      </c>
    </row>
    <row r="3422" spans="1:5">
      <c r="A3422" s="8">
        <v>7060</v>
      </c>
      <c r="B3422" s="8" t="s">
        <v>5466</v>
      </c>
      <c r="C3422" s="8" t="s">
        <v>2733</v>
      </c>
      <c r="D3422" s="8" t="s">
        <v>630</v>
      </c>
      <c r="E3422" s="8" t="s">
        <v>40</v>
      </c>
    </row>
    <row r="3423" spans="1:5">
      <c r="A3423" s="8">
        <v>7063</v>
      </c>
      <c r="B3423" s="8" t="s">
        <v>5467</v>
      </c>
      <c r="C3423" s="8" t="s">
        <v>445</v>
      </c>
      <c r="D3423" s="8" t="s">
        <v>164</v>
      </c>
      <c r="E3423" s="8" t="s">
        <v>40</v>
      </c>
    </row>
    <row r="3424" spans="1:5">
      <c r="A3424" s="8">
        <v>7064</v>
      </c>
      <c r="B3424" s="8" t="s">
        <v>5468</v>
      </c>
      <c r="C3424" s="8" t="s">
        <v>5469</v>
      </c>
      <c r="D3424" s="8" t="s">
        <v>696</v>
      </c>
      <c r="E3424" s="8" t="s">
        <v>40</v>
      </c>
    </row>
    <row r="3425" spans="1:5">
      <c r="A3425" s="8">
        <v>7065</v>
      </c>
      <c r="B3425" s="8" t="s">
        <v>5470</v>
      </c>
      <c r="C3425" s="8" t="s">
        <v>5471</v>
      </c>
      <c r="D3425" s="8" t="s">
        <v>74</v>
      </c>
      <c r="E3425" s="8" t="s">
        <v>40</v>
      </c>
    </row>
    <row r="3426" spans="1:5">
      <c r="A3426" s="8">
        <v>7066</v>
      </c>
      <c r="B3426" s="8" t="s">
        <v>5472</v>
      </c>
      <c r="C3426" s="8" t="s">
        <v>1410</v>
      </c>
      <c r="D3426" s="8" t="s">
        <v>51</v>
      </c>
      <c r="E3426" s="8" t="s">
        <v>40</v>
      </c>
    </row>
    <row r="3427" spans="1:5">
      <c r="A3427" s="8">
        <v>7067</v>
      </c>
      <c r="B3427" s="8" t="s">
        <v>5473</v>
      </c>
      <c r="C3427" s="8" t="s">
        <v>5474</v>
      </c>
      <c r="D3427" s="8" t="s">
        <v>1724</v>
      </c>
      <c r="E3427" s="8" t="s">
        <v>1026</v>
      </c>
    </row>
    <row r="3428" spans="1:5">
      <c r="A3428" s="8">
        <v>7068</v>
      </c>
      <c r="B3428" s="8" t="s">
        <v>5475</v>
      </c>
      <c r="C3428" s="8" t="s">
        <v>5476</v>
      </c>
      <c r="D3428" s="8" t="s">
        <v>1221</v>
      </c>
      <c r="E3428" s="8" t="s">
        <v>40</v>
      </c>
    </row>
    <row r="3429" spans="1:5">
      <c r="A3429" s="8">
        <v>7069</v>
      </c>
      <c r="B3429" s="8" t="s">
        <v>5477</v>
      </c>
      <c r="C3429" s="8" t="s">
        <v>2836</v>
      </c>
      <c r="D3429" s="8" t="s">
        <v>2836</v>
      </c>
      <c r="E3429" s="8" t="s">
        <v>2837</v>
      </c>
    </row>
    <row r="3430" spans="1:5">
      <c r="A3430" s="8">
        <v>7070</v>
      </c>
      <c r="B3430" s="8" t="s">
        <v>5478</v>
      </c>
      <c r="C3430" s="8" t="s">
        <v>1834</v>
      </c>
      <c r="D3430" s="8" t="s">
        <v>1834</v>
      </c>
      <c r="E3430" s="8" t="s">
        <v>1835</v>
      </c>
    </row>
    <row r="3431" spans="1:5">
      <c r="A3431" s="8">
        <v>7071</v>
      </c>
      <c r="B3431" s="8" t="s">
        <v>5479</v>
      </c>
      <c r="C3431" s="8" t="s">
        <v>5368</v>
      </c>
      <c r="D3431" s="8" t="s">
        <v>1834</v>
      </c>
      <c r="E3431" s="8" t="s">
        <v>1835</v>
      </c>
    </row>
    <row r="3432" spans="1:5">
      <c r="A3432" s="8">
        <v>7072</v>
      </c>
      <c r="B3432" s="8" t="s">
        <v>5480</v>
      </c>
      <c r="C3432" s="8" t="s">
        <v>5481</v>
      </c>
      <c r="D3432" s="8" t="s">
        <v>74</v>
      </c>
      <c r="E3432" s="8" t="s">
        <v>40</v>
      </c>
    </row>
    <row r="3433" spans="1:5">
      <c r="A3433" s="8">
        <v>7073</v>
      </c>
      <c r="B3433" s="8" t="s">
        <v>5482</v>
      </c>
      <c r="C3433" s="8" t="s">
        <v>681</v>
      </c>
      <c r="D3433" s="8" t="s">
        <v>39</v>
      </c>
      <c r="E3433" s="8" t="s">
        <v>40</v>
      </c>
    </row>
    <row r="3434" spans="1:5">
      <c r="A3434" s="8">
        <v>7074</v>
      </c>
      <c r="B3434" s="8" t="s">
        <v>5483</v>
      </c>
      <c r="C3434" s="8" t="s">
        <v>5484</v>
      </c>
      <c r="D3434" s="8" t="s">
        <v>1994</v>
      </c>
      <c r="E3434" s="8" t="s">
        <v>1995</v>
      </c>
    </row>
    <row r="3435" spans="1:5">
      <c r="A3435" s="8">
        <v>7075</v>
      </c>
      <c r="B3435" s="8" t="s">
        <v>5485</v>
      </c>
      <c r="C3435" s="8" t="s">
        <v>5486</v>
      </c>
      <c r="D3435" s="8" t="s">
        <v>51</v>
      </c>
      <c r="E3435" s="8" t="s">
        <v>40</v>
      </c>
    </row>
    <row r="3436" spans="1:5">
      <c r="A3436" s="8">
        <v>7076</v>
      </c>
      <c r="B3436" s="8" t="s">
        <v>5487</v>
      </c>
      <c r="C3436" s="8" t="s">
        <v>778</v>
      </c>
      <c r="D3436" s="8" t="s">
        <v>630</v>
      </c>
      <c r="E3436" s="8" t="s">
        <v>40</v>
      </c>
    </row>
    <row r="3437" spans="1:5">
      <c r="A3437" s="8">
        <v>7077</v>
      </c>
      <c r="B3437" s="8" t="s">
        <v>5488</v>
      </c>
      <c r="C3437" s="8" t="s">
        <v>725</v>
      </c>
      <c r="D3437" s="8" t="s">
        <v>726</v>
      </c>
      <c r="E3437" s="8" t="s">
        <v>40</v>
      </c>
    </row>
    <row r="3438" spans="1:5">
      <c r="A3438" s="8">
        <v>7078</v>
      </c>
      <c r="B3438" s="8" t="s">
        <v>5489</v>
      </c>
      <c r="C3438" s="8" t="s">
        <v>5490</v>
      </c>
      <c r="D3438" s="8" t="s">
        <v>5387</v>
      </c>
      <c r="E3438" s="8" t="s">
        <v>3670</v>
      </c>
    </row>
    <row r="3439" spans="1:5">
      <c r="A3439" s="8">
        <v>7079</v>
      </c>
      <c r="B3439" s="8" t="s">
        <v>5491</v>
      </c>
      <c r="C3439" s="8" t="s">
        <v>1276</v>
      </c>
      <c r="D3439" s="8" t="s">
        <v>1025</v>
      </c>
      <c r="E3439" s="8" t="s">
        <v>1026</v>
      </c>
    </row>
    <row r="3440" spans="1:5">
      <c r="A3440" s="8">
        <v>7080</v>
      </c>
      <c r="B3440" s="8" t="s">
        <v>5492</v>
      </c>
      <c r="C3440" s="8" t="s">
        <v>3749</v>
      </c>
      <c r="D3440" s="8" t="s">
        <v>3749</v>
      </c>
      <c r="E3440" s="8" t="s">
        <v>3670</v>
      </c>
    </row>
    <row r="3441" spans="1:5">
      <c r="A3441" s="8">
        <v>7081</v>
      </c>
      <c r="B3441" s="8" t="s">
        <v>5493</v>
      </c>
      <c r="C3441" s="8" t="s">
        <v>3910</v>
      </c>
      <c r="D3441" s="8" t="s">
        <v>3911</v>
      </c>
      <c r="E3441" s="8" t="s">
        <v>3670</v>
      </c>
    </row>
    <row r="3442" spans="1:5">
      <c r="A3442" s="8">
        <v>7083</v>
      </c>
      <c r="B3442" s="8" t="s">
        <v>5494</v>
      </c>
      <c r="C3442" s="8" t="s">
        <v>5495</v>
      </c>
      <c r="D3442" s="8" t="s">
        <v>1025</v>
      </c>
      <c r="E3442" s="8" t="s">
        <v>1026</v>
      </c>
    </row>
    <row r="3443" spans="1:5">
      <c r="A3443" s="8">
        <v>7084</v>
      </c>
      <c r="B3443" s="8" t="s">
        <v>5496</v>
      </c>
      <c r="C3443" s="8" t="s">
        <v>5497</v>
      </c>
      <c r="D3443" s="8" t="s">
        <v>39</v>
      </c>
      <c r="E3443" s="8" t="s">
        <v>40</v>
      </c>
    </row>
    <row r="3444" spans="1:5">
      <c r="A3444" s="8">
        <v>7085</v>
      </c>
      <c r="B3444" s="8" t="s">
        <v>5498</v>
      </c>
      <c r="C3444" s="8" t="s">
        <v>5499</v>
      </c>
      <c r="D3444" s="8" t="s">
        <v>319</v>
      </c>
      <c r="E3444" s="8" t="s">
        <v>40</v>
      </c>
    </row>
    <row r="3445" spans="1:5">
      <c r="A3445" s="8">
        <v>7086</v>
      </c>
      <c r="B3445" s="8" t="s">
        <v>5500</v>
      </c>
      <c r="C3445" s="8" t="s">
        <v>5368</v>
      </c>
      <c r="D3445" s="8" t="s">
        <v>1834</v>
      </c>
      <c r="E3445" s="8" t="s">
        <v>1835</v>
      </c>
    </row>
    <row r="3446" spans="1:5">
      <c r="A3446" s="8">
        <v>7088</v>
      </c>
      <c r="B3446" s="8" t="s">
        <v>5501</v>
      </c>
      <c r="C3446" s="8" t="s">
        <v>2856</v>
      </c>
      <c r="D3446" s="8" t="s">
        <v>164</v>
      </c>
      <c r="E3446" s="8" t="s">
        <v>40</v>
      </c>
    </row>
    <row r="3447" spans="1:5">
      <c r="A3447" s="8">
        <v>7091</v>
      </c>
      <c r="B3447" s="8" t="s">
        <v>5502</v>
      </c>
      <c r="C3447" s="8" t="s">
        <v>1794</v>
      </c>
      <c r="D3447" s="8" t="s">
        <v>164</v>
      </c>
      <c r="E3447" s="8" t="s">
        <v>40</v>
      </c>
    </row>
    <row r="3448" spans="1:5">
      <c r="A3448" s="8">
        <v>7092</v>
      </c>
      <c r="B3448" s="8" t="s">
        <v>90</v>
      </c>
      <c r="C3448" s="8" t="s">
        <v>5503</v>
      </c>
      <c r="D3448" s="8" t="s">
        <v>164</v>
      </c>
      <c r="E3448" s="8" t="s">
        <v>40</v>
      </c>
    </row>
    <row r="3449" spans="1:5">
      <c r="A3449" s="8">
        <v>7093</v>
      </c>
      <c r="B3449" s="8" t="s">
        <v>5504</v>
      </c>
      <c r="C3449" s="8" t="s">
        <v>420</v>
      </c>
      <c r="D3449" s="8" t="s">
        <v>164</v>
      </c>
      <c r="E3449" s="8" t="s">
        <v>40</v>
      </c>
    </row>
    <row r="3450" spans="1:5">
      <c r="A3450" s="8">
        <v>7094</v>
      </c>
      <c r="B3450" s="8" t="s">
        <v>5505</v>
      </c>
      <c r="C3450" s="8" t="s">
        <v>5506</v>
      </c>
      <c r="D3450" s="8" t="s">
        <v>393</v>
      </c>
      <c r="E3450" s="8" t="s">
        <v>40</v>
      </c>
    </row>
    <row r="3451" spans="1:5">
      <c r="A3451" s="8">
        <v>7095</v>
      </c>
      <c r="B3451" s="8" t="s">
        <v>5507</v>
      </c>
      <c r="C3451" s="8" t="s">
        <v>3749</v>
      </c>
      <c r="D3451" s="8" t="s">
        <v>3749</v>
      </c>
      <c r="E3451" s="8" t="s">
        <v>3670</v>
      </c>
    </row>
    <row r="3452" spans="1:5">
      <c r="A3452" s="8">
        <v>7096</v>
      </c>
      <c r="B3452" s="8" t="s">
        <v>5508</v>
      </c>
      <c r="C3452" s="8" t="s">
        <v>715</v>
      </c>
      <c r="D3452" s="8" t="s">
        <v>43</v>
      </c>
      <c r="E3452" s="8" t="s">
        <v>40</v>
      </c>
    </row>
    <row r="3453" spans="1:5">
      <c r="A3453" s="8">
        <v>7097</v>
      </c>
      <c r="B3453" s="8" t="s">
        <v>5509</v>
      </c>
      <c r="C3453" s="8" t="s">
        <v>865</v>
      </c>
      <c r="D3453" s="8" t="s">
        <v>319</v>
      </c>
      <c r="E3453" s="8" t="s">
        <v>40</v>
      </c>
    </row>
    <row r="3454" spans="1:5">
      <c r="A3454" s="8">
        <v>7101</v>
      </c>
      <c r="B3454" s="8" t="s">
        <v>5510</v>
      </c>
      <c r="C3454" s="8" t="s">
        <v>5511</v>
      </c>
      <c r="D3454" s="8" t="s">
        <v>39</v>
      </c>
      <c r="E3454" s="8" t="s">
        <v>40</v>
      </c>
    </row>
    <row r="3455" spans="1:5">
      <c r="A3455" s="8">
        <v>7102</v>
      </c>
      <c r="B3455" s="8" t="s">
        <v>1784</v>
      </c>
      <c r="C3455" s="8" t="s">
        <v>5512</v>
      </c>
      <c r="D3455" s="8" t="s">
        <v>4942</v>
      </c>
      <c r="E3455" s="8" t="s">
        <v>1461</v>
      </c>
    </row>
    <row r="3456" spans="1:5">
      <c r="A3456" s="8">
        <v>7103</v>
      </c>
      <c r="B3456" s="8" t="s">
        <v>5513</v>
      </c>
      <c r="C3456" s="8" t="s">
        <v>5514</v>
      </c>
      <c r="D3456" s="8" t="s">
        <v>132</v>
      </c>
      <c r="E3456" s="8" t="s">
        <v>40</v>
      </c>
    </row>
    <row r="3457" spans="1:5">
      <c r="A3457" s="8">
        <v>7104</v>
      </c>
      <c r="B3457" s="8" t="s">
        <v>5515</v>
      </c>
      <c r="C3457" s="8" t="s">
        <v>3189</v>
      </c>
      <c r="D3457" s="8" t="s">
        <v>630</v>
      </c>
      <c r="E3457" s="8" t="s">
        <v>40</v>
      </c>
    </row>
    <row r="3458" spans="1:5">
      <c r="A3458" s="8">
        <v>7106</v>
      </c>
      <c r="B3458" s="8" t="s">
        <v>5516</v>
      </c>
      <c r="C3458" s="8" t="s">
        <v>5517</v>
      </c>
      <c r="D3458" s="8" t="s">
        <v>51</v>
      </c>
      <c r="E3458" s="8" t="s">
        <v>40</v>
      </c>
    </row>
    <row r="3459" spans="1:5">
      <c r="A3459" s="8">
        <v>7107</v>
      </c>
      <c r="B3459" s="8" t="s">
        <v>5518</v>
      </c>
      <c r="C3459" s="8" t="s">
        <v>2565</v>
      </c>
      <c r="D3459" s="8" t="s">
        <v>57</v>
      </c>
      <c r="E3459" s="8" t="s">
        <v>40</v>
      </c>
    </row>
    <row r="3460" spans="1:5">
      <c r="A3460" s="8">
        <v>7108</v>
      </c>
      <c r="B3460" s="8" t="s">
        <v>5519</v>
      </c>
      <c r="C3460" s="8" t="s">
        <v>5520</v>
      </c>
      <c r="D3460" s="8" t="s">
        <v>1834</v>
      </c>
      <c r="E3460" s="8" t="s">
        <v>1835</v>
      </c>
    </row>
    <row r="3461" spans="1:5">
      <c r="A3461" s="8">
        <v>7109</v>
      </c>
      <c r="B3461" s="8" t="s">
        <v>5521</v>
      </c>
      <c r="C3461" s="8" t="s">
        <v>5522</v>
      </c>
      <c r="D3461" s="8" t="s">
        <v>39</v>
      </c>
      <c r="E3461" s="8" t="s">
        <v>40</v>
      </c>
    </row>
    <row r="3462" spans="1:5">
      <c r="A3462" s="8">
        <v>7110</v>
      </c>
      <c r="B3462" s="8" t="s">
        <v>5523</v>
      </c>
      <c r="C3462" s="8" t="s">
        <v>5523</v>
      </c>
      <c r="D3462" s="8" t="s">
        <v>48</v>
      </c>
      <c r="E3462" s="8" t="s">
        <v>40</v>
      </c>
    </row>
    <row r="3463" spans="1:5">
      <c r="A3463" s="8">
        <v>7111</v>
      </c>
      <c r="B3463" s="8" t="s">
        <v>5524</v>
      </c>
      <c r="C3463" s="8" t="s">
        <v>881</v>
      </c>
      <c r="D3463" s="8" t="s">
        <v>74</v>
      </c>
      <c r="E3463" s="8" t="s">
        <v>40</v>
      </c>
    </row>
    <row r="3464" spans="1:5">
      <c r="A3464" s="8">
        <v>7112</v>
      </c>
      <c r="B3464" s="8" t="s">
        <v>5525</v>
      </c>
      <c r="C3464" s="8" t="s">
        <v>5526</v>
      </c>
      <c r="D3464" s="8" t="s">
        <v>1034</v>
      </c>
      <c r="E3464" s="8" t="s">
        <v>1026</v>
      </c>
    </row>
    <row r="3465" spans="1:5">
      <c r="A3465" s="8">
        <v>7113</v>
      </c>
      <c r="B3465" s="8" t="s">
        <v>5527</v>
      </c>
      <c r="C3465" s="8" t="s">
        <v>3689</v>
      </c>
      <c r="D3465" s="8" t="s">
        <v>3690</v>
      </c>
      <c r="E3465" s="8" t="s">
        <v>1995</v>
      </c>
    </row>
    <row r="3466" spans="1:5">
      <c r="A3466" s="8">
        <v>7115</v>
      </c>
      <c r="B3466" s="8" t="s">
        <v>5528</v>
      </c>
      <c r="C3466" s="8" t="s">
        <v>431</v>
      </c>
      <c r="D3466" s="8" t="s">
        <v>164</v>
      </c>
      <c r="E3466" s="8" t="s">
        <v>40</v>
      </c>
    </row>
    <row r="3467" spans="1:5">
      <c r="A3467" s="8">
        <v>7116</v>
      </c>
      <c r="B3467" s="8" t="s">
        <v>5529</v>
      </c>
      <c r="C3467" s="8" t="s">
        <v>5530</v>
      </c>
      <c r="D3467" s="8" t="s">
        <v>335</v>
      </c>
      <c r="E3467" s="8" t="s">
        <v>239</v>
      </c>
    </row>
    <row r="3468" spans="1:5">
      <c r="A3468" s="8">
        <v>7117</v>
      </c>
      <c r="B3468" s="8" t="s">
        <v>1304</v>
      </c>
      <c r="C3468" s="8" t="s">
        <v>5531</v>
      </c>
      <c r="D3468" s="8" t="s">
        <v>691</v>
      </c>
      <c r="E3468" s="8" t="s">
        <v>40</v>
      </c>
    </row>
    <row r="3469" spans="1:5">
      <c r="A3469" s="8">
        <v>7118</v>
      </c>
      <c r="B3469" s="8" t="s">
        <v>5532</v>
      </c>
      <c r="C3469" s="8" t="s">
        <v>5533</v>
      </c>
      <c r="D3469" s="8" t="s">
        <v>264</v>
      </c>
      <c r="E3469" s="8" t="s">
        <v>40</v>
      </c>
    </row>
    <row r="3470" spans="1:5">
      <c r="A3470" s="8">
        <v>7119</v>
      </c>
      <c r="B3470" s="8" t="s">
        <v>5534</v>
      </c>
      <c r="C3470" s="8" t="s">
        <v>1794</v>
      </c>
      <c r="D3470" s="8" t="s">
        <v>164</v>
      </c>
      <c r="E3470" s="8" t="s">
        <v>40</v>
      </c>
    </row>
    <row r="3471" spans="1:5">
      <c r="A3471" s="8">
        <v>7120</v>
      </c>
      <c r="B3471" s="8" t="s">
        <v>5535</v>
      </c>
      <c r="C3471" s="8" t="s">
        <v>1794</v>
      </c>
      <c r="D3471" s="8" t="s">
        <v>164</v>
      </c>
      <c r="E3471" s="8" t="s">
        <v>40</v>
      </c>
    </row>
    <row r="3472" spans="1:5">
      <c r="A3472" s="8">
        <v>7121</v>
      </c>
      <c r="B3472" s="8" t="s">
        <v>5536</v>
      </c>
      <c r="C3472" s="8" t="s">
        <v>5537</v>
      </c>
      <c r="D3472" s="8" t="s">
        <v>164</v>
      </c>
      <c r="E3472" s="8" t="s">
        <v>40</v>
      </c>
    </row>
    <row r="3473" spans="1:5">
      <c r="A3473" s="8">
        <v>7122</v>
      </c>
      <c r="B3473" s="8" t="s">
        <v>5538</v>
      </c>
      <c r="C3473" s="8" t="s">
        <v>3148</v>
      </c>
      <c r="D3473" s="8" t="s">
        <v>213</v>
      </c>
      <c r="E3473" s="8" t="s">
        <v>40</v>
      </c>
    </row>
    <row r="3474" spans="1:5">
      <c r="A3474" s="8">
        <v>7123</v>
      </c>
      <c r="B3474" s="8" t="s">
        <v>4605</v>
      </c>
      <c r="C3474" s="8" t="s">
        <v>2774</v>
      </c>
      <c r="D3474" s="8" t="s">
        <v>51</v>
      </c>
      <c r="E3474" s="8" t="s">
        <v>40</v>
      </c>
    </row>
    <row r="3475" spans="1:5">
      <c r="A3475" s="8">
        <v>7124</v>
      </c>
      <c r="B3475" s="8" t="s">
        <v>5539</v>
      </c>
      <c r="C3475" s="8" t="s">
        <v>1993</v>
      </c>
      <c r="D3475" s="8" t="s">
        <v>1994</v>
      </c>
      <c r="E3475" s="8" t="s">
        <v>1995</v>
      </c>
    </row>
    <row r="3476" spans="1:5">
      <c r="A3476" s="8">
        <v>7125</v>
      </c>
      <c r="B3476" s="8" t="s">
        <v>5540</v>
      </c>
      <c r="C3476" s="8" t="s">
        <v>5541</v>
      </c>
      <c r="D3476" s="8" t="s">
        <v>164</v>
      </c>
      <c r="E3476" s="8" t="s">
        <v>40</v>
      </c>
    </row>
    <row r="3477" spans="1:5">
      <c r="A3477" s="8">
        <v>7126</v>
      </c>
      <c r="B3477" s="8" t="s">
        <v>5542</v>
      </c>
      <c r="C3477" s="8" t="s">
        <v>5543</v>
      </c>
      <c r="D3477" s="8" t="s">
        <v>181</v>
      </c>
      <c r="E3477" s="8" t="s">
        <v>40</v>
      </c>
    </row>
    <row r="3478" spans="1:5">
      <c r="A3478" s="8">
        <v>7127</v>
      </c>
      <c r="B3478" s="8" t="s">
        <v>5544</v>
      </c>
      <c r="C3478" s="8" t="s">
        <v>5545</v>
      </c>
      <c r="D3478" s="8" t="s">
        <v>60</v>
      </c>
      <c r="E3478" s="8" t="s">
        <v>40</v>
      </c>
    </row>
    <row r="3479" spans="1:5">
      <c r="A3479" s="8">
        <v>7128</v>
      </c>
      <c r="B3479" s="8" t="s">
        <v>5546</v>
      </c>
      <c r="C3479" s="8" t="s">
        <v>3952</v>
      </c>
      <c r="D3479" s="8" t="s">
        <v>2803</v>
      </c>
      <c r="E3479" s="8" t="s">
        <v>1995</v>
      </c>
    </row>
    <row r="3480" spans="1:5">
      <c r="A3480" s="8">
        <v>7129</v>
      </c>
      <c r="B3480" s="8" t="s">
        <v>5547</v>
      </c>
      <c r="C3480" s="8" t="s">
        <v>5548</v>
      </c>
      <c r="D3480" s="8" t="s">
        <v>3690</v>
      </c>
      <c r="E3480" s="8" t="s">
        <v>1995</v>
      </c>
    </row>
    <row r="3481" spans="1:5">
      <c r="A3481" s="8">
        <v>7130</v>
      </c>
      <c r="B3481" s="8" t="s">
        <v>5549</v>
      </c>
      <c r="C3481" s="8" t="s">
        <v>5550</v>
      </c>
      <c r="D3481" s="8" t="s">
        <v>5551</v>
      </c>
      <c r="E3481" s="8" t="s">
        <v>2837</v>
      </c>
    </row>
    <row r="3482" spans="1:5">
      <c r="A3482" s="8">
        <v>7133</v>
      </c>
      <c r="B3482" s="8" t="s">
        <v>5552</v>
      </c>
      <c r="C3482" s="8" t="s">
        <v>229</v>
      </c>
      <c r="D3482" s="8" t="s">
        <v>181</v>
      </c>
      <c r="E3482" s="8" t="s">
        <v>40</v>
      </c>
    </row>
    <row r="3483" spans="1:5">
      <c r="A3483" s="8">
        <v>7134</v>
      </c>
      <c r="B3483" s="8" t="s">
        <v>5553</v>
      </c>
      <c r="C3483" s="8" t="s">
        <v>5554</v>
      </c>
      <c r="D3483" s="8" t="s">
        <v>5554</v>
      </c>
      <c r="E3483" s="8" t="s">
        <v>1835</v>
      </c>
    </row>
    <row r="3484" spans="1:5">
      <c r="A3484" s="8">
        <v>7135</v>
      </c>
      <c r="B3484" s="8" t="s">
        <v>5555</v>
      </c>
      <c r="C3484" s="8" t="s">
        <v>4681</v>
      </c>
      <c r="D3484" s="8" t="s">
        <v>4658</v>
      </c>
      <c r="E3484" s="8" t="s">
        <v>239</v>
      </c>
    </row>
    <row r="3485" spans="1:5">
      <c r="A3485" s="8">
        <v>7136</v>
      </c>
      <c r="B3485" s="8" t="s">
        <v>5556</v>
      </c>
      <c r="C3485" s="8" t="s">
        <v>650</v>
      </c>
      <c r="D3485" s="8" t="s">
        <v>238</v>
      </c>
      <c r="E3485" s="8" t="s">
        <v>239</v>
      </c>
    </row>
    <row r="3486" spans="1:5">
      <c r="A3486" s="8">
        <v>7137</v>
      </c>
      <c r="B3486" s="8" t="s">
        <v>5557</v>
      </c>
      <c r="C3486" s="8" t="s">
        <v>981</v>
      </c>
      <c r="D3486" s="8" t="s">
        <v>43</v>
      </c>
      <c r="E3486" s="8" t="s">
        <v>40</v>
      </c>
    </row>
    <row r="3487" spans="1:5">
      <c r="A3487" s="8">
        <v>7138</v>
      </c>
      <c r="B3487" s="8" t="s">
        <v>5558</v>
      </c>
      <c r="C3487" s="8" t="s">
        <v>5559</v>
      </c>
      <c r="D3487" s="8" t="s">
        <v>164</v>
      </c>
      <c r="E3487" s="8" t="s">
        <v>40</v>
      </c>
    </row>
    <row r="3488" spans="1:5">
      <c r="A3488" s="8">
        <v>7139</v>
      </c>
      <c r="B3488" s="8" t="s">
        <v>5560</v>
      </c>
      <c r="C3488" s="8" t="s">
        <v>5561</v>
      </c>
      <c r="D3488" s="8" t="s">
        <v>5562</v>
      </c>
      <c r="E3488" s="8" t="s">
        <v>4303</v>
      </c>
    </row>
    <row r="3489" spans="1:5">
      <c r="A3489" s="8">
        <v>7140</v>
      </c>
      <c r="B3489" s="8" t="s">
        <v>5563</v>
      </c>
      <c r="C3489" s="8" t="s">
        <v>5564</v>
      </c>
      <c r="D3489" s="8" t="s">
        <v>4741</v>
      </c>
      <c r="E3489" s="8" t="s">
        <v>1835</v>
      </c>
    </row>
    <row r="3490" spans="1:5">
      <c r="A3490" s="8">
        <v>7141</v>
      </c>
      <c r="B3490" s="8" t="s">
        <v>5565</v>
      </c>
      <c r="C3490" s="8" t="s">
        <v>5566</v>
      </c>
      <c r="D3490" s="8" t="s">
        <v>213</v>
      </c>
      <c r="E3490" s="8" t="s">
        <v>40</v>
      </c>
    </row>
    <row r="3491" spans="1:5">
      <c r="A3491" s="8">
        <v>7142</v>
      </c>
      <c r="B3491" s="8" t="s">
        <v>5567</v>
      </c>
      <c r="C3491" s="8" t="s">
        <v>3148</v>
      </c>
      <c r="D3491" s="8" t="s">
        <v>213</v>
      </c>
      <c r="E3491" s="8" t="s">
        <v>40</v>
      </c>
    </row>
    <row r="3492" spans="1:5">
      <c r="A3492" s="8">
        <v>7143</v>
      </c>
      <c r="B3492" s="8" t="s">
        <v>5568</v>
      </c>
      <c r="C3492" s="8" t="s">
        <v>1114</v>
      </c>
      <c r="D3492" s="8" t="s">
        <v>39</v>
      </c>
      <c r="E3492" s="8" t="s">
        <v>40</v>
      </c>
    </row>
    <row r="3493" spans="1:5">
      <c r="A3493" s="8">
        <v>7144</v>
      </c>
      <c r="B3493" s="8" t="s">
        <v>5569</v>
      </c>
      <c r="C3493" s="8" t="s">
        <v>974</v>
      </c>
      <c r="D3493" s="8" t="s">
        <v>39</v>
      </c>
      <c r="E3493" s="8" t="s">
        <v>40</v>
      </c>
    </row>
    <row r="3494" spans="1:5">
      <c r="A3494" s="8">
        <v>7145</v>
      </c>
      <c r="B3494" s="8" t="s">
        <v>3693</v>
      </c>
      <c r="C3494" s="8" t="s">
        <v>1114</v>
      </c>
      <c r="D3494" s="8" t="s">
        <v>39</v>
      </c>
      <c r="E3494" s="8" t="s">
        <v>40</v>
      </c>
    </row>
    <row r="3495" spans="1:5">
      <c r="A3495" s="8">
        <v>7146</v>
      </c>
      <c r="B3495" s="8" t="s">
        <v>5570</v>
      </c>
      <c r="C3495" s="8" t="s">
        <v>3754</v>
      </c>
      <c r="D3495" s="8" t="s">
        <v>3755</v>
      </c>
      <c r="E3495" s="8" t="s">
        <v>3670</v>
      </c>
    </row>
    <row r="3496" spans="1:5">
      <c r="A3496" s="8">
        <v>7147</v>
      </c>
      <c r="B3496" s="8" t="s">
        <v>5571</v>
      </c>
      <c r="C3496" s="8" t="s">
        <v>627</v>
      </c>
      <c r="D3496" s="8" t="s">
        <v>39</v>
      </c>
      <c r="E3496" s="8" t="s">
        <v>40</v>
      </c>
    </row>
    <row r="3497" spans="1:5">
      <c r="A3497" s="8">
        <v>7148</v>
      </c>
      <c r="B3497" s="8" t="s">
        <v>5572</v>
      </c>
      <c r="C3497" s="8" t="s">
        <v>4687</v>
      </c>
      <c r="D3497" s="8" t="s">
        <v>4688</v>
      </c>
      <c r="E3497" s="8" t="s">
        <v>3670</v>
      </c>
    </row>
    <row r="3498" spans="1:5">
      <c r="A3498" s="8">
        <v>7149</v>
      </c>
      <c r="B3498" s="8" t="s">
        <v>5573</v>
      </c>
      <c r="C3498" s="8" t="s">
        <v>3749</v>
      </c>
      <c r="D3498" s="8" t="s">
        <v>3749</v>
      </c>
      <c r="E3498" s="8" t="s">
        <v>3670</v>
      </c>
    </row>
    <row r="3499" spans="1:5">
      <c r="A3499" s="8">
        <v>7150</v>
      </c>
      <c r="B3499" s="8" t="s">
        <v>5574</v>
      </c>
      <c r="C3499" s="8" t="s">
        <v>3435</v>
      </c>
      <c r="D3499" s="8" t="s">
        <v>39</v>
      </c>
      <c r="E3499" s="8" t="s">
        <v>40</v>
      </c>
    </row>
    <row r="3500" spans="1:5">
      <c r="A3500" s="8">
        <v>7151</v>
      </c>
      <c r="B3500" s="8" t="s">
        <v>5575</v>
      </c>
      <c r="C3500" s="8" t="s">
        <v>5576</v>
      </c>
      <c r="D3500" s="8" t="s">
        <v>1563</v>
      </c>
      <c r="E3500" s="8" t="s">
        <v>40</v>
      </c>
    </row>
    <row r="3501" spans="1:5">
      <c r="A3501" s="8">
        <v>7152</v>
      </c>
      <c r="B3501" s="8" t="s">
        <v>5577</v>
      </c>
      <c r="C3501" s="8" t="s">
        <v>2565</v>
      </c>
      <c r="D3501" s="8" t="s">
        <v>57</v>
      </c>
      <c r="E3501" s="8" t="s">
        <v>40</v>
      </c>
    </row>
    <row r="3502" spans="1:5">
      <c r="A3502" s="8">
        <v>7153</v>
      </c>
      <c r="B3502" s="8" t="s">
        <v>5578</v>
      </c>
      <c r="C3502" s="8" t="s">
        <v>180</v>
      </c>
      <c r="D3502" s="8" t="s">
        <v>201</v>
      </c>
      <c r="E3502" s="8" t="s">
        <v>40</v>
      </c>
    </row>
    <row r="3503" spans="1:5">
      <c r="A3503" s="8">
        <v>7154</v>
      </c>
      <c r="B3503" s="8" t="s">
        <v>5579</v>
      </c>
      <c r="C3503" s="8" t="s">
        <v>5580</v>
      </c>
      <c r="D3503" s="8" t="s">
        <v>39</v>
      </c>
      <c r="E3503" s="8" t="s">
        <v>40</v>
      </c>
    </row>
    <row r="3504" spans="1:5">
      <c r="A3504" s="8">
        <v>7155</v>
      </c>
      <c r="B3504" s="8" t="s">
        <v>5581</v>
      </c>
      <c r="C3504" s="8" t="s">
        <v>5582</v>
      </c>
      <c r="D3504" s="8" t="s">
        <v>39</v>
      </c>
      <c r="E3504" s="8" t="s">
        <v>40</v>
      </c>
    </row>
    <row r="3505" spans="1:5">
      <c r="A3505" s="8">
        <v>7156</v>
      </c>
      <c r="B3505" s="8" t="s">
        <v>5583</v>
      </c>
      <c r="C3505" s="8" t="s">
        <v>5584</v>
      </c>
      <c r="D3505" s="8" t="s">
        <v>39</v>
      </c>
      <c r="E3505" s="8" t="s">
        <v>40</v>
      </c>
    </row>
    <row r="3506" spans="1:5">
      <c r="A3506" s="8">
        <v>7157</v>
      </c>
      <c r="B3506" s="8" t="s">
        <v>5585</v>
      </c>
      <c r="C3506" s="8" t="s">
        <v>5586</v>
      </c>
      <c r="D3506" s="8" t="s">
        <v>43</v>
      </c>
      <c r="E3506" s="8" t="s">
        <v>40</v>
      </c>
    </row>
    <row r="3507" spans="1:5">
      <c r="A3507" s="8">
        <v>7158</v>
      </c>
      <c r="B3507" s="8" t="s">
        <v>5587</v>
      </c>
      <c r="C3507" s="8" t="s">
        <v>5588</v>
      </c>
      <c r="D3507" s="8" t="s">
        <v>4658</v>
      </c>
      <c r="E3507" s="8" t="s">
        <v>239</v>
      </c>
    </row>
    <row r="3508" spans="1:5">
      <c r="A3508" s="8">
        <v>7159</v>
      </c>
      <c r="B3508" s="8" t="s">
        <v>5589</v>
      </c>
      <c r="C3508" s="8" t="s">
        <v>5590</v>
      </c>
      <c r="D3508" s="8" t="s">
        <v>4658</v>
      </c>
      <c r="E3508" s="8" t="s">
        <v>239</v>
      </c>
    </row>
    <row r="3509" spans="1:5">
      <c r="A3509" s="8">
        <v>7160</v>
      </c>
      <c r="B3509" s="8" t="s">
        <v>5591</v>
      </c>
      <c r="C3509" s="8" t="s">
        <v>5592</v>
      </c>
      <c r="D3509" s="8" t="s">
        <v>39</v>
      </c>
      <c r="E3509" s="8" t="s">
        <v>40</v>
      </c>
    </row>
    <row r="3510" spans="1:5">
      <c r="A3510" s="8">
        <v>7161</v>
      </c>
      <c r="B3510" s="8" t="s">
        <v>5593</v>
      </c>
      <c r="C3510" s="8" t="s">
        <v>5594</v>
      </c>
      <c r="D3510" s="8" t="s">
        <v>1461</v>
      </c>
      <c r="E3510" s="8" t="s">
        <v>1461</v>
      </c>
    </row>
    <row r="3511" spans="1:5">
      <c r="A3511" s="8">
        <v>7162</v>
      </c>
      <c r="B3511" s="8" t="s">
        <v>5595</v>
      </c>
      <c r="C3511" s="8" t="s">
        <v>5187</v>
      </c>
      <c r="D3511" s="8" t="s">
        <v>335</v>
      </c>
      <c r="E3511" s="8" t="s">
        <v>239</v>
      </c>
    </row>
    <row r="3512" spans="1:5">
      <c r="A3512" s="8">
        <v>7163</v>
      </c>
      <c r="B3512" s="8" t="s">
        <v>5596</v>
      </c>
      <c r="C3512" s="8" t="s">
        <v>5597</v>
      </c>
      <c r="D3512" s="8" t="s">
        <v>1994</v>
      </c>
      <c r="E3512" s="8" t="s">
        <v>1995</v>
      </c>
    </row>
    <row r="3513" spans="1:5">
      <c r="A3513" s="8">
        <v>7164</v>
      </c>
      <c r="B3513" s="8" t="s">
        <v>5598</v>
      </c>
      <c r="C3513" s="8" t="s">
        <v>907</v>
      </c>
      <c r="D3513" s="8" t="s">
        <v>116</v>
      </c>
      <c r="E3513" s="8" t="s">
        <v>40</v>
      </c>
    </row>
    <row r="3514" spans="1:5">
      <c r="A3514" s="8">
        <v>7165</v>
      </c>
      <c r="B3514" s="8" t="s">
        <v>5599</v>
      </c>
      <c r="C3514" s="8" t="s">
        <v>4418</v>
      </c>
      <c r="D3514" s="8" t="s">
        <v>81</v>
      </c>
      <c r="E3514" s="8" t="s">
        <v>40</v>
      </c>
    </row>
    <row r="3515" spans="1:5">
      <c r="A3515" s="8">
        <v>7166</v>
      </c>
      <c r="B3515" s="8" t="s">
        <v>5600</v>
      </c>
      <c r="C3515" s="8" t="s">
        <v>5601</v>
      </c>
      <c r="D3515" s="8" t="s">
        <v>39</v>
      </c>
      <c r="E3515" s="8" t="s">
        <v>40</v>
      </c>
    </row>
    <row r="3516" spans="1:5">
      <c r="A3516" s="8">
        <v>7167</v>
      </c>
      <c r="B3516" s="8" t="s">
        <v>5602</v>
      </c>
      <c r="C3516" s="8" t="s">
        <v>2803</v>
      </c>
      <c r="D3516" s="8" t="s">
        <v>4658</v>
      </c>
      <c r="E3516" s="8" t="s">
        <v>239</v>
      </c>
    </row>
    <row r="3517" spans="1:5">
      <c r="A3517" s="8">
        <v>7168</v>
      </c>
      <c r="B3517" s="8" t="s">
        <v>3096</v>
      </c>
      <c r="C3517" s="8" t="s">
        <v>1114</v>
      </c>
      <c r="D3517" s="8" t="s">
        <v>39</v>
      </c>
      <c r="E3517" s="8" t="s">
        <v>40</v>
      </c>
    </row>
    <row r="3518" spans="1:5">
      <c r="A3518" s="8">
        <v>7169</v>
      </c>
      <c r="B3518" s="8" t="s">
        <v>5603</v>
      </c>
      <c r="C3518" s="8" t="s">
        <v>2803</v>
      </c>
      <c r="D3518" s="8" t="s">
        <v>4658</v>
      </c>
      <c r="E3518" s="8" t="s">
        <v>239</v>
      </c>
    </row>
    <row r="3519" spans="1:5">
      <c r="A3519" s="8">
        <v>7170</v>
      </c>
      <c r="B3519" s="8" t="s">
        <v>5604</v>
      </c>
      <c r="C3519" s="8" t="s">
        <v>5605</v>
      </c>
      <c r="D3519" s="8" t="s">
        <v>4658</v>
      </c>
      <c r="E3519" s="8" t="s">
        <v>239</v>
      </c>
    </row>
    <row r="3520" spans="1:5">
      <c r="A3520" s="8">
        <v>7171</v>
      </c>
      <c r="B3520" s="8" t="s">
        <v>5606</v>
      </c>
      <c r="C3520" s="8" t="s">
        <v>5607</v>
      </c>
      <c r="D3520" s="8" t="s">
        <v>39</v>
      </c>
      <c r="E3520" s="8" t="s">
        <v>40</v>
      </c>
    </row>
    <row r="3521" spans="1:5">
      <c r="A3521" s="8">
        <v>7172</v>
      </c>
      <c r="B3521" s="8" t="s">
        <v>5608</v>
      </c>
      <c r="C3521" s="8" t="s">
        <v>5609</v>
      </c>
      <c r="D3521" s="8" t="s">
        <v>39</v>
      </c>
      <c r="E3521" s="8" t="s">
        <v>40</v>
      </c>
    </row>
    <row r="3522" spans="1:5">
      <c r="A3522" s="8">
        <v>7173</v>
      </c>
      <c r="B3522" s="8" t="s">
        <v>5610</v>
      </c>
      <c r="C3522" s="8" t="s">
        <v>5611</v>
      </c>
      <c r="D3522" s="8" t="s">
        <v>4658</v>
      </c>
      <c r="E3522" s="8" t="s">
        <v>239</v>
      </c>
    </row>
    <row r="3523" spans="1:5">
      <c r="A3523" s="8">
        <v>7174</v>
      </c>
      <c r="B3523" s="8" t="s">
        <v>5612</v>
      </c>
      <c r="C3523" s="8" t="s">
        <v>4412</v>
      </c>
      <c r="D3523" s="8" t="s">
        <v>39</v>
      </c>
      <c r="E3523" s="8" t="s">
        <v>40</v>
      </c>
    </row>
    <row r="3524" spans="1:5">
      <c r="A3524" s="8">
        <v>7175</v>
      </c>
      <c r="B3524" s="8" t="s">
        <v>5613</v>
      </c>
      <c r="C3524" s="8" t="s">
        <v>176</v>
      </c>
      <c r="D3524" s="8" t="s">
        <v>39</v>
      </c>
      <c r="E3524" s="8" t="s">
        <v>40</v>
      </c>
    </row>
    <row r="3525" spans="1:5">
      <c r="A3525" s="8">
        <v>7176</v>
      </c>
      <c r="B3525" s="8" t="s">
        <v>5614</v>
      </c>
      <c r="C3525" s="8" t="s">
        <v>5615</v>
      </c>
      <c r="D3525" s="8" t="s">
        <v>238</v>
      </c>
      <c r="E3525" s="8" t="s">
        <v>239</v>
      </c>
    </row>
    <row r="3526" spans="1:5">
      <c r="A3526" s="8">
        <v>7177</v>
      </c>
      <c r="B3526" s="8" t="s">
        <v>5616</v>
      </c>
      <c r="C3526" s="8" t="s">
        <v>5617</v>
      </c>
      <c r="D3526" s="8" t="s">
        <v>1034</v>
      </c>
      <c r="E3526" s="8" t="s">
        <v>1026</v>
      </c>
    </row>
    <row r="3527" spans="1:5">
      <c r="A3527" s="8">
        <v>7178</v>
      </c>
      <c r="B3527" s="8" t="s">
        <v>5618</v>
      </c>
      <c r="C3527" s="8" t="s">
        <v>341</v>
      </c>
      <c r="D3527" s="8" t="s">
        <v>39</v>
      </c>
      <c r="E3527" s="8" t="s">
        <v>40</v>
      </c>
    </row>
    <row r="3528" spans="1:5">
      <c r="A3528" s="8">
        <v>7179</v>
      </c>
      <c r="B3528" s="8" t="s">
        <v>5619</v>
      </c>
      <c r="C3528" s="8" t="s">
        <v>4841</v>
      </c>
      <c r="D3528" s="8" t="s">
        <v>164</v>
      </c>
      <c r="E3528" s="8" t="s">
        <v>40</v>
      </c>
    </row>
    <row r="3529" spans="1:5">
      <c r="A3529" s="8">
        <v>7180</v>
      </c>
      <c r="B3529" s="8" t="s">
        <v>5620</v>
      </c>
      <c r="C3529" s="8" t="s">
        <v>1364</v>
      </c>
      <c r="D3529" s="8" t="s">
        <v>1221</v>
      </c>
      <c r="E3529" s="8" t="s">
        <v>40</v>
      </c>
    </row>
    <row r="3530" spans="1:5">
      <c r="A3530" s="8">
        <v>7181</v>
      </c>
      <c r="B3530" s="8" t="s">
        <v>4926</v>
      </c>
      <c r="C3530" s="8" t="s">
        <v>1173</v>
      </c>
      <c r="D3530" s="8" t="s">
        <v>74</v>
      </c>
      <c r="E3530" s="8" t="s">
        <v>40</v>
      </c>
    </row>
    <row r="3531" spans="1:5">
      <c r="A3531" s="8">
        <v>7182</v>
      </c>
      <c r="B3531" s="8" t="s">
        <v>5621</v>
      </c>
      <c r="C3531" s="8" t="s">
        <v>5622</v>
      </c>
      <c r="D3531" s="8" t="s">
        <v>74</v>
      </c>
      <c r="E3531" s="8" t="s">
        <v>40</v>
      </c>
    </row>
    <row r="3532" spans="1:5">
      <c r="A3532" s="8">
        <v>7183</v>
      </c>
      <c r="B3532" s="8" t="s">
        <v>5623</v>
      </c>
      <c r="C3532" s="8" t="s">
        <v>725</v>
      </c>
      <c r="D3532" s="8" t="s">
        <v>726</v>
      </c>
      <c r="E3532" s="8" t="s">
        <v>40</v>
      </c>
    </row>
    <row r="3533" spans="1:5">
      <c r="A3533" s="8">
        <v>7184</v>
      </c>
      <c r="B3533" s="8" t="s">
        <v>5624</v>
      </c>
      <c r="C3533" s="8" t="s">
        <v>5625</v>
      </c>
      <c r="D3533" s="8" t="s">
        <v>3755</v>
      </c>
      <c r="E3533" s="8" t="s">
        <v>3670</v>
      </c>
    </row>
    <row r="3534" spans="1:5">
      <c r="A3534" s="8">
        <v>7185</v>
      </c>
      <c r="B3534" s="8" t="s">
        <v>5626</v>
      </c>
      <c r="C3534" s="8" t="s">
        <v>5627</v>
      </c>
      <c r="D3534" s="8" t="s">
        <v>43</v>
      </c>
      <c r="E3534" s="8" t="s">
        <v>40</v>
      </c>
    </row>
    <row r="3535" spans="1:5">
      <c r="A3535" s="8">
        <v>7187</v>
      </c>
      <c r="B3535" s="8" t="s">
        <v>5628</v>
      </c>
      <c r="C3535" s="8" t="s">
        <v>5629</v>
      </c>
      <c r="D3535" s="8" t="s">
        <v>39</v>
      </c>
      <c r="E3535" s="8" t="s">
        <v>40</v>
      </c>
    </row>
    <row r="3536" spans="1:5">
      <c r="A3536" s="8">
        <v>7188</v>
      </c>
      <c r="B3536" s="8" t="s">
        <v>5630</v>
      </c>
      <c r="C3536" s="8" t="s">
        <v>76</v>
      </c>
      <c r="D3536" s="8" t="s">
        <v>39</v>
      </c>
      <c r="E3536" s="8" t="s">
        <v>40</v>
      </c>
    </row>
    <row r="3537" spans="1:5">
      <c r="A3537" s="8">
        <v>7189</v>
      </c>
      <c r="B3537" s="8" t="s">
        <v>5631</v>
      </c>
      <c r="C3537" s="8" t="s">
        <v>5632</v>
      </c>
      <c r="D3537" s="8" t="s">
        <v>4658</v>
      </c>
      <c r="E3537" s="8" t="s">
        <v>239</v>
      </c>
    </row>
    <row r="3538" spans="1:5">
      <c r="A3538" s="8">
        <v>7190</v>
      </c>
      <c r="B3538" s="8" t="s">
        <v>5633</v>
      </c>
      <c r="C3538" s="8" t="s">
        <v>1767</v>
      </c>
      <c r="D3538" s="8" t="s">
        <v>4658</v>
      </c>
      <c r="E3538" s="8" t="s">
        <v>239</v>
      </c>
    </row>
    <row r="3539" spans="1:5">
      <c r="A3539" s="8">
        <v>7191</v>
      </c>
      <c r="B3539" s="8" t="s">
        <v>5634</v>
      </c>
      <c r="C3539" s="8" t="s">
        <v>5272</v>
      </c>
      <c r="D3539" s="8" t="s">
        <v>39</v>
      </c>
      <c r="E3539" s="8" t="s">
        <v>40</v>
      </c>
    </row>
    <row r="3540" spans="1:5">
      <c r="A3540" s="8">
        <v>7192</v>
      </c>
      <c r="B3540" s="8" t="s">
        <v>5635</v>
      </c>
      <c r="C3540" s="8" t="s">
        <v>5636</v>
      </c>
      <c r="D3540" s="8" t="s">
        <v>39</v>
      </c>
      <c r="E3540" s="8" t="s">
        <v>40</v>
      </c>
    </row>
    <row r="3541" spans="1:5">
      <c r="A3541" s="8">
        <v>7193</v>
      </c>
      <c r="B3541" s="8" t="s">
        <v>5637</v>
      </c>
      <c r="C3541" s="8" t="s">
        <v>5098</v>
      </c>
      <c r="D3541" s="8" t="s">
        <v>57</v>
      </c>
      <c r="E3541" s="8" t="s">
        <v>40</v>
      </c>
    </row>
    <row r="3542" spans="1:5">
      <c r="A3542" s="8">
        <v>7194</v>
      </c>
      <c r="B3542" s="8" t="s">
        <v>5638</v>
      </c>
      <c r="C3542" s="8" t="s">
        <v>4130</v>
      </c>
      <c r="D3542" s="8" t="s">
        <v>57</v>
      </c>
      <c r="E3542" s="8" t="s">
        <v>40</v>
      </c>
    </row>
    <row r="3543" spans="1:5">
      <c r="A3543" s="8">
        <v>7195</v>
      </c>
      <c r="B3543" s="8" t="s">
        <v>5639</v>
      </c>
      <c r="C3543" s="8" t="s">
        <v>944</v>
      </c>
      <c r="D3543" s="8" t="s">
        <v>39</v>
      </c>
      <c r="E3543" s="8" t="s">
        <v>40</v>
      </c>
    </row>
    <row r="3544" spans="1:5">
      <c r="A3544" s="8">
        <v>7196</v>
      </c>
      <c r="B3544" s="8" t="s">
        <v>4229</v>
      </c>
      <c r="C3544" s="8" t="s">
        <v>1114</v>
      </c>
      <c r="D3544" s="8" t="s">
        <v>39</v>
      </c>
      <c r="E3544" s="8" t="s">
        <v>40</v>
      </c>
    </row>
    <row r="3545" spans="1:5">
      <c r="A3545" s="8">
        <v>7197</v>
      </c>
      <c r="B3545" s="8" t="s">
        <v>5640</v>
      </c>
      <c r="C3545" s="8" t="s">
        <v>1675</v>
      </c>
      <c r="D3545" s="8" t="s">
        <v>39</v>
      </c>
      <c r="E3545" s="8" t="s">
        <v>40</v>
      </c>
    </row>
    <row r="3546" spans="1:5">
      <c r="A3546" s="8">
        <v>7198</v>
      </c>
      <c r="B3546" s="8" t="s">
        <v>5641</v>
      </c>
      <c r="C3546" s="8" t="s">
        <v>3132</v>
      </c>
      <c r="D3546" s="8" t="s">
        <v>79</v>
      </c>
      <c r="E3546" s="8" t="s">
        <v>40</v>
      </c>
    </row>
    <row r="3547" spans="1:5">
      <c r="A3547" s="8">
        <v>7199</v>
      </c>
      <c r="B3547" s="8" t="s">
        <v>5642</v>
      </c>
      <c r="C3547" s="8" t="s">
        <v>5611</v>
      </c>
      <c r="D3547" s="8" t="s">
        <v>4658</v>
      </c>
      <c r="E3547" s="8" t="s">
        <v>239</v>
      </c>
    </row>
    <row r="3548" spans="1:5">
      <c r="A3548" s="8">
        <v>7200</v>
      </c>
      <c r="B3548" s="8" t="s">
        <v>5643</v>
      </c>
      <c r="C3548" s="8" t="s">
        <v>5644</v>
      </c>
      <c r="D3548" s="8" t="s">
        <v>238</v>
      </c>
      <c r="E3548" s="8" t="s">
        <v>239</v>
      </c>
    </row>
    <row r="3549" spans="1:5">
      <c r="A3549" s="8">
        <v>7201</v>
      </c>
      <c r="B3549" s="8" t="s">
        <v>5645</v>
      </c>
      <c r="C3549" s="8" t="s">
        <v>5646</v>
      </c>
      <c r="D3549" s="8" t="s">
        <v>5647</v>
      </c>
      <c r="E3549" s="8" t="s">
        <v>5648</v>
      </c>
    </row>
    <row r="3550" spans="1:5">
      <c r="A3550" s="8">
        <v>7202</v>
      </c>
      <c r="B3550" s="8" t="s">
        <v>5649</v>
      </c>
      <c r="C3550" s="8" t="s">
        <v>5650</v>
      </c>
      <c r="D3550" s="8" t="s">
        <v>39</v>
      </c>
      <c r="E3550" s="8" t="s">
        <v>40</v>
      </c>
    </row>
    <row r="3551" spans="1:5">
      <c r="A3551" s="8">
        <v>7203</v>
      </c>
      <c r="B3551" s="8" t="s">
        <v>5651</v>
      </c>
      <c r="C3551" s="8" t="s">
        <v>2412</v>
      </c>
      <c r="D3551" s="8" t="s">
        <v>39</v>
      </c>
      <c r="E3551" s="8" t="s">
        <v>40</v>
      </c>
    </row>
    <row r="3552" spans="1:5">
      <c r="A3552" s="8">
        <v>7204</v>
      </c>
      <c r="B3552" s="8" t="s">
        <v>5652</v>
      </c>
      <c r="C3552" s="8" t="s">
        <v>5653</v>
      </c>
      <c r="D3552" s="8" t="s">
        <v>603</v>
      </c>
      <c r="E3552" s="8" t="s">
        <v>40</v>
      </c>
    </row>
    <row r="3553" spans="1:5">
      <c r="A3553" s="8">
        <v>7205</v>
      </c>
      <c r="B3553" s="8" t="s">
        <v>3445</v>
      </c>
      <c r="C3553" s="8" t="s">
        <v>5654</v>
      </c>
      <c r="D3553" s="8" t="s">
        <v>4513</v>
      </c>
      <c r="E3553" s="8" t="s">
        <v>239</v>
      </c>
    </row>
    <row r="3554" spans="1:5">
      <c r="A3554" s="8">
        <v>7206</v>
      </c>
      <c r="B3554" s="8" t="s">
        <v>5655</v>
      </c>
      <c r="C3554" s="8" t="s">
        <v>3285</v>
      </c>
      <c r="D3554" s="8" t="s">
        <v>39</v>
      </c>
      <c r="E3554" s="8" t="s">
        <v>40</v>
      </c>
    </row>
    <row r="3555" spans="1:5">
      <c r="A3555" s="8">
        <v>7207</v>
      </c>
      <c r="B3555" s="8" t="s">
        <v>5656</v>
      </c>
      <c r="C3555" s="8" t="s">
        <v>5657</v>
      </c>
      <c r="D3555" s="8" t="s">
        <v>4658</v>
      </c>
      <c r="E3555" s="8" t="s">
        <v>239</v>
      </c>
    </row>
    <row r="3556" spans="1:5">
      <c r="A3556" s="8">
        <v>7208</v>
      </c>
      <c r="B3556" s="8" t="s">
        <v>5658</v>
      </c>
      <c r="C3556" s="8" t="s">
        <v>2926</v>
      </c>
      <c r="D3556" s="8" t="s">
        <v>39</v>
      </c>
      <c r="E3556" s="8" t="s">
        <v>40</v>
      </c>
    </row>
    <row r="3557" spans="1:5">
      <c r="A3557" s="8">
        <v>7209</v>
      </c>
      <c r="B3557" s="8" t="s">
        <v>5659</v>
      </c>
      <c r="C3557" s="8" t="s">
        <v>5660</v>
      </c>
      <c r="D3557" s="8" t="s">
        <v>39</v>
      </c>
      <c r="E3557" s="8" t="s">
        <v>40</v>
      </c>
    </row>
    <row r="3558" spans="1:5">
      <c r="A3558" s="8">
        <v>7210</v>
      </c>
      <c r="B3558" s="8" t="s">
        <v>5661</v>
      </c>
      <c r="C3558" s="8" t="s">
        <v>196</v>
      </c>
      <c r="D3558" s="8" t="s">
        <v>39</v>
      </c>
      <c r="E3558" s="8" t="s">
        <v>40</v>
      </c>
    </row>
    <row r="3559" spans="1:5">
      <c r="A3559" s="8">
        <v>7211</v>
      </c>
      <c r="B3559" s="8" t="s">
        <v>636</v>
      </c>
      <c r="C3559" s="8" t="s">
        <v>5662</v>
      </c>
      <c r="D3559" s="8" t="s">
        <v>39</v>
      </c>
      <c r="E3559" s="8" t="s">
        <v>40</v>
      </c>
    </row>
    <row r="3560" spans="1:5">
      <c r="A3560" s="8">
        <v>7212</v>
      </c>
      <c r="B3560" s="8" t="s">
        <v>5663</v>
      </c>
      <c r="C3560" s="8" t="s">
        <v>910</v>
      </c>
      <c r="D3560" s="8" t="s">
        <v>181</v>
      </c>
      <c r="E3560" s="8" t="s">
        <v>40</v>
      </c>
    </row>
    <row r="3561" spans="1:5">
      <c r="A3561" s="8">
        <v>7213</v>
      </c>
      <c r="B3561" s="8" t="s">
        <v>5664</v>
      </c>
      <c r="C3561" s="8" t="s">
        <v>5665</v>
      </c>
      <c r="D3561" s="8" t="s">
        <v>39</v>
      </c>
      <c r="E3561" s="8" t="s">
        <v>40</v>
      </c>
    </row>
    <row r="3562" spans="1:5">
      <c r="A3562" s="8">
        <v>7214</v>
      </c>
      <c r="B3562" s="8" t="s">
        <v>5666</v>
      </c>
      <c r="C3562" s="8" t="s">
        <v>736</v>
      </c>
      <c r="D3562" s="8" t="s">
        <v>92</v>
      </c>
      <c r="E3562" s="8" t="s">
        <v>40</v>
      </c>
    </row>
    <row r="3563" spans="1:5">
      <c r="A3563" s="8">
        <v>7215</v>
      </c>
      <c r="B3563" s="8" t="s">
        <v>1916</v>
      </c>
      <c r="C3563" s="8" t="s">
        <v>636</v>
      </c>
      <c r="D3563" s="8" t="s">
        <v>57</v>
      </c>
      <c r="E3563" s="8" t="s">
        <v>40</v>
      </c>
    </row>
    <row r="3564" spans="1:5">
      <c r="A3564" s="8">
        <v>7216</v>
      </c>
      <c r="B3564" s="8" t="s">
        <v>5667</v>
      </c>
      <c r="C3564" s="8" t="s">
        <v>89</v>
      </c>
      <c r="D3564" s="8" t="s">
        <v>57</v>
      </c>
      <c r="E3564" s="8" t="s">
        <v>40</v>
      </c>
    </row>
    <row r="3565" spans="1:5">
      <c r="A3565" s="8">
        <v>7217</v>
      </c>
      <c r="B3565" s="8" t="s">
        <v>5668</v>
      </c>
      <c r="C3565" s="8" t="s">
        <v>2949</v>
      </c>
      <c r="D3565" s="8" t="s">
        <v>2298</v>
      </c>
      <c r="E3565" s="8" t="s">
        <v>1461</v>
      </c>
    </row>
    <row r="3566" spans="1:5">
      <c r="A3566" s="8">
        <v>7218</v>
      </c>
      <c r="B3566" s="8" t="s">
        <v>5669</v>
      </c>
      <c r="C3566" s="8" t="s">
        <v>134</v>
      </c>
      <c r="D3566" s="8" t="s">
        <v>39</v>
      </c>
      <c r="E3566" s="8" t="s">
        <v>40</v>
      </c>
    </row>
    <row r="3567" spans="1:5">
      <c r="A3567" s="8">
        <v>7219</v>
      </c>
      <c r="B3567" s="8" t="s">
        <v>5670</v>
      </c>
      <c r="C3567" s="8" t="s">
        <v>5671</v>
      </c>
      <c r="D3567" s="8" t="s">
        <v>39</v>
      </c>
      <c r="E3567" s="8" t="s">
        <v>40</v>
      </c>
    </row>
    <row r="3568" spans="1:5">
      <c r="A3568" s="8">
        <v>7220</v>
      </c>
      <c r="B3568" s="8" t="s">
        <v>5672</v>
      </c>
      <c r="C3568" s="8" t="s">
        <v>2421</v>
      </c>
      <c r="D3568" s="8" t="s">
        <v>39</v>
      </c>
      <c r="E3568" s="8" t="s">
        <v>40</v>
      </c>
    </row>
    <row r="3569" spans="1:5">
      <c r="A3569" s="8">
        <v>7221</v>
      </c>
      <c r="B3569" s="8" t="s">
        <v>5673</v>
      </c>
      <c r="C3569" s="8" t="s">
        <v>1675</v>
      </c>
      <c r="D3569" s="8" t="s">
        <v>39</v>
      </c>
      <c r="E3569" s="8" t="s">
        <v>40</v>
      </c>
    </row>
    <row r="3570" spans="1:5">
      <c r="A3570" s="8">
        <v>7222</v>
      </c>
      <c r="B3570" s="8" t="s">
        <v>5674</v>
      </c>
      <c r="C3570" s="8" t="s">
        <v>5675</v>
      </c>
      <c r="D3570" s="8" t="s">
        <v>39</v>
      </c>
      <c r="E3570" s="8" t="s">
        <v>40</v>
      </c>
    </row>
    <row r="3571" spans="1:5">
      <c r="A3571" s="8">
        <v>7223</v>
      </c>
      <c r="B3571" s="8" t="s">
        <v>5676</v>
      </c>
      <c r="C3571" s="8" t="s">
        <v>5677</v>
      </c>
      <c r="D3571" s="8" t="s">
        <v>39</v>
      </c>
      <c r="E3571" s="8" t="s">
        <v>40</v>
      </c>
    </row>
    <row r="3572" spans="1:5">
      <c r="A3572" s="8">
        <v>7224</v>
      </c>
      <c r="B3572" s="8" t="s">
        <v>5678</v>
      </c>
      <c r="C3572" s="8" t="s">
        <v>5679</v>
      </c>
      <c r="D3572" s="8" t="s">
        <v>39</v>
      </c>
      <c r="E3572" s="8" t="s">
        <v>40</v>
      </c>
    </row>
    <row r="3573" spans="1:5">
      <c r="A3573" s="8">
        <v>7225</v>
      </c>
      <c r="B3573" s="8" t="s">
        <v>5680</v>
      </c>
      <c r="C3573" s="8" t="s">
        <v>987</v>
      </c>
      <c r="D3573" s="8" t="s">
        <v>39</v>
      </c>
      <c r="E3573" s="8" t="s">
        <v>40</v>
      </c>
    </row>
    <row r="3574" spans="1:5">
      <c r="A3574" s="8">
        <v>7226</v>
      </c>
      <c r="B3574" s="8" t="s">
        <v>5681</v>
      </c>
      <c r="C3574" s="8" t="s">
        <v>4925</v>
      </c>
      <c r="D3574" s="8" t="s">
        <v>39</v>
      </c>
      <c r="E3574" s="8" t="s">
        <v>40</v>
      </c>
    </row>
    <row r="3575" spans="1:5">
      <c r="A3575" s="8">
        <v>7227</v>
      </c>
      <c r="B3575" s="8" t="s">
        <v>5682</v>
      </c>
      <c r="C3575" s="8" t="s">
        <v>5683</v>
      </c>
      <c r="D3575" s="8" t="s">
        <v>5683</v>
      </c>
      <c r="E3575" s="8" t="s">
        <v>1835</v>
      </c>
    </row>
    <row r="3576" spans="1:5">
      <c r="A3576" s="8">
        <v>7228</v>
      </c>
      <c r="B3576" s="8" t="s">
        <v>1435</v>
      </c>
      <c r="C3576" s="8" t="s">
        <v>5390</v>
      </c>
      <c r="D3576" s="8" t="s">
        <v>1834</v>
      </c>
      <c r="E3576" s="8" t="s">
        <v>1835</v>
      </c>
    </row>
    <row r="3577" spans="1:5">
      <c r="A3577" s="8">
        <v>7229</v>
      </c>
      <c r="B3577" s="8" t="s">
        <v>5684</v>
      </c>
      <c r="C3577" s="8" t="s">
        <v>571</v>
      </c>
      <c r="D3577" s="8" t="s">
        <v>43</v>
      </c>
      <c r="E3577" s="8" t="s">
        <v>40</v>
      </c>
    </row>
    <row r="3578" spans="1:5">
      <c r="A3578" s="8">
        <v>7230</v>
      </c>
      <c r="B3578" s="8" t="s">
        <v>5685</v>
      </c>
      <c r="C3578" s="8" t="s">
        <v>1575</v>
      </c>
      <c r="D3578" s="8" t="s">
        <v>43</v>
      </c>
      <c r="E3578" s="8" t="s">
        <v>40</v>
      </c>
    </row>
    <row r="3579" spans="1:5">
      <c r="A3579" s="8">
        <v>7231</v>
      </c>
      <c r="B3579" s="8" t="s">
        <v>5686</v>
      </c>
      <c r="C3579" s="8" t="s">
        <v>2712</v>
      </c>
      <c r="D3579" s="8" t="s">
        <v>5687</v>
      </c>
      <c r="E3579" s="8" t="s">
        <v>2713</v>
      </c>
    </row>
    <row r="3580" spans="1:5">
      <c r="A3580" s="8">
        <v>7232</v>
      </c>
      <c r="B3580" s="8" t="s">
        <v>5688</v>
      </c>
      <c r="C3580" s="8" t="s">
        <v>1114</v>
      </c>
      <c r="D3580" s="8" t="s">
        <v>39</v>
      </c>
      <c r="E3580" s="8" t="s">
        <v>40</v>
      </c>
    </row>
    <row r="3581" spans="1:5">
      <c r="A3581" s="8">
        <v>7234</v>
      </c>
      <c r="B3581" s="8" t="s">
        <v>5689</v>
      </c>
      <c r="C3581" s="8" t="s">
        <v>654</v>
      </c>
      <c r="D3581" s="8" t="s">
        <v>39</v>
      </c>
      <c r="E3581" s="8" t="s">
        <v>40</v>
      </c>
    </row>
    <row r="3582" spans="1:5">
      <c r="A3582" s="8">
        <v>7235</v>
      </c>
      <c r="B3582" s="8" t="s">
        <v>5690</v>
      </c>
      <c r="C3582" s="8" t="s">
        <v>5691</v>
      </c>
      <c r="D3582" s="8" t="s">
        <v>1221</v>
      </c>
      <c r="E3582" s="8" t="s">
        <v>40</v>
      </c>
    </row>
    <row r="3583" spans="1:5">
      <c r="A3583" s="8">
        <v>7237</v>
      </c>
      <c r="B3583" s="8" t="s">
        <v>5692</v>
      </c>
      <c r="C3583" s="8" t="s">
        <v>5693</v>
      </c>
      <c r="D3583" s="8" t="s">
        <v>121</v>
      </c>
      <c r="E3583" s="8" t="s">
        <v>40</v>
      </c>
    </row>
    <row r="3584" spans="1:5">
      <c r="A3584" s="8">
        <v>7238</v>
      </c>
      <c r="B3584" s="8" t="s">
        <v>5694</v>
      </c>
      <c r="C3584" s="8" t="s">
        <v>5695</v>
      </c>
      <c r="D3584" s="8" t="s">
        <v>4688</v>
      </c>
      <c r="E3584" s="8" t="s">
        <v>3670</v>
      </c>
    </row>
    <row r="3585" spans="1:5">
      <c r="A3585" s="8">
        <v>7239</v>
      </c>
      <c r="B3585" s="8" t="s">
        <v>5696</v>
      </c>
      <c r="C3585" s="8" t="s">
        <v>5697</v>
      </c>
      <c r="D3585" s="8" t="s">
        <v>5698</v>
      </c>
      <c r="E3585" s="8" t="s">
        <v>5584</v>
      </c>
    </row>
    <row r="3586" spans="1:5">
      <c r="A3586" s="8">
        <v>7240</v>
      </c>
      <c r="B3586" s="8" t="s">
        <v>5699</v>
      </c>
      <c r="C3586" s="8" t="s">
        <v>139</v>
      </c>
      <c r="D3586" s="8" t="s">
        <v>60</v>
      </c>
      <c r="E3586" s="8" t="s">
        <v>40</v>
      </c>
    </row>
    <row r="3587" spans="1:5">
      <c r="A3587" s="8">
        <v>7242</v>
      </c>
      <c r="B3587" s="8" t="s">
        <v>5700</v>
      </c>
      <c r="C3587" s="8" t="s">
        <v>5701</v>
      </c>
      <c r="D3587" s="8" t="s">
        <v>5702</v>
      </c>
      <c r="E3587" s="8" t="s">
        <v>3670</v>
      </c>
    </row>
    <row r="3588" spans="1:5">
      <c r="A3588" s="8">
        <v>7243</v>
      </c>
      <c r="B3588" s="8" t="s">
        <v>5703</v>
      </c>
      <c r="C3588" s="8" t="s">
        <v>905</v>
      </c>
      <c r="D3588" s="8" t="s">
        <v>208</v>
      </c>
      <c r="E3588" s="8" t="s">
        <v>40</v>
      </c>
    </row>
    <row r="3589" spans="1:5">
      <c r="A3589" s="8">
        <v>7244</v>
      </c>
      <c r="B3589" s="8" t="s">
        <v>5704</v>
      </c>
      <c r="C3589" s="8" t="s">
        <v>934</v>
      </c>
      <c r="D3589" s="8" t="s">
        <v>39</v>
      </c>
      <c r="E3589" s="8" t="s">
        <v>40</v>
      </c>
    </row>
    <row r="3590" spans="1:5">
      <c r="A3590" s="8">
        <v>7245</v>
      </c>
      <c r="B3590" s="8" t="s">
        <v>5705</v>
      </c>
      <c r="C3590" s="8" t="s">
        <v>5706</v>
      </c>
      <c r="D3590" s="8" t="s">
        <v>43</v>
      </c>
      <c r="E3590" s="8" t="s">
        <v>40</v>
      </c>
    </row>
    <row r="3591" spans="1:5">
      <c r="A3591" s="8">
        <v>7246</v>
      </c>
      <c r="B3591" s="8" t="s">
        <v>5707</v>
      </c>
      <c r="C3591" s="8" t="s">
        <v>5708</v>
      </c>
      <c r="D3591" s="8" t="s">
        <v>4513</v>
      </c>
      <c r="E3591" s="8" t="s">
        <v>239</v>
      </c>
    </row>
    <row r="3592" spans="1:5">
      <c r="A3592" s="8">
        <v>7247</v>
      </c>
      <c r="B3592" s="8" t="s">
        <v>5709</v>
      </c>
      <c r="C3592" s="8" t="s">
        <v>5710</v>
      </c>
      <c r="D3592" s="8" t="s">
        <v>39</v>
      </c>
      <c r="E3592" s="8" t="s">
        <v>40</v>
      </c>
    </row>
    <row r="3593" spans="1:5">
      <c r="A3593" s="8">
        <v>7248</v>
      </c>
      <c r="B3593" s="8" t="s">
        <v>5711</v>
      </c>
      <c r="C3593" s="8" t="s">
        <v>654</v>
      </c>
      <c r="D3593" s="8" t="s">
        <v>39</v>
      </c>
      <c r="E3593" s="8" t="s">
        <v>40</v>
      </c>
    </row>
    <row r="3594" spans="1:5">
      <c r="A3594" s="8">
        <v>7249</v>
      </c>
      <c r="B3594" s="8" t="s">
        <v>5712</v>
      </c>
      <c r="C3594" s="8" t="s">
        <v>1616</v>
      </c>
      <c r="D3594" s="8" t="s">
        <v>43</v>
      </c>
      <c r="E3594" s="8" t="s">
        <v>40</v>
      </c>
    </row>
    <row r="3595" spans="1:5">
      <c r="A3595" s="8">
        <v>7250</v>
      </c>
      <c r="B3595" s="8" t="s">
        <v>5713</v>
      </c>
      <c r="C3595" s="8" t="s">
        <v>5609</v>
      </c>
      <c r="D3595" s="8" t="s">
        <v>39</v>
      </c>
      <c r="E3595" s="8" t="s">
        <v>40</v>
      </c>
    </row>
    <row r="3596" spans="1:5">
      <c r="A3596" s="8">
        <v>7251</v>
      </c>
      <c r="B3596" s="8" t="s">
        <v>5714</v>
      </c>
      <c r="C3596" s="8" t="s">
        <v>5715</v>
      </c>
      <c r="D3596" s="8" t="s">
        <v>54</v>
      </c>
      <c r="E3596" s="8" t="s">
        <v>40</v>
      </c>
    </row>
    <row r="3597" spans="1:5">
      <c r="A3597" s="8">
        <v>7254</v>
      </c>
      <c r="B3597" s="8" t="s">
        <v>5716</v>
      </c>
      <c r="C3597" s="8" t="s">
        <v>5717</v>
      </c>
      <c r="D3597" s="8" t="s">
        <v>39</v>
      </c>
      <c r="E3597" s="8" t="s">
        <v>40</v>
      </c>
    </row>
    <row r="3598" spans="1:5">
      <c r="A3598" s="8">
        <v>7255</v>
      </c>
      <c r="B3598" s="8" t="s">
        <v>5718</v>
      </c>
      <c r="C3598" s="8" t="s">
        <v>2829</v>
      </c>
      <c r="D3598" s="8" t="s">
        <v>691</v>
      </c>
      <c r="E3598" s="8" t="s">
        <v>40</v>
      </c>
    </row>
    <row r="3599" spans="1:5">
      <c r="A3599" s="8">
        <v>7256</v>
      </c>
      <c r="B3599" s="8" t="s">
        <v>1668</v>
      </c>
      <c r="C3599" s="8" t="s">
        <v>1101</v>
      </c>
      <c r="D3599" s="8" t="s">
        <v>39</v>
      </c>
      <c r="E3599" s="8" t="s">
        <v>40</v>
      </c>
    </row>
    <row r="3600" spans="1:5">
      <c r="A3600" s="8">
        <v>7257</v>
      </c>
      <c r="B3600" s="8" t="s">
        <v>5719</v>
      </c>
      <c r="C3600" s="8" t="s">
        <v>5720</v>
      </c>
      <c r="D3600" s="8" t="s">
        <v>1221</v>
      </c>
      <c r="E3600" s="8" t="s">
        <v>40</v>
      </c>
    </row>
    <row r="3601" spans="1:5">
      <c r="A3601" s="8">
        <v>7258</v>
      </c>
      <c r="B3601" s="8" t="s">
        <v>5721</v>
      </c>
      <c r="C3601" s="8" t="s">
        <v>1364</v>
      </c>
      <c r="D3601" s="8" t="s">
        <v>1221</v>
      </c>
      <c r="E3601" s="8" t="s">
        <v>40</v>
      </c>
    </row>
    <row r="3602" spans="1:5">
      <c r="A3602" s="8">
        <v>7259</v>
      </c>
      <c r="B3602" s="8" t="s">
        <v>2151</v>
      </c>
      <c r="C3602" s="8" t="s">
        <v>2010</v>
      </c>
      <c r="D3602" s="8" t="s">
        <v>60</v>
      </c>
      <c r="E3602" s="8" t="s">
        <v>40</v>
      </c>
    </row>
    <row r="3603" spans="1:5">
      <c r="A3603" s="8">
        <v>7260</v>
      </c>
      <c r="B3603" s="8" t="s">
        <v>5722</v>
      </c>
      <c r="C3603" s="8" t="s">
        <v>3757</v>
      </c>
      <c r="D3603" s="8" t="s">
        <v>51</v>
      </c>
      <c r="E3603" s="8" t="s">
        <v>40</v>
      </c>
    </row>
    <row r="3604" spans="1:5">
      <c r="A3604" s="8">
        <v>7262</v>
      </c>
      <c r="B3604" s="8" t="s">
        <v>5723</v>
      </c>
      <c r="C3604" s="8" t="s">
        <v>4891</v>
      </c>
      <c r="D3604" s="8" t="s">
        <v>4658</v>
      </c>
      <c r="E3604" s="8" t="s">
        <v>239</v>
      </c>
    </row>
    <row r="3605" spans="1:5">
      <c r="A3605" s="8">
        <v>7263</v>
      </c>
      <c r="B3605" s="8" t="s">
        <v>5724</v>
      </c>
      <c r="C3605" s="8" t="s">
        <v>5725</v>
      </c>
      <c r="D3605" s="8" t="s">
        <v>51</v>
      </c>
      <c r="E3605" s="8" t="s">
        <v>40</v>
      </c>
    </row>
    <row r="3606" spans="1:5">
      <c r="A3606" s="8">
        <v>7264</v>
      </c>
      <c r="B3606" s="8" t="s">
        <v>543</v>
      </c>
      <c r="C3606" s="8" t="s">
        <v>3487</v>
      </c>
      <c r="D3606" s="8" t="s">
        <v>164</v>
      </c>
      <c r="E3606" s="8" t="s">
        <v>40</v>
      </c>
    </row>
    <row r="3607" spans="1:5">
      <c r="A3607" s="8">
        <v>7265</v>
      </c>
      <c r="B3607" s="8" t="s">
        <v>5726</v>
      </c>
      <c r="C3607" s="8" t="s">
        <v>5727</v>
      </c>
      <c r="D3607" s="8" t="s">
        <v>429</v>
      </c>
      <c r="E3607" s="8" t="s">
        <v>40</v>
      </c>
    </row>
    <row r="3608" spans="1:5">
      <c r="A3608" s="8">
        <v>7266</v>
      </c>
      <c r="B3608" s="8" t="s">
        <v>5728</v>
      </c>
      <c r="C3608" s="8" t="s">
        <v>5729</v>
      </c>
      <c r="D3608" s="8" t="s">
        <v>60</v>
      </c>
      <c r="E3608" s="8" t="s">
        <v>40</v>
      </c>
    </row>
    <row r="3609" spans="1:5">
      <c r="A3609" s="8">
        <v>7267</v>
      </c>
      <c r="B3609" s="8" t="s">
        <v>5730</v>
      </c>
      <c r="C3609" s="8" t="s">
        <v>1731</v>
      </c>
      <c r="D3609" s="8" t="s">
        <v>238</v>
      </c>
      <c r="E3609" s="8" t="s">
        <v>239</v>
      </c>
    </row>
    <row r="3610" spans="1:5">
      <c r="A3610" s="8">
        <v>7268</v>
      </c>
      <c r="B3610" s="8" t="s">
        <v>5731</v>
      </c>
      <c r="C3610" s="8" t="s">
        <v>54</v>
      </c>
      <c r="D3610" s="8" t="s">
        <v>54</v>
      </c>
      <c r="E3610" s="8" t="s">
        <v>40</v>
      </c>
    </row>
    <row r="3611" spans="1:5">
      <c r="A3611" s="8">
        <v>7269</v>
      </c>
      <c r="B3611" s="8" t="s">
        <v>5732</v>
      </c>
      <c r="C3611" s="8" t="s">
        <v>139</v>
      </c>
      <c r="D3611" s="8" t="s">
        <v>60</v>
      </c>
      <c r="E3611" s="8" t="s">
        <v>40</v>
      </c>
    </row>
    <row r="3612" spans="1:5">
      <c r="A3612" s="8">
        <v>7270</v>
      </c>
      <c r="B3612" s="8" t="s">
        <v>1916</v>
      </c>
      <c r="C3612" s="8" t="s">
        <v>4545</v>
      </c>
      <c r="D3612" s="8" t="s">
        <v>429</v>
      </c>
      <c r="E3612" s="8" t="s">
        <v>40</v>
      </c>
    </row>
    <row r="3613" spans="1:5">
      <c r="A3613" s="8">
        <v>7271</v>
      </c>
      <c r="B3613" s="8" t="s">
        <v>5733</v>
      </c>
      <c r="C3613" s="8" t="s">
        <v>629</v>
      </c>
      <c r="D3613" s="8" t="s">
        <v>809</v>
      </c>
      <c r="E3613" s="8" t="s">
        <v>40</v>
      </c>
    </row>
    <row r="3614" spans="1:5">
      <c r="A3614" s="8">
        <v>7272</v>
      </c>
      <c r="B3614" s="8" t="s">
        <v>5734</v>
      </c>
      <c r="C3614" s="8" t="s">
        <v>54</v>
      </c>
      <c r="D3614" s="8" t="s">
        <v>54</v>
      </c>
      <c r="E3614" s="8" t="s">
        <v>40</v>
      </c>
    </row>
    <row r="3615" spans="1:5">
      <c r="A3615" s="8">
        <v>7273</v>
      </c>
      <c r="B3615" s="8" t="s">
        <v>5735</v>
      </c>
      <c r="C3615" s="8" t="s">
        <v>5736</v>
      </c>
      <c r="D3615" s="8" t="s">
        <v>1221</v>
      </c>
      <c r="E3615" s="8" t="s">
        <v>40</v>
      </c>
    </row>
    <row r="3616" spans="1:5">
      <c r="A3616" s="8">
        <v>7274</v>
      </c>
      <c r="B3616" s="8" t="s">
        <v>5737</v>
      </c>
      <c r="C3616" s="8" t="s">
        <v>161</v>
      </c>
      <c r="D3616" s="8" t="s">
        <v>97</v>
      </c>
      <c r="E3616" s="8" t="s">
        <v>40</v>
      </c>
    </row>
    <row r="3617" spans="1:5">
      <c r="A3617" s="8">
        <v>7275</v>
      </c>
      <c r="B3617" s="8" t="s">
        <v>5738</v>
      </c>
      <c r="C3617" s="8" t="s">
        <v>2708</v>
      </c>
      <c r="D3617" s="8" t="s">
        <v>1226</v>
      </c>
      <c r="E3617" s="8" t="s">
        <v>40</v>
      </c>
    </row>
    <row r="3618" spans="1:5">
      <c r="A3618" s="8">
        <v>7277</v>
      </c>
      <c r="B3618" s="8" t="s">
        <v>5739</v>
      </c>
      <c r="C3618" s="8" t="s">
        <v>963</v>
      </c>
      <c r="D3618" s="8" t="s">
        <v>964</v>
      </c>
      <c r="E3618" s="8" t="s">
        <v>239</v>
      </c>
    </row>
    <row r="3619" spans="1:5">
      <c r="A3619" s="8">
        <v>7278</v>
      </c>
      <c r="B3619" s="8" t="s">
        <v>5740</v>
      </c>
      <c r="C3619" s="8" t="s">
        <v>5741</v>
      </c>
      <c r="D3619" s="8" t="s">
        <v>1994</v>
      </c>
      <c r="E3619" s="8" t="s">
        <v>1995</v>
      </c>
    </row>
    <row r="3620" spans="1:5">
      <c r="A3620" s="8">
        <v>7279</v>
      </c>
      <c r="B3620" s="8" t="s">
        <v>5742</v>
      </c>
      <c r="C3620" s="8" t="s">
        <v>5743</v>
      </c>
      <c r="D3620" s="8" t="s">
        <v>4126</v>
      </c>
      <c r="E3620" s="8" t="s">
        <v>3670</v>
      </c>
    </row>
    <row r="3621" spans="1:5">
      <c r="A3621" s="8">
        <v>7280</v>
      </c>
      <c r="B3621" s="8" t="s">
        <v>5744</v>
      </c>
      <c r="C3621" s="8" t="s">
        <v>3749</v>
      </c>
      <c r="D3621" s="8" t="s">
        <v>3749</v>
      </c>
      <c r="E3621" s="8" t="s">
        <v>3670</v>
      </c>
    </row>
    <row r="3622" spans="1:5">
      <c r="A3622" s="8">
        <v>7281</v>
      </c>
      <c r="B3622" s="8" t="s">
        <v>5745</v>
      </c>
      <c r="C3622" s="8" t="s">
        <v>3821</v>
      </c>
      <c r="D3622" s="8" t="s">
        <v>3821</v>
      </c>
      <c r="E3622" s="8" t="s">
        <v>3670</v>
      </c>
    </row>
    <row r="3623" spans="1:5">
      <c r="A3623" s="8">
        <v>7282</v>
      </c>
      <c r="B3623" s="8" t="s">
        <v>5746</v>
      </c>
      <c r="C3623" s="8" t="s">
        <v>3821</v>
      </c>
      <c r="D3623" s="8" t="s">
        <v>3821</v>
      </c>
      <c r="E3623" s="8" t="s">
        <v>3670</v>
      </c>
    </row>
    <row r="3624" spans="1:5">
      <c r="A3624" s="8">
        <v>7283</v>
      </c>
      <c r="B3624" s="8" t="s">
        <v>5747</v>
      </c>
      <c r="C3624" s="8" t="s">
        <v>3821</v>
      </c>
      <c r="D3624" s="8" t="s">
        <v>3821</v>
      </c>
      <c r="E3624" s="8" t="s">
        <v>3670</v>
      </c>
    </row>
    <row r="3625" spans="1:5">
      <c r="A3625" s="8">
        <v>7284</v>
      </c>
      <c r="B3625" s="8" t="s">
        <v>5748</v>
      </c>
      <c r="C3625" s="8" t="s">
        <v>3821</v>
      </c>
      <c r="D3625" s="8" t="s">
        <v>3821</v>
      </c>
      <c r="E3625" s="8" t="s">
        <v>3670</v>
      </c>
    </row>
    <row r="3626" spans="1:5">
      <c r="A3626" s="8">
        <v>7286</v>
      </c>
      <c r="B3626" s="8" t="s">
        <v>5749</v>
      </c>
      <c r="C3626" s="8" t="s">
        <v>5750</v>
      </c>
      <c r="D3626" s="8" t="s">
        <v>1276</v>
      </c>
      <c r="E3626" s="8" t="s">
        <v>1026</v>
      </c>
    </row>
    <row r="3627" spans="1:5">
      <c r="A3627" s="8">
        <v>7287</v>
      </c>
      <c r="B3627" s="8" t="s">
        <v>5751</v>
      </c>
      <c r="C3627" s="8" t="s">
        <v>2803</v>
      </c>
      <c r="D3627" s="8" t="s">
        <v>4658</v>
      </c>
      <c r="E3627" s="8" t="s">
        <v>239</v>
      </c>
    </row>
    <row r="3628" spans="1:5">
      <c r="A3628" s="8">
        <v>7288</v>
      </c>
      <c r="B3628" s="8" t="s">
        <v>5752</v>
      </c>
      <c r="C3628" s="8" t="s">
        <v>2708</v>
      </c>
      <c r="D3628" s="8" t="s">
        <v>1226</v>
      </c>
      <c r="E3628" s="8" t="s">
        <v>40</v>
      </c>
    </row>
    <row r="3629" spans="1:5">
      <c r="A3629" s="8">
        <v>7289</v>
      </c>
      <c r="B3629" s="8" t="s">
        <v>5753</v>
      </c>
      <c r="C3629" s="8" t="s">
        <v>5754</v>
      </c>
      <c r="D3629" s="8" t="s">
        <v>39</v>
      </c>
      <c r="E3629" s="8" t="s">
        <v>40</v>
      </c>
    </row>
    <row r="3630" spans="1:5">
      <c r="A3630" s="8">
        <v>7290</v>
      </c>
      <c r="B3630" s="8" t="s">
        <v>5755</v>
      </c>
      <c r="C3630" s="8" t="s">
        <v>5756</v>
      </c>
      <c r="D3630" s="8" t="s">
        <v>5757</v>
      </c>
      <c r="E3630" s="8" t="s">
        <v>1835</v>
      </c>
    </row>
    <row r="3631" spans="1:5">
      <c r="A3631" s="8">
        <v>7291</v>
      </c>
      <c r="B3631" s="8" t="s">
        <v>5758</v>
      </c>
      <c r="C3631" s="8" t="s">
        <v>5759</v>
      </c>
      <c r="D3631" s="8" t="s">
        <v>5760</v>
      </c>
      <c r="E3631" s="8" t="s">
        <v>1835</v>
      </c>
    </row>
    <row r="3632" spans="1:5">
      <c r="A3632" s="8">
        <v>7292</v>
      </c>
      <c r="B3632" s="8" t="s">
        <v>5761</v>
      </c>
      <c r="C3632" s="8" t="s">
        <v>5762</v>
      </c>
      <c r="D3632" s="8" t="s">
        <v>5762</v>
      </c>
      <c r="E3632" s="8" t="s">
        <v>1835</v>
      </c>
    </row>
    <row r="3633" spans="1:5">
      <c r="A3633" s="8">
        <v>7293</v>
      </c>
      <c r="B3633" s="8" t="s">
        <v>5763</v>
      </c>
      <c r="C3633" s="8" t="s">
        <v>1834</v>
      </c>
      <c r="D3633" s="8" t="s">
        <v>1834</v>
      </c>
      <c r="E3633" s="8" t="s">
        <v>1835</v>
      </c>
    </row>
    <row r="3634" spans="1:5">
      <c r="A3634" s="8">
        <v>7294</v>
      </c>
      <c r="B3634" s="8" t="s">
        <v>5764</v>
      </c>
      <c r="C3634" s="8" t="s">
        <v>1834</v>
      </c>
      <c r="D3634" s="8" t="s">
        <v>1834</v>
      </c>
      <c r="E3634" s="8" t="s">
        <v>1835</v>
      </c>
    </row>
    <row r="3635" spans="1:5">
      <c r="A3635" s="8">
        <v>7295</v>
      </c>
      <c r="B3635" s="8" t="s">
        <v>5765</v>
      </c>
      <c r="C3635" s="8" t="s">
        <v>5766</v>
      </c>
      <c r="D3635" s="8" t="s">
        <v>5767</v>
      </c>
      <c r="E3635" s="8" t="s">
        <v>1835</v>
      </c>
    </row>
    <row r="3636" spans="1:5">
      <c r="A3636" s="8">
        <v>7296</v>
      </c>
      <c r="B3636" s="8" t="s">
        <v>5768</v>
      </c>
      <c r="C3636" s="8" t="s">
        <v>5769</v>
      </c>
      <c r="D3636" s="8" t="s">
        <v>1834</v>
      </c>
      <c r="E3636" s="8" t="s">
        <v>1835</v>
      </c>
    </row>
    <row r="3637" spans="1:5">
      <c r="A3637" s="8">
        <v>7297</v>
      </c>
      <c r="B3637" s="8" t="s">
        <v>5770</v>
      </c>
      <c r="C3637" s="8" t="s">
        <v>5771</v>
      </c>
      <c r="D3637" s="8" t="s">
        <v>5772</v>
      </c>
      <c r="E3637" s="8" t="s">
        <v>1835</v>
      </c>
    </row>
    <row r="3638" spans="1:5">
      <c r="A3638" s="8">
        <v>7298</v>
      </c>
      <c r="B3638" s="8" t="s">
        <v>5773</v>
      </c>
      <c r="C3638" s="8" t="s">
        <v>1834</v>
      </c>
      <c r="D3638" s="8" t="s">
        <v>1834</v>
      </c>
      <c r="E3638" s="8" t="s">
        <v>1835</v>
      </c>
    </row>
    <row r="3639" spans="1:5">
      <c r="A3639" s="8">
        <v>7299</v>
      </c>
      <c r="B3639" s="8" t="s">
        <v>384</v>
      </c>
      <c r="C3639" s="8" t="s">
        <v>4085</v>
      </c>
      <c r="D3639" s="8" t="s">
        <v>3135</v>
      </c>
      <c r="E3639" s="8" t="s">
        <v>1461</v>
      </c>
    </row>
    <row r="3640" spans="1:5">
      <c r="A3640" s="8">
        <v>7300</v>
      </c>
      <c r="B3640" s="8" t="s">
        <v>5774</v>
      </c>
      <c r="C3640" s="8" t="s">
        <v>5775</v>
      </c>
      <c r="D3640" s="8" t="s">
        <v>5775</v>
      </c>
      <c r="E3640" s="8" t="s">
        <v>1835</v>
      </c>
    </row>
    <row r="3641" spans="1:5">
      <c r="A3641" s="8">
        <v>7301</v>
      </c>
      <c r="B3641" s="8" t="s">
        <v>5776</v>
      </c>
      <c r="C3641" s="8" t="s">
        <v>5777</v>
      </c>
      <c r="D3641" s="8" t="s">
        <v>1018</v>
      </c>
      <c r="E3641" s="8" t="s">
        <v>40</v>
      </c>
    </row>
    <row r="3642" spans="1:5">
      <c r="A3642" s="8">
        <v>7302</v>
      </c>
      <c r="B3642" s="8" t="s">
        <v>5778</v>
      </c>
      <c r="C3642" s="8" t="s">
        <v>5779</v>
      </c>
      <c r="D3642" s="8" t="s">
        <v>1025</v>
      </c>
      <c r="E3642" s="8" t="s">
        <v>1026</v>
      </c>
    </row>
    <row r="3643" spans="1:5">
      <c r="A3643" s="8">
        <v>7303</v>
      </c>
      <c r="B3643" s="8" t="s">
        <v>5780</v>
      </c>
      <c r="C3643" s="8" t="s">
        <v>5781</v>
      </c>
      <c r="D3643" s="8" t="s">
        <v>164</v>
      </c>
      <c r="E3643" s="8" t="s">
        <v>40</v>
      </c>
    </row>
    <row r="3644" spans="1:5">
      <c r="A3644" s="8">
        <v>7305</v>
      </c>
      <c r="B3644" s="8" t="s">
        <v>5782</v>
      </c>
      <c r="C3644" s="8" t="s">
        <v>5783</v>
      </c>
      <c r="D3644" s="8" t="s">
        <v>429</v>
      </c>
      <c r="E3644" s="8" t="s">
        <v>40</v>
      </c>
    </row>
    <row r="3645" spans="1:5">
      <c r="A3645" s="8">
        <v>7306</v>
      </c>
      <c r="B3645" s="8" t="s">
        <v>5784</v>
      </c>
      <c r="C3645" s="8" t="s">
        <v>5785</v>
      </c>
      <c r="D3645" s="8" t="s">
        <v>181</v>
      </c>
      <c r="E3645" s="8" t="s">
        <v>40</v>
      </c>
    </row>
    <row r="3646" spans="1:5">
      <c r="A3646" s="8">
        <v>7308</v>
      </c>
      <c r="B3646" s="8" t="s">
        <v>5786</v>
      </c>
      <c r="C3646" s="8" t="s">
        <v>154</v>
      </c>
      <c r="D3646" s="8" t="s">
        <v>43</v>
      </c>
      <c r="E3646" s="8" t="s">
        <v>40</v>
      </c>
    </row>
    <row r="3647" spans="1:5">
      <c r="A3647" s="8">
        <v>7309</v>
      </c>
      <c r="B3647" s="8" t="s">
        <v>5787</v>
      </c>
      <c r="C3647" s="8" t="s">
        <v>5788</v>
      </c>
      <c r="D3647" s="8" t="s">
        <v>213</v>
      </c>
      <c r="E3647" s="8" t="s">
        <v>40</v>
      </c>
    </row>
    <row r="3648" spans="1:5">
      <c r="A3648" s="8">
        <v>7311</v>
      </c>
      <c r="B3648" s="8" t="s">
        <v>5309</v>
      </c>
      <c r="C3648" s="8" t="s">
        <v>159</v>
      </c>
      <c r="D3648" s="8" t="s">
        <v>1221</v>
      </c>
      <c r="E3648" s="8" t="s">
        <v>40</v>
      </c>
    </row>
    <row r="3649" spans="1:5">
      <c r="A3649" s="8">
        <v>7312</v>
      </c>
      <c r="B3649" s="8" t="s">
        <v>5789</v>
      </c>
      <c r="C3649" s="8" t="s">
        <v>5790</v>
      </c>
      <c r="D3649" s="8" t="s">
        <v>164</v>
      </c>
      <c r="E3649" s="8" t="s">
        <v>40</v>
      </c>
    </row>
    <row r="3650" spans="1:5">
      <c r="A3650" s="8">
        <v>7313</v>
      </c>
      <c r="B3650" s="8" t="s">
        <v>5791</v>
      </c>
      <c r="C3650" s="8" t="s">
        <v>5792</v>
      </c>
      <c r="D3650" s="8" t="s">
        <v>490</v>
      </c>
      <c r="E3650" s="8" t="s">
        <v>40</v>
      </c>
    </row>
    <row r="3651" spans="1:5">
      <c r="A3651" s="8">
        <v>7314</v>
      </c>
      <c r="B3651" s="8" t="s">
        <v>5793</v>
      </c>
      <c r="C3651" s="8" t="s">
        <v>1058</v>
      </c>
      <c r="D3651" s="8" t="s">
        <v>181</v>
      </c>
      <c r="E3651" s="8" t="s">
        <v>40</v>
      </c>
    </row>
    <row r="3652" spans="1:5">
      <c r="A3652" s="8">
        <v>7315</v>
      </c>
      <c r="B3652" s="8" t="s">
        <v>5794</v>
      </c>
      <c r="C3652" s="8" t="s">
        <v>707</v>
      </c>
      <c r="D3652" s="8" t="s">
        <v>630</v>
      </c>
      <c r="E3652" s="8" t="s">
        <v>40</v>
      </c>
    </row>
    <row r="3653" spans="1:5">
      <c r="A3653" s="8">
        <v>7316</v>
      </c>
      <c r="B3653" s="8" t="s">
        <v>5795</v>
      </c>
      <c r="C3653" s="8" t="s">
        <v>2708</v>
      </c>
      <c r="D3653" s="8" t="s">
        <v>1226</v>
      </c>
      <c r="E3653" s="8" t="s">
        <v>40</v>
      </c>
    </row>
    <row r="3654" spans="1:5">
      <c r="A3654" s="8">
        <v>7317</v>
      </c>
      <c r="B3654" s="8" t="s">
        <v>5796</v>
      </c>
      <c r="C3654" s="8" t="s">
        <v>2767</v>
      </c>
      <c r="D3654" s="8" t="s">
        <v>43</v>
      </c>
      <c r="E3654" s="8" t="s">
        <v>40</v>
      </c>
    </row>
    <row r="3655" spans="1:5">
      <c r="A3655" s="8">
        <v>7318</v>
      </c>
      <c r="B3655" s="8" t="s">
        <v>5797</v>
      </c>
      <c r="C3655" s="8" t="s">
        <v>5798</v>
      </c>
      <c r="D3655" s="8" t="s">
        <v>54</v>
      </c>
      <c r="E3655" s="8" t="s">
        <v>40</v>
      </c>
    </row>
    <row r="3656" spans="1:5">
      <c r="A3656" s="8">
        <v>7319</v>
      </c>
      <c r="B3656" s="8" t="s">
        <v>5799</v>
      </c>
      <c r="C3656" s="8" t="s">
        <v>4841</v>
      </c>
      <c r="D3656" s="8" t="s">
        <v>164</v>
      </c>
      <c r="E3656" s="8" t="s">
        <v>40</v>
      </c>
    </row>
    <row r="3657" spans="1:5">
      <c r="A3657" s="8">
        <v>7320</v>
      </c>
      <c r="B3657" s="8" t="s">
        <v>5800</v>
      </c>
      <c r="C3657" s="8" t="s">
        <v>5801</v>
      </c>
      <c r="D3657" s="8" t="s">
        <v>5801</v>
      </c>
      <c r="E3657" s="8" t="s">
        <v>1835</v>
      </c>
    </row>
    <row r="3658" spans="1:5">
      <c r="A3658" s="8">
        <v>7321</v>
      </c>
      <c r="B3658" s="8" t="s">
        <v>5802</v>
      </c>
      <c r="C3658" s="8" t="s">
        <v>2191</v>
      </c>
      <c r="D3658" s="8" t="s">
        <v>164</v>
      </c>
      <c r="E3658" s="8" t="s">
        <v>40</v>
      </c>
    </row>
    <row r="3659" spans="1:5">
      <c r="A3659" s="8">
        <v>7322</v>
      </c>
      <c r="B3659" s="8" t="s">
        <v>5803</v>
      </c>
      <c r="C3659" s="8" t="s">
        <v>5804</v>
      </c>
      <c r="D3659" s="8" t="s">
        <v>43</v>
      </c>
      <c r="E3659" s="8" t="s">
        <v>40</v>
      </c>
    </row>
    <row r="3660" spans="1:5">
      <c r="A3660" s="8">
        <v>7323</v>
      </c>
      <c r="B3660" s="8" t="s">
        <v>5805</v>
      </c>
      <c r="C3660" s="8" t="s">
        <v>4878</v>
      </c>
      <c r="D3660" s="8" t="s">
        <v>43</v>
      </c>
      <c r="E3660" s="8" t="s">
        <v>40</v>
      </c>
    </row>
    <row r="3661" spans="1:5">
      <c r="A3661" s="8">
        <v>7324</v>
      </c>
      <c r="B3661" s="8" t="s">
        <v>5806</v>
      </c>
      <c r="C3661" s="8" t="s">
        <v>4878</v>
      </c>
      <c r="D3661" s="8" t="s">
        <v>43</v>
      </c>
      <c r="E3661" s="8" t="s">
        <v>40</v>
      </c>
    </row>
    <row r="3662" spans="1:5">
      <c r="A3662" s="8">
        <v>7325</v>
      </c>
      <c r="B3662" s="8" t="s">
        <v>5807</v>
      </c>
      <c r="C3662" s="8" t="s">
        <v>5808</v>
      </c>
      <c r="D3662" s="8" t="s">
        <v>393</v>
      </c>
      <c r="E3662" s="8" t="s">
        <v>40</v>
      </c>
    </row>
    <row r="3663" spans="1:5">
      <c r="A3663" s="8">
        <v>7326</v>
      </c>
      <c r="B3663" s="8" t="s">
        <v>5809</v>
      </c>
      <c r="C3663" s="8" t="s">
        <v>4878</v>
      </c>
      <c r="D3663" s="8" t="s">
        <v>43</v>
      </c>
      <c r="E3663" s="8" t="s">
        <v>40</v>
      </c>
    </row>
    <row r="3664" spans="1:5">
      <c r="A3664" s="8">
        <v>7327</v>
      </c>
      <c r="B3664" s="8" t="s">
        <v>5810</v>
      </c>
      <c r="C3664" s="8" t="s">
        <v>4878</v>
      </c>
      <c r="D3664" s="8" t="s">
        <v>43</v>
      </c>
      <c r="E3664" s="8" t="s">
        <v>40</v>
      </c>
    </row>
    <row r="3665" spans="1:5">
      <c r="A3665" s="8">
        <v>7328</v>
      </c>
      <c r="B3665" s="8" t="s">
        <v>5811</v>
      </c>
      <c r="C3665" s="8" t="s">
        <v>3195</v>
      </c>
      <c r="D3665" s="8" t="s">
        <v>43</v>
      </c>
      <c r="E3665" s="8" t="s">
        <v>40</v>
      </c>
    </row>
    <row r="3666" spans="1:5">
      <c r="A3666" s="8">
        <v>7329</v>
      </c>
      <c r="B3666" s="8" t="s">
        <v>5812</v>
      </c>
      <c r="C3666" s="8" t="s">
        <v>607</v>
      </c>
      <c r="D3666" s="8" t="s">
        <v>238</v>
      </c>
      <c r="E3666" s="8" t="s">
        <v>239</v>
      </c>
    </row>
    <row r="3667" spans="1:5">
      <c r="A3667" s="8">
        <v>7331</v>
      </c>
      <c r="B3667" s="8" t="s">
        <v>5813</v>
      </c>
      <c r="C3667" s="8" t="s">
        <v>2169</v>
      </c>
      <c r="D3667" s="8" t="s">
        <v>1226</v>
      </c>
      <c r="E3667" s="8" t="s">
        <v>40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41"/>
  <sheetViews>
    <sheetView workbookViewId="0">
      <selection activeCell="B1" sqref="B1:J1048576"/>
    </sheetView>
  </sheetViews>
  <sheetFormatPr defaultRowHeight="15"/>
  <cols>
    <col min="1" max="1" width="13.85546875" customWidth="1"/>
    <col min="2" max="2" width="9.5703125" bestFit="1" customWidth="1"/>
    <col min="3" max="3" width="31.7109375" bestFit="1" customWidth="1"/>
    <col min="4" max="4" width="39.85546875" bestFit="1" customWidth="1"/>
    <col min="5" max="5" width="32" bestFit="1" customWidth="1"/>
    <col min="6" max="6" width="32.28515625" bestFit="1" customWidth="1"/>
    <col min="7" max="7" width="40.140625" bestFit="1" customWidth="1"/>
    <col min="8" max="8" width="41.42578125" bestFit="1" customWidth="1"/>
    <col min="9" max="9" width="79.7109375" bestFit="1" customWidth="1"/>
    <col min="10" max="10" width="28.28515625" bestFit="1" customWidth="1"/>
    <col min="11" max="12" width="11.140625" bestFit="1" customWidth="1"/>
  </cols>
  <sheetData>
    <row r="1" spans="1:12">
      <c r="A1" s="2" t="s">
        <v>0</v>
      </c>
      <c r="B1" s="2" t="s">
        <v>6035</v>
      </c>
      <c r="C1" s="2" t="s">
        <v>6036</v>
      </c>
      <c r="D1" s="2" t="s">
        <v>6037</v>
      </c>
      <c r="E1" s="2" t="s">
        <v>6038</v>
      </c>
      <c r="F1" s="2" t="s">
        <v>6039</v>
      </c>
      <c r="G1" s="2" t="s">
        <v>6040</v>
      </c>
      <c r="H1" s="2" t="s">
        <v>6041</v>
      </c>
      <c r="I1" s="2" t="s">
        <v>6042</v>
      </c>
      <c r="J1" s="2" t="s">
        <v>6043</v>
      </c>
      <c r="K1" s="2" t="s">
        <v>5877</v>
      </c>
      <c r="L1" s="2" t="s">
        <v>5934</v>
      </c>
    </row>
    <row r="2" spans="1:12">
      <c r="A2" s="1">
        <v>43196.738447164353</v>
      </c>
      <c r="B2" s="2">
        <v>173</v>
      </c>
      <c r="C2" s="2" t="s">
        <v>13</v>
      </c>
      <c r="D2" s="2" t="s">
        <v>14</v>
      </c>
      <c r="E2" s="2" t="s">
        <v>12</v>
      </c>
      <c r="F2" s="2" t="s">
        <v>15</v>
      </c>
      <c r="G2" s="2" t="s">
        <v>6233</v>
      </c>
      <c r="H2" s="2">
        <v>4</v>
      </c>
      <c r="I2" s="2" t="s">
        <v>6234</v>
      </c>
      <c r="J2" s="2" t="s">
        <v>6235</v>
      </c>
      <c r="K2" s="2"/>
      <c r="L2" s="2"/>
    </row>
    <row r="3" spans="1:12">
      <c r="A3" s="1">
        <v>43196.740096562498</v>
      </c>
      <c r="B3" s="2">
        <v>190</v>
      </c>
      <c r="C3" s="2" t="s">
        <v>14</v>
      </c>
      <c r="D3" s="2" t="s">
        <v>14</v>
      </c>
      <c r="E3" s="2" t="s">
        <v>5911</v>
      </c>
      <c r="F3" s="2" t="s">
        <v>15</v>
      </c>
      <c r="G3" s="2" t="s">
        <v>6236</v>
      </c>
      <c r="H3" s="2">
        <v>4</v>
      </c>
      <c r="I3" s="2" t="s">
        <v>6237</v>
      </c>
      <c r="J3" s="2" t="s">
        <v>6238</v>
      </c>
    </row>
    <row r="4" spans="1:12">
      <c r="A4" s="1">
        <v>43196.742045370367</v>
      </c>
      <c r="B4" s="2">
        <v>195</v>
      </c>
      <c r="C4" s="2" t="s">
        <v>14</v>
      </c>
      <c r="D4" s="2" t="s">
        <v>14</v>
      </c>
      <c r="E4" s="2" t="s">
        <v>12</v>
      </c>
      <c r="F4" s="2" t="s">
        <v>15</v>
      </c>
      <c r="G4" s="2" t="s">
        <v>6239</v>
      </c>
      <c r="H4" s="2">
        <v>6</v>
      </c>
      <c r="I4" s="2" t="s">
        <v>6240</v>
      </c>
      <c r="J4" s="2" t="s">
        <v>6241</v>
      </c>
    </row>
    <row r="5" spans="1:12">
      <c r="A5" s="1">
        <v>43196.743643622685</v>
      </c>
      <c r="B5" s="2">
        <v>230</v>
      </c>
      <c r="C5" s="2" t="s">
        <v>14</v>
      </c>
      <c r="D5" s="2" t="s">
        <v>14</v>
      </c>
      <c r="E5" s="2" t="s">
        <v>12</v>
      </c>
      <c r="F5" s="2" t="s">
        <v>15</v>
      </c>
      <c r="G5" s="2" t="s">
        <v>6242</v>
      </c>
      <c r="H5" s="2">
        <v>4</v>
      </c>
      <c r="I5" s="2" t="s">
        <v>6243</v>
      </c>
      <c r="J5" s="2" t="s">
        <v>6244</v>
      </c>
    </row>
    <row r="6" spans="1:12">
      <c r="A6" s="1">
        <v>43196.745439189814</v>
      </c>
      <c r="B6" s="2">
        <v>571</v>
      </c>
      <c r="C6" s="2" t="s">
        <v>14</v>
      </c>
      <c r="D6" s="2" t="s">
        <v>14</v>
      </c>
      <c r="E6" s="2" t="s">
        <v>12</v>
      </c>
      <c r="F6" s="2" t="s">
        <v>15</v>
      </c>
      <c r="G6" s="2" t="s">
        <v>6245</v>
      </c>
      <c r="H6" s="2">
        <v>4</v>
      </c>
      <c r="I6" s="2" t="s">
        <v>6246</v>
      </c>
      <c r="J6" s="2" t="s">
        <v>6247</v>
      </c>
    </row>
    <row r="7" spans="1:12">
      <c r="A7" s="1">
        <v>43196.747013993052</v>
      </c>
      <c r="B7" s="2">
        <v>1991</v>
      </c>
      <c r="C7" s="2" t="s">
        <v>14</v>
      </c>
      <c r="D7" s="2" t="s">
        <v>14</v>
      </c>
      <c r="E7" s="2" t="s">
        <v>5911</v>
      </c>
      <c r="F7" s="2" t="s">
        <v>15</v>
      </c>
      <c r="G7" s="2" t="s">
        <v>6248</v>
      </c>
      <c r="H7" s="2">
        <v>4</v>
      </c>
      <c r="I7" s="2" t="s">
        <v>6249</v>
      </c>
      <c r="J7" s="2" t="s">
        <v>6250</v>
      </c>
    </row>
    <row r="8" spans="1:12">
      <c r="A8" s="1">
        <v>43196.748649409725</v>
      </c>
      <c r="B8" s="2">
        <v>5686</v>
      </c>
      <c r="C8" s="2" t="s">
        <v>13</v>
      </c>
      <c r="D8" s="2" t="s">
        <v>13</v>
      </c>
      <c r="E8" s="2" t="s">
        <v>5911</v>
      </c>
      <c r="F8" s="2" t="s">
        <v>15</v>
      </c>
      <c r="G8" s="2" t="s">
        <v>6232</v>
      </c>
      <c r="H8" s="2">
        <v>4</v>
      </c>
      <c r="I8" s="2" t="s">
        <v>6251</v>
      </c>
      <c r="J8" s="2" t="s">
        <v>6380</v>
      </c>
    </row>
    <row r="9" spans="1:12">
      <c r="A9" s="1">
        <v>43196.750005567126</v>
      </c>
      <c r="B9" s="2">
        <v>5746</v>
      </c>
      <c r="C9" s="2" t="s">
        <v>13</v>
      </c>
      <c r="D9" s="2" t="s">
        <v>14</v>
      </c>
      <c r="E9" s="2" t="s">
        <v>5911</v>
      </c>
      <c r="F9" s="2" t="s">
        <v>15</v>
      </c>
      <c r="G9" s="2" t="s">
        <v>6252</v>
      </c>
      <c r="H9" s="2">
        <v>4</v>
      </c>
      <c r="I9" s="2" t="s">
        <v>6253</v>
      </c>
      <c r="J9" s="2" t="s">
        <v>6254</v>
      </c>
    </row>
    <row r="10" spans="1:12">
      <c r="A10" s="1">
        <v>43196.781960335647</v>
      </c>
      <c r="B10" s="2">
        <v>3146</v>
      </c>
      <c r="C10" s="2" t="s">
        <v>13</v>
      </c>
      <c r="D10" s="2" t="s">
        <v>13</v>
      </c>
      <c r="E10" s="2" t="s">
        <v>12</v>
      </c>
      <c r="F10" s="2" t="s">
        <v>15</v>
      </c>
      <c r="G10" s="2" t="s">
        <v>6381</v>
      </c>
      <c r="H10" s="2">
        <v>4</v>
      </c>
      <c r="I10" s="2" t="s">
        <v>6382</v>
      </c>
      <c r="J10" s="2" t="s">
        <v>6383</v>
      </c>
    </row>
    <row r="11" spans="1:12">
      <c r="A11" s="1">
        <v>43196.783556504626</v>
      </c>
      <c r="B11" s="2">
        <v>3182</v>
      </c>
      <c r="C11" s="2" t="s">
        <v>13</v>
      </c>
      <c r="D11" s="2" t="s">
        <v>13</v>
      </c>
      <c r="E11" s="2" t="s">
        <v>12</v>
      </c>
      <c r="F11" s="2" t="s">
        <v>15</v>
      </c>
      <c r="G11" s="2" t="s">
        <v>6384</v>
      </c>
      <c r="H11" s="2">
        <v>6</v>
      </c>
      <c r="I11" s="2" t="s">
        <v>6385</v>
      </c>
      <c r="J11" s="2" t="s">
        <v>6386</v>
      </c>
    </row>
    <row r="12" spans="1:12">
      <c r="A12" s="1">
        <v>43196.78505233796</v>
      </c>
      <c r="B12" s="2">
        <v>3464</v>
      </c>
      <c r="C12" s="2" t="s">
        <v>13</v>
      </c>
      <c r="D12" s="2" t="s">
        <v>13</v>
      </c>
      <c r="E12" s="2" t="s">
        <v>12</v>
      </c>
      <c r="F12" s="2" t="s">
        <v>15</v>
      </c>
      <c r="G12" s="2" t="s">
        <v>6387</v>
      </c>
      <c r="H12" s="2">
        <v>4</v>
      </c>
      <c r="I12" s="2" t="s">
        <v>6388</v>
      </c>
      <c r="J12" s="2" t="s">
        <v>6389</v>
      </c>
    </row>
    <row r="13" spans="1:12">
      <c r="A13" s="1">
        <v>43196.786719050928</v>
      </c>
      <c r="B13" s="2">
        <v>6346</v>
      </c>
      <c r="C13" s="2" t="s">
        <v>19</v>
      </c>
      <c r="D13" s="2" t="s">
        <v>13</v>
      </c>
      <c r="E13" s="2" t="s">
        <v>5911</v>
      </c>
      <c r="F13" s="2" t="s">
        <v>15</v>
      </c>
      <c r="G13" s="2" t="s">
        <v>6232</v>
      </c>
      <c r="H13" s="2">
        <v>4</v>
      </c>
      <c r="I13" s="2" t="s">
        <v>6390</v>
      </c>
      <c r="J13" s="2" t="s">
        <v>6391</v>
      </c>
    </row>
    <row r="14" spans="1:12">
      <c r="A14" s="1">
        <v>43196.788918148151</v>
      </c>
      <c r="B14" s="2">
        <v>6895</v>
      </c>
      <c r="C14" s="2" t="s">
        <v>19</v>
      </c>
      <c r="D14" s="2" t="s">
        <v>13</v>
      </c>
      <c r="E14" s="2" t="s">
        <v>12</v>
      </c>
      <c r="F14" s="2" t="s">
        <v>5912</v>
      </c>
      <c r="G14" s="2" t="s">
        <v>6387</v>
      </c>
      <c r="H14" s="2">
        <v>4</v>
      </c>
      <c r="I14" s="2" t="s">
        <v>6392</v>
      </c>
      <c r="J14" s="2" t="s">
        <v>6393</v>
      </c>
    </row>
    <row r="15" spans="1:12">
      <c r="A15" s="1">
        <v>43196.790105925924</v>
      </c>
      <c r="B15" s="2">
        <v>7127</v>
      </c>
      <c r="C15" s="2" t="s">
        <v>13</v>
      </c>
      <c r="D15" s="2" t="s">
        <v>13</v>
      </c>
      <c r="E15" s="2" t="s">
        <v>5911</v>
      </c>
      <c r="F15" s="2" t="s">
        <v>15</v>
      </c>
      <c r="G15" s="2" t="s">
        <v>6387</v>
      </c>
      <c r="H15" s="2">
        <v>4</v>
      </c>
      <c r="I15" s="2" t="s">
        <v>6394</v>
      </c>
      <c r="J15" s="2" t="s">
        <v>6395</v>
      </c>
    </row>
    <row r="16" spans="1:12">
      <c r="A16" s="1">
        <v>43196.793071874999</v>
      </c>
      <c r="B16" s="2">
        <v>155</v>
      </c>
      <c r="C16" s="2" t="s">
        <v>13</v>
      </c>
      <c r="D16" s="2" t="s">
        <v>13</v>
      </c>
      <c r="E16" s="2" t="s">
        <v>12</v>
      </c>
      <c r="F16" s="2" t="s">
        <v>15</v>
      </c>
      <c r="G16" s="2" t="s">
        <v>6396</v>
      </c>
      <c r="H16" s="2">
        <v>4</v>
      </c>
      <c r="I16" s="2" t="s">
        <v>6397</v>
      </c>
      <c r="J16" s="2" t="s">
        <v>6398</v>
      </c>
    </row>
    <row r="17" spans="1:10">
      <c r="A17" s="1">
        <v>43196.795931064815</v>
      </c>
      <c r="B17" s="2">
        <v>175</v>
      </c>
      <c r="C17" s="2" t="s">
        <v>14</v>
      </c>
      <c r="D17" s="2" t="s">
        <v>14</v>
      </c>
      <c r="E17" s="2" t="s">
        <v>12</v>
      </c>
      <c r="F17" s="2" t="s">
        <v>15</v>
      </c>
      <c r="G17" s="2" t="s">
        <v>6399</v>
      </c>
      <c r="H17" s="2">
        <v>4</v>
      </c>
      <c r="I17" s="2" t="s">
        <v>6400</v>
      </c>
      <c r="J17" s="2" t="s">
        <v>6401</v>
      </c>
    </row>
    <row r="18" spans="1:10">
      <c r="A18" s="1">
        <v>43196.797704872683</v>
      </c>
      <c r="B18" s="2">
        <v>176</v>
      </c>
      <c r="C18" s="2" t="s">
        <v>14</v>
      </c>
      <c r="D18" s="2" t="s">
        <v>14</v>
      </c>
      <c r="E18" s="2" t="s">
        <v>12</v>
      </c>
      <c r="F18" s="2" t="s">
        <v>15</v>
      </c>
      <c r="G18" s="2" t="s">
        <v>6402</v>
      </c>
      <c r="H18" s="2">
        <v>6</v>
      </c>
      <c r="I18" s="2" t="s">
        <v>6403</v>
      </c>
      <c r="J18" s="2" t="s">
        <v>6404</v>
      </c>
    </row>
    <row r="19" spans="1:10">
      <c r="A19" s="1">
        <v>43196.799140509262</v>
      </c>
      <c r="B19" s="2">
        <v>177</v>
      </c>
      <c r="C19" s="2" t="s">
        <v>14</v>
      </c>
      <c r="D19" s="2" t="s">
        <v>14</v>
      </c>
      <c r="E19" s="2" t="s">
        <v>12</v>
      </c>
      <c r="F19" s="2" t="s">
        <v>15</v>
      </c>
      <c r="G19" s="2" t="s">
        <v>6405</v>
      </c>
      <c r="H19" s="2">
        <v>6</v>
      </c>
      <c r="I19" s="2" t="s">
        <v>6406</v>
      </c>
      <c r="J19" s="2" t="s">
        <v>6407</v>
      </c>
    </row>
    <row r="20" spans="1:10">
      <c r="A20" s="1">
        <v>43196.801106747684</v>
      </c>
      <c r="B20" s="2">
        <v>181</v>
      </c>
      <c r="C20" s="2" t="s">
        <v>13</v>
      </c>
      <c r="D20" s="2" t="s">
        <v>14</v>
      </c>
      <c r="E20" s="2" t="s">
        <v>12</v>
      </c>
      <c r="F20" s="2" t="s">
        <v>15</v>
      </c>
      <c r="G20" s="2" t="s">
        <v>6408</v>
      </c>
      <c r="H20" s="2">
        <v>4</v>
      </c>
      <c r="I20" s="2" t="s">
        <v>6409</v>
      </c>
      <c r="J20" s="2" t="s">
        <v>6410</v>
      </c>
    </row>
    <row r="21" spans="1:10">
      <c r="A21" s="1">
        <v>43196.802380810186</v>
      </c>
      <c r="B21" s="2">
        <v>190</v>
      </c>
      <c r="C21" s="2" t="s">
        <v>14</v>
      </c>
      <c r="D21" s="2" t="s">
        <v>14</v>
      </c>
      <c r="E21" s="2" t="s">
        <v>5911</v>
      </c>
      <c r="F21" s="2" t="s">
        <v>15</v>
      </c>
      <c r="G21" s="2" t="s">
        <v>6411</v>
      </c>
      <c r="H21" s="2">
        <v>4</v>
      </c>
      <c r="I21" s="2" t="s">
        <v>6412</v>
      </c>
      <c r="J21" s="2" t="s">
        <v>6413</v>
      </c>
    </row>
    <row r="22" spans="1:10">
      <c r="A22" s="1">
        <v>43196.808836377313</v>
      </c>
      <c r="B22" s="2">
        <v>558</v>
      </c>
      <c r="C22" s="2" t="s">
        <v>14</v>
      </c>
      <c r="D22" s="2" t="s">
        <v>14</v>
      </c>
      <c r="E22" s="2" t="s">
        <v>12</v>
      </c>
      <c r="F22" s="2" t="s">
        <v>15</v>
      </c>
      <c r="G22" s="2" t="s">
        <v>6387</v>
      </c>
      <c r="H22" s="2">
        <v>6</v>
      </c>
      <c r="I22" s="2" t="s">
        <v>6414</v>
      </c>
      <c r="J22" s="2" t="s">
        <v>6415</v>
      </c>
    </row>
    <row r="23" spans="1:10">
      <c r="A23" s="1">
        <v>43196.811071574077</v>
      </c>
      <c r="B23" s="2">
        <v>1027</v>
      </c>
      <c r="C23" s="2" t="s">
        <v>19</v>
      </c>
      <c r="D23" s="2" t="s">
        <v>13</v>
      </c>
      <c r="E23" s="2" t="s">
        <v>12</v>
      </c>
      <c r="F23" s="2" t="s">
        <v>15</v>
      </c>
      <c r="G23" s="2" t="s">
        <v>6416</v>
      </c>
      <c r="H23" s="2">
        <v>4</v>
      </c>
      <c r="I23" s="2" t="s">
        <v>6417</v>
      </c>
      <c r="J23" s="2" t="s">
        <v>6418</v>
      </c>
    </row>
    <row r="24" spans="1:10">
      <c r="A24" s="1">
        <v>43196.818950740744</v>
      </c>
      <c r="B24" s="2">
        <v>999</v>
      </c>
      <c r="C24" s="2" t="s">
        <v>13</v>
      </c>
      <c r="D24" s="2" t="s">
        <v>13</v>
      </c>
      <c r="E24" s="2" t="s">
        <v>12</v>
      </c>
      <c r="F24" s="2" t="s">
        <v>15</v>
      </c>
      <c r="G24" s="2" t="s">
        <v>6416</v>
      </c>
      <c r="H24" s="2">
        <v>6</v>
      </c>
      <c r="I24" s="2" t="s">
        <v>6419</v>
      </c>
      <c r="J24" s="2" t="s">
        <v>6420</v>
      </c>
    </row>
    <row r="25" spans="1:10">
      <c r="A25" s="1">
        <v>43196.822450266205</v>
      </c>
      <c r="B25" s="2">
        <v>2064</v>
      </c>
      <c r="C25" s="2" t="s">
        <v>14</v>
      </c>
      <c r="D25" s="2" t="s">
        <v>14</v>
      </c>
      <c r="E25" s="2" t="s">
        <v>12</v>
      </c>
      <c r="F25" s="2" t="s">
        <v>15</v>
      </c>
      <c r="G25" s="2" t="s">
        <v>6421</v>
      </c>
      <c r="H25" s="2">
        <v>4</v>
      </c>
      <c r="I25" s="2" t="s">
        <v>6422</v>
      </c>
      <c r="J25" s="2" t="s">
        <v>6423</v>
      </c>
    </row>
    <row r="26" spans="1:10">
      <c r="A26" s="1">
        <v>43196.823995694445</v>
      </c>
      <c r="B26" s="2">
        <v>1740</v>
      </c>
      <c r="C26" s="2" t="s">
        <v>13</v>
      </c>
      <c r="D26" s="2" t="s">
        <v>14</v>
      </c>
      <c r="E26" s="2" t="s">
        <v>12</v>
      </c>
      <c r="F26" s="2" t="s">
        <v>15</v>
      </c>
      <c r="G26" s="2" t="s">
        <v>6424</v>
      </c>
      <c r="H26" s="2">
        <v>4</v>
      </c>
      <c r="I26" s="2" t="s">
        <v>6425</v>
      </c>
      <c r="J26" s="2" t="s">
        <v>6426</v>
      </c>
    </row>
    <row r="27" spans="1:10">
      <c r="A27" s="1">
        <v>43196.825695324071</v>
      </c>
      <c r="B27" s="2">
        <v>1973</v>
      </c>
      <c r="C27" s="2" t="s">
        <v>19</v>
      </c>
      <c r="D27" s="2" t="s">
        <v>13</v>
      </c>
      <c r="E27" s="2" t="s">
        <v>5911</v>
      </c>
      <c r="F27" s="2" t="s">
        <v>15</v>
      </c>
      <c r="G27" s="2" t="s">
        <v>6387</v>
      </c>
      <c r="H27" s="2">
        <v>4</v>
      </c>
      <c r="I27" s="2"/>
      <c r="J27" s="2" t="s">
        <v>6427</v>
      </c>
    </row>
    <row r="28" spans="1:10">
      <c r="A28" s="1">
        <v>43197.365136319444</v>
      </c>
      <c r="B28" s="2">
        <v>6333</v>
      </c>
      <c r="C28" s="2" t="s">
        <v>19</v>
      </c>
      <c r="D28" s="2" t="s">
        <v>14</v>
      </c>
      <c r="E28" s="2" t="s">
        <v>5911</v>
      </c>
      <c r="F28" s="2" t="s">
        <v>15</v>
      </c>
      <c r="G28" s="2" t="s">
        <v>6428</v>
      </c>
      <c r="H28" s="2">
        <v>2</v>
      </c>
      <c r="I28" s="2" t="s">
        <v>6429</v>
      </c>
      <c r="J28" s="2" t="s">
        <v>6430</v>
      </c>
    </row>
    <row r="29" spans="1:10">
      <c r="A29" s="1">
        <v>43197.369927037034</v>
      </c>
      <c r="B29" s="2">
        <v>5129</v>
      </c>
      <c r="C29" s="2" t="s">
        <v>13</v>
      </c>
      <c r="D29" s="2" t="s">
        <v>23</v>
      </c>
      <c r="E29" s="2" t="s">
        <v>12</v>
      </c>
      <c r="F29" s="2" t="s">
        <v>15</v>
      </c>
      <c r="G29" s="2" t="s">
        <v>6428</v>
      </c>
      <c r="H29" s="2">
        <v>4</v>
      </c>
      <c r="I29" s="2" t="s">
        <v>6431</v>
      </c>
      <c r="J29" s="2" t="s">
        <v>6432</v>
      </c>
    </row>
    <row r="30" spans="1:10">
      <c r="A30" s="1">
        <v>43197.372535787035</v>
      </c>
      <c r="B30" s="2">
        <v>6811</v>
      </c>
      <c r="C30" s="2" t="s">
        <v>19</v>
      </c>
      <c r="D30" s="2" t="s">
        <v>13</v>
      </c>
      <c r="E30" s="2" t="s">
        <v>5911</v>
      </c>
      <c r="F30" s="2" t="s">
        <v>15</v>
      </c>
      <c r="G30" s="2" t="s">
        <v>6387</v>
      </c>
      <c r="H30" s="2">
        <v>4</v>
      </c>
      <c r="I30" s="2" t="s">
        <v>6433</v>
      </c>
      <c r="J30" s="2" t="s">
        <v>6434</v>
      </c>
    </row>
    <row r="31" spans="1:10">
      <c r="A31" s="1">
        <v>43197.381739108794</v>
      </c>
      <c r="B31" s="2">
        <v>7153</v>
      </c>
      <c r="C31" s="2" t="s">
        <v>13</v>
      </c>
      <c r="D31" s="2" t="s">
        <v>13</v>
      </c>
      <c r="E31" s="2" t="s">
        <v>5911</v>
      </c>
      <c r="F31" s="2" t="s">
        <v>15</v>
      </c>
      <c r="G31" s="2" t="s">
        <v>6233</v>
      </c>
      <c r="H31" s="2">
        <v>4</v>
      </c>
      <c r="I31" s="2" t="s">
        <v>6435</v>
      </c>
      <c r="J31" s="2" t="s">
        <v>6436</v>
      </c>
    </row>
    <row r="32" spans="1:10">
      <c r="A32" s="1">
        <v>43197.385031296297</v>
      </c>
      <c r="B32" s="2">
        <v>236</v>
      </c>
      <c r="C32" s="2" t="s">
        <v>14</v>
      </c>
      <c r="D32" s="2" t="s">
        <v>14</v>
      </c>
      <c r="E32" s="2" t="s">
        <v>12</v>
      </c>
      <c r="F32" s="2" t="s">
        <v>15</v>
      </c>
      <c r="G32" s="2" t="s">
        <v>6437</v>
      </c>
      <c r="H32" s="2">
        <v>6</v>
      </c>
      <c r="I32" s="2" t="s">
        <v>6438</v>
      </c>
      <c r="J32" s="2" t="s">
        <v>6439</v>
      </c>
    </row>
    <row r="33" spans="1:10">
      <c r="A33" s="1">
        <v>43197.387494861112</v>
      </c>
      <c r="B33" s="2">
        <v>5142</v>
      </c>
      <c r="C33" s="2" t="s">
        <v>19</v>
      </c>
      <c r="D33" s="2" t="s">
        <v>13</v>
      </c>
      <c r="E33" s="2" t="s">
        <v>12</v>
      </c>
      <c r="F33" s="2" t="s">
        <v>15</v>
      </c>
      <c r="G33" s="2" t="s">
        <v>6428</v>
      </c>
      <c r="H33" s="2">
        <v>4</v>
      </c>
      <c r="I33" s="2" t="s">
        <v>6440</v>
      </c>
      <c r="J33" s="2" t="s">
        <v>6441</v>
      </c>
    </row>
    <row r="34" spans="1:10">
      <c r="A34" s="1">
        <v>43197.389050439815</v>
      </c>
      <c r="B34" s="2">
        <v>4987</v>
      </c>
      <c r="C34" s="2" t="s">
        <v>19</v>
      </c>
      <c r="D34" s="2" t="s">
        <v>14</v>
      </c>
      <c r="E34" s="2" t="s">
        <v>5911</v>
      </c>
      <c r="F34" s="2" t="s">
        <v>15</v>
      </c>
      <c r="G34" s="2" t="s">
        <v>6442</v>
      </c>
      <c r="H34" s="2">
        <v>4</v>
      </c>
      <c r="I34" s="2" t="s">
        <v>6443</v>
      </c>
      <c r="J34" s="2" t="s">
        <v>6444</v>
      </c>
    </row>
    <row r="35" spans="1:10">
      <c r="A35" s="1">
        <v>43197.395361736111</v>
      </c>
      <c r="B35" s="2">
        <v>3654</v>
      </c>
      <c r="C35" s="2" t="s">
        <v>13</v>
      </c>
      <c r="D35" s="2" t="s">
        <v>14</v>
      </c>
      <c r="E35" s="2" t="s">
        <v>5911</v>
      </c>
      <c r="F35" s="2" t="s">
        <v>15</v>
      </c>
      <c r="G35" s="2" t="s">
        <v>6445</v>
      </c>
      <c r="H35" s="2">
        <v>6</v>
      </c>
      <c r="I35" s="2" t="s">
        <v>6446</v>
      </c>
      <c r="J35" s="2" t="s">
        <v>6447</v>
      </c>
    </row>
    <row r="36" spans="1:10">
      <c r="A36" s="1">
        <v>43197.401905486113</v>
      </c>
      <c r="B36" s="2">
        <v>839</v>
      </c>
      <c r="C36" s="2" t="s">
        <v>13</v>
      </c>
      <c r="D36" s="2" t="s">
        <v>14</v>
      </c>
      <c r="E36" s="2" t="s">
        <v>12</v>
      </c>
      <c r="F36" s="2" t="s">
        <v>15</v>
      </c>
      <c r="G36" s="2" t="s">
        <v>6448</v>
      </c>
      <c r="H36" s="2">
        <v>4</v>
      </c>
      <c r="I36" s="2" t="s">
        <v>6449</v>
      </c>
      <c r="J36" s="2" t="s">
        <v>6450</v>
      </c>
    </row>
    <row r="37" spans="1:10">
      <c r="A37" s="1">
        <v>43197.404952696757</v>
      </c>
      <c r="B37" s="2">
        <v>2067</v>
      </c>
      <c r="C37" s="2" t="s">
        <v>13</v>
      </c>
      <c r="D37" s="2" t="s">
        <v>14</v>
      </c>
      <c r="E37" s="2" t="s">
        <v>12</v>
      </c>
      <c r="F37" s="2" t="s">
        <v>15</v>
      </c>
      <c r="G37" s="2" t="s">
        <v>6451</v>
      </c>
      <c r="H37" s="2">
        <v>4</v>
      </c>
      <c r="I37" s="2" t="s">
        <v>6452</v>
      </c>
      <c r="J37" s="2" t="s">
        <v>6453</v>
      </c>
    </row>
    <row r="38" spans="1:10">
      <c r="A38" s="1">
        <v>43197.406102523149</v>
      </c>
      <c r="B38" s="2">
        <v>2170</v>
      </c>
      <c r="C38" s="2" t="s">
        <v>13</v>
      </c>
      <c r="D38" s="2" t="s">
        <v>13</v>
      </c>
      <c r="E38" s="2" t="s">
        <v>5911</v>
      </c>
      <c r="F38" s="2" t="s">
        <v>15</v>
      </c>
      <c r="G38" s="2" t="s">
        <v>6428</v>
      </c>
      <c r="H38" s="2">
        <v>6</v>
      </c>
      <c r="I38" s="2" t="s">
        <v>6454</v>
      </c>
      <c r="J38" s="2" t="s">
        <v>6455</v>
      </c>
    </row>
    <row r="39" spans="1:10">
      <c r="A39" s="1">
        <v>43197.409395486109</v>
      </c>
      <c r="B39" s="2">
        <v>1085</v>
      </c>
      <c r="C39" s="2" t="s">
        <v>19</v>
      </c>
      <c r="D39" s="2" t="s">
        <v>23</v>
      </c>
      <c r="E39" s="2" t="s">
        <v>5911</v>
      </c>
      <c r="F39" s="2" t="s">
        <v>15</v>
      </c>
      <c r="G39" s="2" t="s">
        <v>6232</v>
      </c>
      <c r="H39" s="2">
        <v>4</v>
      </c>
      <c r="I39" s="2" t="s">
        <v>6456</v>
      </c>
      <c r="J39" s="2" t="s">
        <v>6457</v>
      </c>
    </row>
    <row r="40" spans="1:10">
      <c r="A40" s="1">
        <v>43197.416864317129</v>
      </c>
      <c r="B40" s="2">
        <v>3634</v>
      </c>
      <c r="C40" s="2" t="s">
        <v>19</v>
      </c>
      <c r="D40" s="2" t="s">
        <v>13</v>
      </c>
      <c r="E40" s="2" t="s">
        <v>5911</v>
      </c>
      <c r="F40" s="2" t="s">
        <v>15</v>
      </c>
      <c r="G40" s="2" t="s">
        <v>6387</v>
      </c>
      <c r="H40" s="2">
        <v>2</v>
      </c>
      <c r="I40" s="2" t="s">
        <v>6458</v>
      </c>
      <c r="J40" s="2" t="s">
        <v>6459</v>
      </c>
    </row>
    <row r="41" spans="1:10">
      <c r="A41" s="1">
        <v>43197.418450960649</v>
      </c>
      <c r="B41" s="2">
        <v>2785</v>
      </c>
      <c r="C41" s="2" t="s">
        <v>19</v>
      </c>
      <c r="D41" s="2" t="s">
        <v>23</v>
      </c>
      <c r="E41" s="2" t="s">
        <v>5911</v>
      </c>
      <c r="F41" s="2" t="s">
        <v>15</v>
      </c>
      <c r="G41" s="2" t="s">
        <v>6428</v>
      </c>
      <c r="H41" s="2">
        <v>4</v>
      </c>
      <c r="I41" s="2" t="s">
        <v>6460</v>
      </c>
      <c r="J41" s="2" t="s">
        <v>6461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FCD921-05EF-491A-B3C6-AEC7CA1318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24</vt:i4>
      </vt:variant>
    </vt:vector>
  </HeadingPairs>
  <TitlesOfParts>
    <vt:vector size="50" baseType="lpstr">
      <vt:lpstr>SkillRanking</vt:lpstr>
      <vt:lpstr>EventTeam</vt:lpstr>
      <vt:lpstr>Team</vt:lpstr>
      <vt:lpstr>DashBoard</vt:lpstr>
      <vt:lpstr>ButtonBoard</vt:lpstr>
      <vt:lpstr>EventSchedule</vt:lpstr>
      <vt:lpstr>Specs</vt:lpstr>
      <vt:lpstr>pythonSpecs</vt:lpstr>
      <vt:lpstr>matchDetails</vt:lpstr>
      <vt:lpstr>TBAranking</vt:lpstr>
      <vt:lpstr>autoS</vt:lpstr>
      <vt:lpstr>ownershipS</vt:lpstr>
      <vt:lpstr>vaultS</vt:lpstr>
      <vt:lpstr>climbS</vt:lpstr>
      <vt:lpstr>OPRs</vt:lpstr>
      <vt:lpstr>Schedule</vt:lpstr>
      <vt:lpstr>MatchPivot</vt:lpstr>
      <vt:lpstr>MatchStats</vt:lpstr>
      <vt:lpstr>PitCleaned</vt:lpstr>
      <vt:lpstr>MatchCleaned</vt:lpstr>
      <vt:lpstr>TBAopr</vt:lpstr>
      <vt:lpstr>MatchRaw</vt:lpstr>
      <vt:lpstr>PitStats</vt:lpstr>
      <vt:lpstr>PitStats1</vt:lpstr>
      <vt:lpstr>TeamList</vt:lpstr>
      <vt:lpstr>PitRaw</vt:lpstr>
      <vt:lpstr>AutoBaseline</vt:lpstr>
      <vt:lpstr>AutoBaselineCount</vt:lpstr>
      <vt:lpstr>AutoBaselineW</vt:lpstr>
      <vt:lpstr>AutoNone</vt:lpstr>
      <vt:lpstr>AutoNoneCount</vt:lpstr>
      <vt:lpstr>AutoScale</vt:lpstr>
      <vt:lpstr>AutoScaleCount</vt:lpstr>
      <vt:lpstr>AutoScaleW</vt:lpstr>
      <vt:lpstr>AutoSwitch</vt:lpstr>
      <vt:lpstr>AutoSwitchCount</vt:lpstr>
      <vt:lpstr>AutoSwitchW</vt:lpstr>
      <vt:lpstr>climbW</vt:lpstr>
      <vt:lpstr>eventKey</vt:lpstr>
      <vt:lpstr>EventName</vt:lpstr>
      <vt:lpstr>EventYear</vt:lpstr>
      <vt:lpstr>MatchSheet</vt:lpstr>
      <vt:lpstr>PitSheet</vt:lpstr>
      <vt:lpstr>SkillRanking!Print_Area</vt:lpstr>
      <vt:lpstr>ScheduledStart</vt:lpstr>
      <vt:lpstr>TeamCount</vt:lpstr>
      <vt:lpstr>TeleOpOtherSwitchW</vt:lpstr>
      <vt:lpstr>TeleOpOwnSwitchW</vt:lpstr>
      <vt:lpstr>TeleOpPowerUpCubesW</vt:lpstr>
      <vt:lpstr>TeleOpScaleW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Flynn</dc:creator>
  <cp:lastModifiedBy>lingy</cp:lastModifiedBy>
  <cp:lastPrinted>2018-04-08T16:06:09Z</cp:lastPrinted>
  <dcterms:created xsi:type="dcterms:W3CDTF">2018-02-03T16:04:34Z</dcterms:created>
  <dcterms:modified xsi:type="dcterms:W3CDTF">2018-05-23T22:41:04Z</dcterms:modified>
</cp:coreProperties>
</file>